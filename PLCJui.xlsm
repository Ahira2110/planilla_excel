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jmedina" reservationPassword="CA9C"/>
  <workbookPr updateLinks="never" codeName="ThisWorkbook" hidePivotFieldList="1" defaultThemeVersion="124226"/>
  <bookViews>
    <workbookView xWindow="-120" yWindow="-120" windowWidth="19440" windowHeight="1104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disponibilidad" sheetId="24" r:id="rId7"/>
    <sheet name="defensores" sheetId="8" r:id="rId8"/>
    <sheet name="Codigos" sheetId="9" r:id="rId9"/>
    <sheet name="Informe semanal prensa" sheetId="25" r:id="rId10"/>
    <sheet name="Resultados" sheetId="10" r:id="rId11"/>
    <sheet name="Observac" sheetId="11" r:id="rId12"/>
    <sheet name="no realizadas" sheetId="12" r:id="rId13"/>
    <sheet name="Horarios VIEJO" sheetId="13" r:id="rId14"/>
    <sheet name="Tecnicos" sheetId="14" r:id="rId15"/>
    <sheet name="Exp por Encargado - Alvaro" sheetId="15" r:id="rId16"/>
    <sheet name="Hoja1" sheetId="20" r:id="rId17"/>
    <sheet name="Planilla Auxiliar" sheetId="16" r:id="rId18"/>
    <sheet name="Asistencia" sheetId="17" r:id="rId19"/>
    <sheet name="Personal" sheetId="18" r:id="rId20"/>
    <sheet name="Notificaciones" sheetId="19" r:id="rId21"/>
  </sheets>
  <functionGroups/>
  <definedNames>
    <definedName name="_xlnm._FilterDatabase" localSheetId="0" hidden="1">EXPEDIENTES!$A$2:$AJ$403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kalancay - Vista personalizada" guid="{8889932B-014C-4A7A-B620-114840895FF5}" mergeInterval="0" personalView="1" maximized="1" xWindow="1" yWindow="1" windowWidth="1366" windowHeight="537" activeSheetId="1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OFIJUGAR - Lopez Luca, Jose Eduardo - Vista personalizada" guid="{0199CA3F-EFF7-4FF3-938A-24486AD9575F}" mergeInterval="0" personalView="1" maximized="1" xWindow="1" yWindow="1" windowWidth="1920" windowHeight="850" activeSheetId="1"/>
  </customWorkbookViews>
  <pivotCaches>
    <pivotCache cacheId="0" r:id="rId22"/>
    <pivotCache cacheId="1" r:id="rId23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403" i="1"/>
  <c r="AC403"/>
  <c r="Z403"/>
  <c r="Y403"/>
  <c r="AJ403" s="1"/>
  <c r="AG321"/>
  <c r="AC321"/>
  <c r="Z321"/>
  <c r="Y321"/>
  <c r="AJ321" s="1"/>
  <c r="AG402"/>
  <c r="AC402"/>
  <c r="Z402"/>
  <c r="Y402"/>
  <c r="AJ402" s="1"/>
  <c r="AG401"/>
  <c r="AC401"/>
  <c r="Z401"/>
  <c r="Y401"/>
  <c r="AJ401" s="1"/>
  <c r="AG400"/>
  <c r="AC400"/>
  <c r="Z400"/>
  <c r="Y400"/>
  <c r="AJ400" s="1"/>
  <c r="AG270"/>
  <c r="AC270"/>
  <c r="Z270"/>
  <c r="Y270"/>
  <c r="AJ270" s="1"/>
  <c r="AG288"/>
  <c r="AC288"/>
  <c r="Z288"/>
  <c r="Y288"/>
  <c r="AJ288" s="1"/>
  <c r="AG399"/>
  <c r="AC399"/>
  <c r="Z399"/>
  <c r="Y399"/>
  <c r="AJ399" s="1"/>
  <c r="AG398"/>
  <c r="AC398"/>
  <c r="Z398"/>
  <c r="Y398"/>
  <c r="AJ398" s="1"/>
  <c r="AG334"/>
  <c r="AC334"/>
  <c r="Z334"/>
  <c r="Y334"/>
  <c r="AJ334" s="1"/>
  <c r="AG324"/>
  <c r="AC324"/>
  <c r="Z324"/>
  <c r="Y324"/>
  <c r="AJ324" s="1"/>
  <c r="AG397"/>
  <c r="AC397"/>
  <c r="Z397"/>
  <c r="Y397"/>
  <c r="AJ397" s="1"/>
  <c r="AG396"/>
  <c r="AC396"/>
  <c r="Z396"/>
  <c r="Y396"/>
  <c r="AJ396" s="1"/>
  <c r="AG395"/>
  <c r="AC395"/>
  <c r="Z395"/>
  <c r="Y395"/>
  <c r="AJ395" s="1"/>
  <c r="AG394"/>
  <c r="AC394"/>
  <c r="Z394"/>
  <c r="Y394"/>
  <c r="AJ394" s="1"/>
  <c r="AG330"/>
  <c r="AC330"/>
  <c r="Z330"/>
  <c r="Y330"/>
  <c r="AJ330" s="1"/>
  <c r="AG393"/>
  <c r="AC393"/>
  <c r="Z393"/>
  <c r="Y393"/>
  <c r="AJ393" s="1"/>
  <c r="AG332"/>
  <c r="AC332"/>
  <c r="Z332"/>
  <c r="Y332"/>
  <c r="AJ332" s="1"/>
  <c r="AG333"/>
  <c r="AC333"/>
  <c r="Z333"/>
  <c r="Y333"/>
  <c r="AJ333" s="1"/>
  <c r="AG392"/>
  <c r="AC392"/>
  <c r="Z392"/>
  <c r="Y392"/>
  <c r="AJ392" s="1"/>
  <c r="AG391"/>
  <c r="AC391"/>
  <c r="Z391"/>
  <c r="Y391"/>
  <c r="AJ391" s="1"/>
  <c r="U41" i="3"/>
  <c r="U40"/>
  <c r="AG390" i="1"/>
  <c r="AC390"/>
  <c r="Z390"/>
  <c r="Y390"/>
  <c r="AJ390" s="1"/>
  <c r="AG389"/>
  <c r="AC389"/>
  <c r="Z389"/>
  <c r="Y389"/>
  <c r="AJ389" s="1"/>
  <c r="AG388"/>
  <c r="AC388"/>
  <c r="Z388"/>
  <c r="Y388"/>
  <c r="AJ388" s="1"/>
  <c r="AG387"/>
  <c r="AC387"/>
  <c r="Z387"/>
  <c r="Y387"/>
  <c r="AJ387" s="1"/>
  <c r="AG386"/>
  <c r="AC386"/>
  <c r="Z386"/>
  <c r="Y386"/>
  <c r="AJ386" s="1"/>
  <c r="AG385"/>
  <c r="AC385"/>
  <c r="Z385"/>
  <c r="Y385"/>
  <c r="AJ385" s="1"/>
  <c r="AG344"/>
  <c r="AC344"/>
  <c r="Z344"/>
  <c r="Y344"/>
  <c r="AJ344" s="1"/>
  <c r="AG384"/>
  <c r="AC384"/>
  <c r="Z384"/>
  <c r="Y384"/>
  <c r="AJ384" s="1"/>
  <c r="AG383"/>
  <c r="AC383"/>
  <c r="Z383"/>
  <c r="Y383"/>
  <c r="AJ383" s="1"/>
  <c r="AG382"/>
  <c r="AC382"/>
  <c r="Z382"/>
  <c r="Y382"/>
  <c r="AJ382" s="1"/>
  <c r="AG381"/>
  <c r="AC381"/>
  <c r="Z381"/>
  <c r="Y381"/>
  <c r="AJ381" s="1"/>
  <c r="AG380"/>
  <c r="AC380"/>
  <c r="Z380"/>
  <c r="Y380"/>
  <c r="AJ380" s="1"/>
  <c r="AG379"/>
  <c r="AC379"/>
  <c r="Z379"/>
  <c r="Y379"/>
  <c r="AJ379" s="1"/>
  <c r="AG314"/>
  <c r="AC314"/>
  <c r="Z314"/>
  <c r="Y314"/>
  <c r="AJ314" s="1"/>
  <c r="AG329"/>
  <c r="AC329"/>
  <c r="Z329"/>
  <c r="Y329"/>
  <c r="AJ329" s="1"/>
  <c r="AG257"/>
  <c r="AC257"/>
  <c r="Z257"/>
  <c r="Y257"/>
  <c r="AJ257" s="1"/>
  <c r="AG378"/>
  <c r="AC378"/>
  <c r="Z378"/>
  <c r="Y378"/>
  <c r="AJ378" s="1"/>
  <c r="AG377"/>
  <c r="AC377"/>
  <c r="Z377"/>
  <c r="Y377"/>
  <c r="AJ377" s="1"/>
  <c r="AG376"/>
  <c r="AC376"/>
  <c r="Z376"/>
  <c r="Y376"/>
  <c r="AJ376" s="1"/>
  <c r="AG375"/>
  <c r="AC375"/>
  <c r="Z375"/>
  <c r="Y375"/>
  <c r="AJ375" s="1"/>
  <c r="AG338"/>
  <c r="AC338"/>
  <c r="Z338"/>
  <c r="Y338"/>
  <c r="AJ338" s="1"/>
  <c r="AG322"/>
  <c r="AC322"/>
  <c r="Z322"/>
  <c r="Y322"/>
  <c r="AJ322" s="1"/>
  <c r="AG328"/>
  <c r="AC328"/>
  <c r="Z328"/>
  <c r="Y328"/>
  <c r="AJ328" s="1"/>
  <c r="AG268"/>
  <c r="AC268"/>
  <c r="Z268"/>
  <c r="Y268"/>
  <c r="AJ268" s="1"/>
  <c r="AG374"/>
  <c r="AC374"/>
  <c r="Z374"/>
  <c r="Y374"/>
  <c r="AJ374" s="1"/>
  <c r="AG373"/>
  <c r="AC373"/>
  <c r="Z373"/>
  <c r="Y373"/>
  <c r="AJ373" s="1"/>
  <c r="AG301"/>
  <c r="AC301"/>
  <c r="Z301"/>
  <c r="Y301"/>
  <c r="AJ301" s="1"/>
  <c r="AG281"/>
  <c r="AC281"/>
  <c r="Z281"/>
  <c r="Y281"/>
  <c r="AJ281" s="1"/>
  <c r="AG318"/>
  <c r="AC318"/>
  <c r="Z318"/>
  <c r="Y318"/>
  <c r="AJ318" s="1"/>
  <c r="AG372"/>
  <c r="AC372"/>
  <c r="Z372"/>
  <c r="Y372"/>
  <c r="AJ372" s="1"/>
  <c r="AG260"/>
  <c r="AC260"/>
  <c r="Z260"/>
  <c r="Y260"/>
  <c r="AJ260" s="1"/>
  <c r="AG336"/>
  <c r="AC336"/>
  <c r="Z336"/>
  <c r="Y336"/>
  <c r="AJ336" s="1"/>
  <c r="AG323"/>
  <c r="AC323"/>
  <c r="Z323"/>
  <c r="Y323"/>
  <c r="AJ323" s="1"/>
  <c r="AG326"/>
  <c r="AC326"/>
  <c r="Z326"/>
  <c r="Y326"/>
  <c r="AJ326" s="1"/>
  <c r="AG371"/>
  <c r="AC371"/>
  <c r="Z371"/>
  <c r="Y371"/>
  <c r="AJ371" s="1"/>
  <c r="AG302"/>
  <c r="AC302"/>
  <c r="Z302"/>
  <c r="Y302"/>
  <c r="AH388"/>
  <c r="AH318"/>
  <c r="AH314"/>
  <c r="AH403"/>
  <c r="AH334"/>
  <c r="AH270"/>
  <c r="AH398"/>
  <c r="AH301"/>
  <c r="AH336"/>
  <c r="AH324"/>
  <c r="AH392"/>
  <c r="AH390"/>
  <c r="AH401"/>
  <c r="AH394"/>
  <c r="AH312"/>
  <c r="AH344"/>
  <c r="AH384"/>
  <c r="AH326"/>
  <c r="AH330"/>
  <c r="AH338"/>
  <c r="AH288"/>
  <c r="AH281"/>
  <c r="AH378"/>
  <c r="AH399"/>
  <c r="AH387"/>
  <c r="AH386"/>
  <c r="AH377"/>
  <c r="AH385"/>
  <c r="AH333"/>
  <c r="AH268"/>
  <c r="AH396"/>
  <c r="AH371"/>
  <c r="AH302"/>
  <c r="AH322"/>
  <c r="AH382"/>
  <c r="AH372"/>
  <c r="AH323"/>
  <c r="AH391"/>
  <c r="AH379"/>
  <c r="AH374"/>
  <c r="AH383"/>
  <c r="AH400"/>
  <c r="AH328"/>
  <c r="AH402"/>
  <c r="AH393"/>
  <c r="AH321"/>
  <c r="AH260"/>
  <c r="AH332"/>
  <c r="AH397"/>
  <c r="AH373"/>
  <c r="AH376"/>
  <c r="AH389"/>
  <c r="AH395"/>
  <c r="AH381"/>
  <c r="AH375"/>
  <c r="AH257"/>
  <c r="AH380"/>
  <c r="AH329"/>
  <c r="AG312" l="1"/>
  <c r="AC312"/>
  <c r="Z312"/>
  <c r="Y312"/>
  <c r="AG303"/>
  <c r="AC303"/>
  <c r="Z303"/>
  <c r="Y303"/>
  <c r="AG311"/>
  <c r="AC311"/>
  <c r="Z311"/>
  <c r="Y311"/>
  <c r="AG280"/>
  <c r="AC280"/>
  <c r="Z280"/>
  <c r="Y280"/>
  <c r="AG325"/>
  <c r="AC325"/>
  <c r="Z325"/>
  <c r="Y325"/>
  <c r="AJ325" s="1"/>
  <c r="AG370"/>
  <c r="AC370"/>
  <c r="Z370"/>
  <c r="Y370"/>
  <c r="AG304"/>
  <c r="AC304"/>
  <c r="Z304"/>
  <c r="Y304"/>
  <c r="AG337"/>
  <c r="AC337"/>
  <c r="Z337"/>
  <c r="Y337"/>
  <c r="AG295"/>
  <c r="AC295"/>
  <c r="Z295"/>
  <c r="Y295"/>
  <c r="AG331"/>
  <c r="AC331"/>
  <c r="Z331"/>
  <c r="Y331"/>
  <c r="AG269"/>
  <c r="AC269"/>
  <c r="Z269"/>
  <c r="Y269"/>
  <c r="AG236"/>
  <c r="AC236"/>
  <c r="Z236"/>
  <c r="Y236"/>
  <c r="AG211"/>
  <c r="AC211"/>
  <c r="Z211"/>
  <c r="Y211"/>
  <c r="AG262"/>
  <c r="AC262"/>
  <c r="Z262"/>
  <c r="Y262"/>
  <c r="AJ262" s="1"/>
  <c r="AG340"/>
  <c r="AC340"/>
  <c r="Z340"/>
  <c r="Y340"/>
  <c r="AG369"/>
  <c r="AC369"/>
  <c r="Z369"/>
  <c r="Y369"/>
  <c r="AG290"/>
  <c r="AC290"/>
  <c r="Z290"/>
  <c r="Y290"/>
  <c r="AG327"/>
  <c r="AC327"/>
  <c r="Z327"/>
  <c r="Y327"/>
  <c r="AG343"/>
  <c r="AC343"/>
  <c r="Z343"/>
  <c r="Y343"/>
  <c r="F6" i="4"/>
  <c r="AH290" i="1"/>
  <c r="AH340"/>
  <c r="AH236"/>
  <c r="AH311"/>
  <c r="AH303"/>
  <c r="AH331"/>
  <c r="AH211"/>
  <c r="AH325"/>
  <c r="AH304"/>
  <c r="AH295"/>
  <c r="AH262"/>
  <c r="AH269"/>
  <c r="AH369"/>
  <c r="AH337"/>
  <c r="AH280"/>
  <c r="AH370"/>
  <c r="AJ343" l="1"/>
  <c r="AJ327"/>
  <c r="AJ290"/>
  <c r="AJ369"/>
  <c r="AJ340"/>
  <c r="AJ331"/>
  <c r="AJ295"/>
  <c r="AJ337"/>
  <c r="AJ304"/>
  <c r="AJ370"/>
  <c r="AG320"/>
  <c r="AC320"/>
  <c r="Z320"/>
  <c r="Y320"/>
  <c r="A12" i="9"/>
  <c r="AG368" i="1" l="1"/>
  <c r="AC368"/>
  <c r="Z368"/>
  <c r="Y368"/>
  <c r="AG367"/>
  <c r="AC367"/>
  <c r="Z367"/>
  <c r="Y367"/>
  <c r="AG366"/>
  <c r="AC366"/>
  <c r="Z366"/>
  <c r="Y366"/>
  <c r="AG241"/>
  <c r="AC241"/>
  <c r="Z241"/>
  <c r="Y241"/>
  <c r="AG365"/>
  <c r="AC365"/>
  <c r="Z365"/>
  <c r="Y365"/>
  <c r="AG264"/>
  <c r="AC264"/>
  <c r="Z264"/>
  <c r="Y264"/>
  <c r="AG73"/>
  <c r="AC73"/>
  <c r="Z73"/>
  <c r="Y73"/>
  <c r="AG297"/>
  <c r="AC297"/>
  <c r="Z297"/>
  <c r="Y297"/>
  <c r="AG335"/>
  <c r="AC335"/>
  <c r="Z335"/>
  <c r="Y335"/>
  <c r="AG316"/>
  <c r="AC316"/>
  <c r="Z316"/>
  <c r="Y316"/>
  <c r="AG299"/>
  <c r="AC299"/>
  <c r="Z299"/>
  <c r="Y299"/>
  <c r="AG292"/>
  <c r="AC292"/>
  <c r="Z292"/>
  <c r="Y292"/>
  <c r="AG44"/>
  <c r="AC44"/>
  <c r="Z44"/>
  <c r="Y44"/>
  <c r="AG293"/>
  <c r="AC293"/>
  <c r="Z293"/>
  <c r="Y293"/>
  <c r="AG319"/>
  <c r="AC319"/>
  <c r="Z319"/>
  <c r="Y319"/>
  <c r="AG364"/>
  <c r="AC364"/>
  <c r="Z364"/>
  <c r="Y364"/>
  <c r="AG286"/>
  <c r="AC286"/>
  <c r="Z286"/>
  <c r="Y286"/>
  <c r="AG347"/>
  <c r="AC347"/>
  <c r="Z347"/>
  <c r="Y347"/>
  <c r="AG247"/>
  <c r="AC247"/>
  <c r="Z247"/>
  <c r="Y247"/>
  <c r="AG74"/>
  <c r="AC74"/>
  <c r="Z74"/>
  <c r="Y74"/>
  <c r="AG251"/>
  <c r="AC251"/>
  <c r="Z251"/>
  <c r="Y251"/>
  <c r="AG254"/>
  <c r="AC254"/>
  <c r="Z254"/>
  <c r="Y254"/>
  <c r="AG308"/>
  <c r="AC308"/>
  <c r="Z308"/>
  <c r="Y308"/>
  <c r="AG307"/>
  <c r="AC307"/>
  <c r="Z307"/>
  <c r="Y307"/>
  <c r="AG287"/>
  <c r="AC287"/>
  <c r="Z287"/>
  <c r="Y287"/>
  <c r="AG363"/>
  <c r="AC363"/>
  <c r="Z363"/>
  <c r="Y363"/>
  <c r="AG345"/>
  <c r="AC345"/>
  <c r="Z345"/>
  <c r="Y345"/>
  <c r="AG284"/>
  <c r="AC284"/>
  <c r="Z284"/>
  <c r="Y284"/>
  <c r="AG56"/>
  <c r="AC56"/>
  <c r="Z56"/>
  <c r="Y56"/>
  <c r="AG273"/>
  <c r="AC273"/>
  <c r="Z273"/>
  <c r="Y273"/>
  <c r="AG40"/>
  <c r="AC40"/>
  <c r="Z40"/>
  <c r="Y40"/>
  <c r="AG315"/>
  <c r="AC315"/>
  <c r="Z315"/>
  <c r="Y315"/>
  <c r="AG362"/>
  <c r="AC362"/>
  <c r="Z362"/>
  <c r="Y362"/>
  <c r="AG253"/>
  <c r="AC253"/>
  <c r="Z253"/>
  <c r="Y253"/>
  <c r="AG296"/>
  <c r="AC296"/>
  <c r="Z296"/>
  <c r="Y296"/>
  <c r="AG361"/>
  <c r="AC361"/>
  <c r="Z361"/>
  <c r="Y361"/>
  <c r="AG360"/>
  <c r="AC360"/>
  <c r="Z360"/>
  <c r="Y360"/>
  <c r="AG359"/>
  <c r="AC359"/>
  <c r="Z359"/>
  <c r="Y359"/>
  <c r="AG306"/>
  <c r="AC306"/>
  <c r="Z306"/>
  <c r="Y306"/>
  <c r="AG358"/>
  <c r="AC358"/>
  <c r="Z358"/>
  <c r="Y358"/>
  <c r="AG261"/>
  <c r="AC261"/>
  <c r="Z261"/>
  <c r="Y261"/>
  <c r="AG357"/>
  <c r="AC357"/>
  <c r="Z357"/>
  <c r="Y357"/>
  <c r="AG66"/>
  <c r="AC66"/>
  <c r="Z66"/>
  <c r="Y66"/>
  <c r="AG256"/>
  <c r="AC256"/>
  <c r="Z256"/>
  <c r="Y256"/>
  <c r="AG271"/>
  <c r="AC271"/>
  <c r="Z271"/>
  <c r="Y271"/>
  <c r="AG356"/>
  <c r="AC356"/>
  <c r="Z356"/>
  <c r="Y356"/>
  <c r="AG310"/>
  <c r="AC310"/>
  <c r="Z310"/>
  <c r="Y310"/>
  <c r="AG217"/>
  <c r="AC217"/>
  <c r="Z217"/>
  <c r="Y217"/>
  <c r="AG355"/>
  <c r="AC355"/>
  <c r="Z355"/>
  <c r="Y355"/>
  <c r="AG245"/>
  <c r="AC245"/>
  <c r="Z245"/>
  <c r="Y245"/>
  <c r="AG341"/>
  <c r="AC341"/>
  <c r="Z341"/>
  <c r="Y341"/>
  <c r="AG339"/>
  <c r="AC339"/>
  <c r="Z339"/>
  <c r="Y339"/>
  <c r="AG34"/>
  <c r="AC34"/>
  <c r="Z34"/>
  <c r="Y34"/>
  <c r="AG266"/>
  <c r="AC266"/>
  <c r="Z266"/>
  <c r="Y266"/>
  <c r="AG43"/>
  <c r="AC43"/>
  <c r="Z43"/>
  <c r="Y43"/>
  <c r="AG313"/>
  <c r="AC313"/>
  <c r="Z313"/>
  <c r="Y313"/>
  <c r="AG38"/>
  <c r="AC38"/>
  <c r="Z38"/>
  <c r="Y38"/>
  <c r="AG258"/>
  <c r="AC258"/>
  <c r="Z258"/>
  <c r="Y258"/>
  <c r="AG37"/>
  <c r="AC37"/>
  <c r="Z37"/>
  <c r="Y37"/>
  <c r="AG249"/>
  <c r="AC249"/>
  <c r="Z249"/>
  <c r="Y249"/>
  <c r="AG250"/>
  <c r="AC250"/>
  <c r="Z250"/>
  <c r="Y250"/>
  <c r="AG238"/>
  <c r="AC238"/>
  <c r="Z238"/>
  <c r="Y238"/>
  <c r="AG243"/>
  <c r="AC243"/>
  <c r="Z243"/>
  <c r="Y243"/>
  <c r="AG242"/>
  <c r="AC242"/>
  <c r="Z242"/>
  <c r="Y242"/>
  <c r="AG283"/>
  <c r="AC283"/>
  <c r="Z283"/>
  <c r="Y283"/>
  <c r="AG276"/>
  <c r="AC276"/>
  <c r="Z276"/>
  <c r="Y276"/>
  <c r="AG72"/>
  <c r="AC72"/>
  <c r="Z72"/>
  <c r="Y72"/>
  <c r="AG246"/>
  <c r="AC246"/>
  <c r="Z246"/>
  <c r="Y246"/>
  <c r="AG208"/>
  <c r="AC208"/>
  <c r="Z208"/>
  <c r="Y208"/>
  <c r="AG354"/>
  <c r="AC354"/>
  <c r="Z354"/>
  <c r="Y354"/>
  <c r="AG237"/>
  <c r="AC237"/>
  <c r="Z237"/>
  <c r="Y237"/>
  <c r="AG353"/>
  <c r="AC353"/>
  <c r="Z353"/>
  <c r="Y353"/>
  <c r="AG352"/>
  <c r="AC352"/>
  <c r="Z352"/>
  <c r="Y352"/>
  <c r="AG285"/>
  <c r="AC285"/>
  <c r="Z285"/>
  <c r="Y285"/>
  <c r="AG215"/>
  <c r="AC215"/>
  <c r="Z215"/>
  <c r="Y215"/>
  <c r="AG278"/>
  <c r="AC278"/>
  <c r="Z278"/>
  <c r="Y278"/>
  <c r="AG39"/>
  <c r="AC39"/>
  <c r="Z39"/>
  <c r="Y39"/>
  <c r="AG47"/>
  <c r="AC47"/>
  <c r="Z47"/>
  <c r="Y47"/>
  <c r="AG234"/>
  <c r="AC234"/>
  <c r="Z234"/>
  <c r="Y234"/>
  <c r="U39" i="3"/>
  <c r="U42"/>
  <c r="U43"/>
  <c r="U44"/>
  <c r="U45"/>
  <c r="U46"/>
  <c r="U47"/>
  <c r="U48"/>
  <c r="AG239" i="1"/>
  <c r="AC239"/>
  <c r="Z239"/>
  <c r="Y239"/>
  <c r="AJ310" l="1"/>
  <c r="AJ283"/>
  <c r="AJ256"/>
  <c r="AJ367"/>
  <c r="AJ368"/>
  <c r="AJ313"/>
  <c r="AJ352"/>
  <c r="AJ353"/>
  <c r="AJ354"/>
  <c r="AJ276"/>
  <c r="AJ355"/>
  <c r="AJ356"/>
  <c r="AJ271"/>
  <c r="AJ66"/>
  <c r="AJ357"/>
  <c r="AJ358"/>
  <c r="AJ359"/>
  <c r="AJ360"/>
  <c r="AJ361"/>
  <c r="AJ296"/>
  <c r="AJ362"/>
  <c r="AJ345"/>
  <c r="AJ363"/>
  <c r="AJ286"/>
  <c r="AJ364"/>
  <c r="AJ319"/>
  <c r="AJ44"/>
  <c r="AJ292"/>
  <c r="AJ335"/>
  <c r="AJ297"/>
  <c r="AJ264"/>
  <c r="AJ365"/>
  <c r="AJ366"/>
  <c r="AJ43"/>
  <c r="AJ261"/>
  <c r="AJ315"/>
  <c r="AJ311"/>
  <c r="AJ258"/>
  <c r="AJ266"/>
  <c r="AJ302"/>
  <c r="AJ284"/>
  <c r="AJ306"/>
  <c r="AJ312"/>
  <c r="AG240"/>
  <c r="AC240"/>
  <c r="Z240"/>
  <c r="Y240"/>
  <c r="AH45"/>
  <c r="AH261"/>
  <c r="AH81"/>
  <c r="AH113"/>
  <c r="AH156"/>
  <c r="AH163"/>
  <c r="AH130"/>
  <c r="AH38"/>
  <c r="AH165"/>
  <c r="AH359"/>
  <c r="AH362"/>
  <c r="AH166"/>
  <c r="AH28"/>
  <c r="AH217"/>
  <c r="AH126"/>
  <c r="AH78"/>
  <c r="AH291"/>
  <c r="AH357"/>
  <c r="AH37"/>
  <c r="AH42"/>
  <c r="AH21"/>
  <c r="AH91"/>
  <c r="AH245"/>
  <c r="AH298"/>
  <c r="AH107"/>
  <c r="AH151"/>
  <c r="AH9"/>
  <c r="AH90"/>
  <c r="AH164"/>
  <c r="AH134"/>
  <c r="AH214"/>
  <c r="AH73"/>
  <c r="AH226"/>
  <c r="AH136"/>
  <c r="AH138"/>
  <c r="AH171"/>
  <c r="AH169"/>
  <c r="AH276"/>
  <c r="AH352"/>
  <c r="AH121"/>
  <c r="AH309"/>
  <c r="AH170"/>
  <c r="AH62"/>
  <c r="AH342"/>
  <c r="AH360"/>
  <c r="AH34"/>
  <c r="AH193"/>
  <c r="AH120"/>
  <c r="AH31"/>
  <c r="AH256"/>
  <c r="AH94"/>
  <c r="AH234"/>
  <c r="AH252"/>
  <c r="AH60"/>
  <c r="AH319"/>
  <c r="AH30"/>
  <c r="AH149"/>
  <c r="AH300"/>
  <c r="AH82"/>
  <c r="AH346"/>
  <c r="AH343"/>
  <c r="AH99"/>
  <c r="AH201"/>
  <c r="AH69"/>
  <c r="AH119"/>
  <c r="AH248"/>
  <c r="AH206"/>
  <c r="AH155"/>
  <c r="AH92"/>
  <c r="AH282"/>
  <c r="AH154"/>
  <c r="AH75"/>
  <c r="AH364"/>
  <c r="AH250"/>
  <c r="AH8"/>
  <c r="AH157"/>
  <c r="AH348"/>
  <c r="AH239"/>
  <c r="AH296"/>
  <c r="AH111"/>
  <c r="AH230"/>
  <c r="AH6"/>
  <c r="AH305"/>
  <c r="AH286"/>
  <c r="AH102"/>
  <c r="AH264"/>
  <c r="AH185"/>
  <c r="AH353"/>
  <c r="AH132"/>
  <c r="AH112"/>
  <c r="AH194"/>
  <c r="AH17"/>
  <c r="AH265"/>
  <c r="AH196"/>
  <c r="AH229"/>
  <c r="AH109"/>
  <c r="AH316"/>
  <c r="AH118"/>
  <c r="AH273"/>
  <c r="AH279"/>
  <c r="AH76"/>
  <c r="AH160"/>
  <c r="AH213"/>
  <c r="AH25"/>
  <c r="AH168"/>
  <c r="AH254"/>
  <c r="AH48"/>
  <c r="AH225"/>
  <c r="AH349"/>
  <c r="AH84"/>
  <c r="AH162"/>
  <c r="AH356"/>
  <c r="AH243"/>
  <c r="AH306"/>
  <c r="AH241"/>
  <c r="AH358"/>
  <c r="AH347"/>
  <c r="AH235"/>
  <c r="AH284"/>
  <c r="AH259"/>
  <c r="AH54"/>
  <c r="AH16"/>
  <c r="AH174"/>
  <c r="AH345"/>
  <c r="AH267"/>
  <c r="AH77"/>
  <c r="AH258"/>
  <c r="AH177"/>
  <c r="AH56"/>
  <c r="AH182"/>
  <c r="AH142"/>
  <c r="AH55"/>
  <c r="AH292"/>
  <c r="AH327"/>
  <c r="AH72"/>
  <c r="AH95"/>
  <c r="AH218"/>
  <c r="AH11"/>
  <c r="AH287"/>
  <c r="AH179"/>
  <c r="AH143"/>
  <c r="AH317"/>
  <c r="AH93"/>
  <c r="AH100"/>
  <c r="AH152"/>
  <c r="AH224"/>
  <c r="AH272"/>
  <c r="AH124"/>
  <c r="AH20"/>
  <c r="AH190"/>
  <c r="AH47"/>
  <c r="AH4"/>
  <c r="AH180"/>
  <c r="AH183"/>
  <c r="AH176"/>
  <c r="AH122"/>
  <c r="AH189"/>
  <c r="AH67"/>
  <c r="AH167"/>
  <c r="AH181"/>
  <c r="AH125"/>
  <c r="AH297"/>
  <c r="AH63"/>
  <c r="AH105"/>
  <c r="AH79"/>
  <c r="AH187"/>
  <c r="AH153"/>
  <c r="AH366"/>
  <c r="AH43"/>
  <c r="AH191"/>
  <c r="AH101"/>
  <c r="AH144"/>
  <c r="AH232"/>
  <c r="AH148"/>
  <c r="AH26"/>
  <c r="AH131"/>
  <c r="AH215"/>
  <c r="AH51"/>
  <c r="AH178"/>
  <c r="AH141"/>
  <c r="AH355"/>
  <c r="AH212"/>
  <c r="AH3"/>
  <c r="AH339"/>
  <c r="AH293"/>
  <c r="AH320"/>
  <c r="AH83"/>
  <c r="AH87"/>
  <c r="AH59"/>
  <c r="AH103"/>
  <c r="AH68"/>
  <c r="AH255"/>
  <c r="AH172"/>
  <c r="AH71"/>
  <c r="AH96"/>
  <c r="AH50"/>
  <c r="AH253"/>
  <c r="AH285"/>
  <c r="AH117"/>
  <c r="AH233"/>
  <c r="AH110"/>
  <c r="AH354"/>
  <c r="AH70"/>
  <c r="AH199"/>
  <c r="AH40"/>
  <c r="AH129"/>
  <c r="AH27"/>
  <c r="AH351"/>
  <c r="AH29"/>
  <c r="AH89"/>
  <c r="AH65"/>
  <c r="AH368"/>
  <c r="AH205"/>
  <c r="AH58"/>
  <c r="AH14"/>
  <c r="AH216"/>
  <c r="AH313"/>
  <c r="AH147"/>
  <c r="AH208"/>
  <c r="AH266"/>
  <c r="AH210"/>
  <c r="AH246"/>
  <c r="AH275"/>
  <c r="AH116"/>
  <c r="AH114"/>
  <c r="AH209"/>
  <c r="AH104"/>
  <c r="AH53"/>
  <c r="AH140"/>
  <c r="AH10"/>
  <c r="AH223"/>
  <c r="AH299"/>
  <c r="AH19"/>
  <c r="AH227"/>
  <c r="AH197"/>
  <c r="AH39"/>
  <c r="AH238"/>
  <c r="AH22"/>
  <c r="AH244"/>
  <c r="AH74"/>
  <c r="AH35"/>
  <c r="AH367"/>
  <c r="AH80"/>
  <c r="AH146"/>
  <c r="AH13"/>
  <c r="AH12"/>
  <c r="AH271"/>
  <c r="AH310"/>
  <c r="AH33"/>
  <c r="AH139"/>
  <c r="AH173"/>
  <c r="AH5"/>
  <c r="AH36"/>
  <c r="AH108"/>
  <c r="AH41"/>
  <c r="AH61"/>
  <c r="AH145"/>
  <c r="AH363"/>
  <c r="AH44"/>
  <c r="AH361"/>
  <c r="AH128"/>
  <c r="AH32"/>
  <c r="AH219"/>
  <c r="AH123"/>
  <c r="AH231"/>
  <c r="AH249"/>
  <c r="AH52"/>
  <c r="AH294"/>
  <c r="AH308"/>
  <c r="AH365"/>
  <c r="AH175"/>
  <c r="AH222"/>
  <c r="AH150"/>
  <c r="AH307"/>
  <c r="AH289"/>
  <c r="AH86"/>
  <c r="AH186"/>
  <c r="AH202"/>
  <c r="AH7"/>
  <c r="AH263"/>
  <c r="AH49"/>
  <c r="AH159"/>
  <c r="AH188"/>
  <c r="AH240"/>
  <c r="AH283"/>
  <c r="AH192"/>
  <c r="AH247"/>
  <c r="AH237"/>
  <c r="AH228"/>
  <c r="AH251"/>
  <c r="AH137"/>
  <c r="AH135"/>
  <c r="AH278"/>
  <c r="AH23"/>
  <c r="AH85"/>
  <c r="AH198"/>
  <c r="AH221"/>
  <c r="AH158"/>
  <c r="AH57"/>
  <c r="AH98"/>
  <c r="AH46"/>
  <c r="AH24"/>
  <c r="AH277"/>
  <c r="AH207"/>
  <c r="AH341"/>
  <c r="AH315"/>
  <c r="AH242"/>
  <c r="AH88"/>
  <c r="AH200"/>
  <c r="AH15"/>
  <c r="AH184"/>
  <c r="AH66"/>
  <c r="AH335"/>
  <c r="AH97"/>
  <c r="AH133"/>
  <c r="AH106"/>
  <c r="AH195"/>
  <c r="AH161"/>
  <c r="AH64"/>
  <c r="AH203"/>
  <c r="AH274"/>
  <c r="AH127"/>
  <c r="AH115"/>
  <c r="AH18"/>
  <c r="AH350"/>
  <c r="AH204"/>
  <c r="AH220"/>
  <c r="AG230" l="1"/>
  <c r="AC230"/>
  <c r="Z230"/>
  <c r="Y230"/>
  <c r="AG60"/>
  <c r="AC60"/>
  <c r="Z60"/>
  <c r="Y60"/>
  <c r="AG229"/>
  <c r="AC229"/>
  <c r="Z229"/>
  <c r="Y229"/>
  <c r="AG200"/>
  <c r="AC200"/>
  <c r="Z200"/>
  <c r="Y200"/>
  <c r="AG218"/>
  <c r="AC218"/>
  <c r="Z218"/>
  <c r="Y218"/>
  <c r="AG231"/>
  <c r="AC231"/>
  <c r="Z231"/>
  <c r="Y231"/>
  <c r="AG210"/>
  <c r="AC210"/>
  <c r="Z210"/>
  <c r="Y210"/>
  <c r="AG265"/>
  <c r="AC265"/>
  <c r="Z265"/>
  <c r="Y265"/>
  <c r="AJ249" s="1"/>
  <c r="AG279"/>
  <c r="AC279"/>
  <c r="Z279"/>
  <c r="Y279"/>
  <c r="AJ72" s="1"/>
  <c r="AG317"/>
  <c r="AC317"/>
  <c r="Z317"/>
  <c r="Y317"/>
  <c r="AG42"/>
  <c r="AC42"/>
  <c r="Z42"/>
  <c r="Y42"/>
  <c r="AG275"/>
  <c r="AC275"/>
  <c r="Z275"/>
  <c r="Y275"/>
  <c r="AJ246" s="1"/>
  <c r="AG235"/>
  <c r="AC235"/>
  <c r="Z235"/>
  <c r="Y235"/>
  <c r="AG300"/>
  <c r="AC300"/>
  <c r="Z300"/>
  <c r="Y300"/>
  <c r="AJ37" s="1"/>
  <c r="AG61"/>
  <c r="AC61"/>
  <c r="Z61"/>
  <c r="Y61"/>
  <c r="AG248"/>
  <c r="AC248"/>
  <c r="Z248"/>
  <c r="Y248"/>
  <c r="AG259"/>
  <c r="AC259"/>
  <c r="Z259"/>
  <c r="Y259"/>
  <c r="AG207"/>
  <c r="AC207"/>
  <c r="Z207"/>
  <c r="Y207"/>
  <c r="AG196"/>
  <c r="AC196"/>
  <c r="Z196"/>
  <c r="Y196"/>
  <c r="AG30"/>
  <c r="AC30"/>
  <c r="Z30"/>
  <c r="Y30"/>
  <c r="AG255"/>
  <c r="AC255"/>
  <c r="Z255"/>
  <c r="Y255"/>
  <c r="AJ34" s="1"/>
  <c r="AG351"/>
  <c r="AC351"/>
  <c r="Z351"/>
  <c r="Y351"/>
  <c r="AG45"/>
  <c r="AC45"/>
  <c r="Z45"/>
  <c r="Y45"/>
  <c r="AJ56" s="1"/>
  <c r="AG36"/>
  <c r="AC36"/>
  <c r="Z36"/>
  <c r="Y36"/>
  <c r="AG216"/>
  <c r="AC216"/>
  <c r="Z216"/>
  <c r="Y216"/>
  <c r="AG226"/>
  <c r="AC226"/>
  <c r="Z226"/>
  <c r="Y226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230" i="1" l="1"/>
  <c r="AJ229"/>
  <c r="AJ36"/>
  <c r="AJ241"/>
  <c r="AJ38"/>
  <c r="AJ250"/>
  <c r="AJ73"/>
  <c r="AJ254"/>
  <c r="AJ253"/>
  <c r="AJ39"/>
  <c r="AJ275"/>
  <c r="AJ317"/>
  <c r="AJ351"/>
  <c r="AJ300"/>
  <c r="AJ74"/>
  <c r="AJ255"/>
  <c r="AJ259"/>
  <c r="AJ40"/>
  <c r="AJ247"/>
  <c r="AJ248"/>
  <c r="AJ279"/>
  <c r="AJ42"/>
  <c r="AJ280"/>
  <c r="AJ265"/>
  <c r="A16" i="3"/>
  <c r="B13" s="1"/>
  <c r="B12" l="1"/>
  <c r="B15"/>
  <c r="B14"/>
  <c r="B11"/>
  <c r="B9"/>
  <c r="B6"/>
  <c r="B8"/>
  <c r="B10"/>
  <c r="B7"/>
  <c r="F3" i="2"/>
  <c r="C5"/>
  <c r="Y76" i="1"/>
  <c r="Y104"/>
  <c r="Y116"/>
  <c r="Y117"/>
  <c r="Y55"/>
  <c r="Y77"/>
  <c r="Y103"/>
  <c r="Y107"/>
  <c r="Y118"/>
  <c r="Y48"/>
  <c r="Y109"/>
  <c r="Y112"/>
  <c r="Y119"/>
  <c r="Y49"/>
  <c r="Y79"/>
  <c r="Y11"/>
  <c r="Y13"/>
  <c r="Y15"/>
  <c r="Y82"/>
  <c r="Y3"/>
  <c r="Y120"/>
  <c r="Y137"/>
  <c r="Y50"/>
  <c r="Y83"/>
  <c r="Y124"/>
  <c r="Y80"/>
  <c r="Y125"/>
  <c r="Y51"/>
  <c r="Y84"/>
  <c r="Y106"/>
  <c r="Y277"/>
  <c r="Y52"/>
  <c r="AJ51" s="1"/>
  <c r="Y85"/>
  <c r="Y10"/>
  <c r="Y114"/>
  <c r="Y134"/>
  <c r="Y53"/>
  <c r="Y67"/>
  <c r="Y131"/>
  <c r="Y81"/>
  <c r="Y86"/>
  <c r="Y140"/>
  <c r="Y87"/>
  <c r="Y21"/>
  <c r="Y78"/>
  <c r="AJ55" s="1"/>
  <c r="Y88"/>
  <c r="Y151"/>
  <c r="Y92"/>
  <c r="Y150"/>
  <c r="Y89"/>
  <c r="Y93"/>
  <c r="Y4"/>
  <c r="AJ3" s="1"/>
  <c r="Y113"/>
  <c r="Y274"/>
  <c r="AJ274" s="1"/>
  <c r="Y91"/>
  <c r="Y95"/>
  <c r="Y20"/>
  <c r="Y94"/>
  <c r="Y98"/>
  <c r="Y128"/>
  <c r="Y22"/>
  <c r="Y96"/>
  <c r="Y141"/>
  <c r="Y97"/>
  <c r="Y186"/>
  <c r="Y100"/>
  <c r="Y69"/>
  <c r="Y54"/>
  <c r="Y99"/>
  <c r="Y102"/>
  <c r="Y136"/>
  <c r="Y101"/>
  <c r="Y232"/>
  <c r="Y105"/>
  <c r="Y135"/>
  <c r="Y139"/>
  <c r="Y6"/>
  <c r="Y148"/>
  <c r="Y108"/>
  <c r="Y145"/>
  <c r="Y110"/>
  <c r="Y31"/>
  <c r="Y7"/>
  <c r="Y228"/>
  <c r="Y8"/>
  <c r="Y179"/>
  <c r="Y155"/>
  <c r="Y115"/>
  <c r="Y159"/>
  <c r="Y12"/>
  <c r="Y201"/>
  <c r="AJ201" s="1"/>
  <c r="Y126"/>
  <c r="Y160"/>
  <c r="Y130"/>
  <c r="Y153"/>
  <c r="Y111"/>
  <c r="Y68"/>
  <c r="Y9"/>
  <c r="Y121"/>
  <c r="Y127"/>
  <c r="Y129"/>
  <c r="Y90"/>
  <c r="Y144"/>
  <c r="Y138"/>
  <c r="Y14"/>
  <c r="AJ13" s="1"/>
  <c r="Y133"/>
  <c r="Y23"/>
  <c r="Y16"/>
  <c r="Y158"/>
  <c r="Y122"/>
  <c r="Y24"/>
  <c r="Y70"/>
  <c r="Y143"/>
  <c r="Y26"/>
  <c r="Y161"/>
  <c r="Y132"/>
  <c r="Y142"/>
  <c r="Y27"/>
  <c r="Y5"/>
  <c r="Y178"/>
  <c r="Y291"/>
  <c r="Y305"/>
  <c r="AJ305" s="1"/>
  <c r="Y28"/>
  <c r="Y29"/>
  <c r="Y187"/>
  <c r="Y18"/>
  <c r="Y156"/>
  <c r="Y173"/>
  <c r="Y346"/>
  <c r="Y157"/>
  <c r="Y162"/>
  <c r="Y198"/>
  <c r="Y149"/>
  <c r="Y209"/>
  <c r="Y19"/>
  <c r="Y167"/>
  <c r="Y168"/>
  <c r="Y64"/>
  <c r="Y17"/>
  <c r="Y170"/>
  <c r="Y188"/>
  <c r="Y176"/>
  <c r="Y123"/>
  <c r="Y169"/>
  <c r="Y147"/>
  <c r="Y180"/>
  <c r="Y298"/>
  <c r="AJ298" s="1"/>
  <c r="Y222"/>
  <c r="Y59"/>
  <c r="AJ59" s="1"/>
  <c r="Y191"/>
  <c r="Y62"/>
  <c r="Y252"/>
  <c r="Y164"/>
  <c r="Y309"/>
  <c r="AJ309" s="1"/>
  <c r="Y227"/>
  <c r="Y163"/>
  <c r="Y171"/>
  <c r="Y152"/>
  <c r="Y348"/>
  <c r="Y146"/>
  <c r="Y154"/>
  <c r="Y165"/>
  <c r="Y205"/>
  <c r="Y244"/>
  <c r="AJ244" s="1"/>
  <c r="Y192"/>
  <c r="Y204"/>
  <c r="Y177"/>
  <c r="Y267"/>
  <c r="Y263"/>
  <c r="Y195"/>
  <c r="Y193"/>
  <c r="Y183"/>
  <c r="Y175"/>
  <c r="Y25"/>
  <c r="Y181"/>
  <c r="Y219"/>
  <c r="Y58"/>
  <c r="Y189"/>
  <c r="Y184"/>
  <c r="Y212"/>
  <c r="Y57"/>
  <c r="Y46"/>
  <c r="Y194"/>
  <c r="Y342"/>
  <c r="Y289"/>
  <c r="Y41"/>
  <c r="Y294"/>
  <c r="Y221"/>
  <c r="Y223"/>
  <c r="Y349"/>
  <c r="Y185"/>
  <c r="Y65"/>
  <c r="Y182"/>
  <c r="Y174"/>
  <c r="Y213"/>
  <c r="AJ210" s="1"/>
  <c r="Y172"/>
  <c r="Y220"/>
  <c r="Y166"/>
  <c r="Y197"/>
  <c r="Y32"/>
  <c r="Y190"/>
  <c r="Y233"/>
  <c r="Y350"/>
  <c r="AJ350" s="1"/>
  <c r="Y63"/>
  <c r="Y71"/>
  <c r="Y203"/>
  <c r="Y202"/>
  <c r="Y214"/>
  <c r="AJ211" s="1"/>
  <c r="Y282"/>
  <c r="Y199"/>
  <c r="Y35"/>
  <c r="AJ35" s="1"/>
  <c r="Y225"/>
  <c r="Y224"/>
  <c r="Y33"/>
  <c r="Y206"/>
  <c r="Y272"/>
  <c r="Y75"/>
  <c r="C6" i="2"/>
  <c r="C7"/>
  <c r="C8"/>
  <c r="C9"/>
  <c r="C10"/>
  <c r="AG272" i="1"/>
  <c r="AC272"/>
  <c r="Z272"/>
  <c r="AG206"/>
  <c r="AC206"/>
  <c r="Z206"/>
  <c r="AG33"/>
  <c r="AC33"/>
  <c r="Z33"/>
  <c r="AG224"/>
  <c r="AC224"/>
  <c r="Z224"/>
  <c r="AG225"/>
  <c r="AC225"/>
  <c r="Z225"/>
  <c r="AG35"/>
  <c r="AC35"/>
  <c r="Z35"/>
  <c r="AG199"/>
  <c r="AC199"/>
  <c r="Z199"/>
  <c r="AG282"/>
  <c r="AC282"/>
  <c r="Z282"/>
  <c r="AG214"/>
  <c r="AC214"/>
  <c r="Z214"/>
  <c r="AG202"/>
  <c r="AC202"/>
  <c r="Z202"/>
  <c r="AG203"/>
  <c r="AC203"/>
  <c r="Z203"/>
  <c r="AG71"/>
  <c r="AC71"/>
  <c r="Z71"/>
  <c r="AG63"/>
  <c r="AC63"/>
  <c r="Z63"/>
  <c r="AG350"/>
  <c r="AC350"/>
  <c r="Z350"/>
  <c r="AG233"/>
  <c r="AC233"/>
  <c r="Z233"/>
  <c r="AG190"/>
  <c r="AC190"/>
  <c r="Z190"/>
  <c r="AG32"/>
  <c r="AC32"/>
  <c r="Z32"/>
  <c r="AG166"/>
  <c r="AC166"/>
  <c r="Z166"/>
  <c r="E5" i="7"/>
  <c r="E4"/>
  <c r="E3"/>
  <c r="AG197" i="1"/>
  <c r="AC197"/>
  <c r="Z197"/>
  <c r="AG220"/>
  <c r="AC220"/>
  <c r="Z220"/>
  <c r="AG172"/>
  <c r="AC172"/>
  <c r="Z172"/>
  <c r="AG213"/>
  <c r="AC213"/>
  <c r="Z213"/>
  <c r="B5" i="7"/>
  <c r="B4"/>
  <c r="B3"/>
  <c r="AG174" i="1"/>
  <c r="AC174"/>
  <c r="Z174"/>
  <c r="AG182"/>
  <c r="AC182"/>
  <c r="Z182"/>
  <c r="AG65"/>
  <c r="AC65"/>
  <c r="Z65"/>
  <c r="AG185"/>
  <c r="AC185"/>
  <c r="Z185"/>
  <c r="AG349"/>
  <c r="AC349"/>
  <c r="Z349"/>
  <c r="AG223"/>
  <c r="AC223"/>
  <c r="Z223"/>
  <c r="AG221"/>
  <c r="AC221"/>
  <c r="Z221"/>
  <c r="AG294"/>
  <c r="AC294"/>
  <c r="Z294"/>
  <c r="AG41"/>
  <c r="AC41"/>
  <c r="Z41"/>
  <c r="AG289"/>
  <c r="AC289"/>
  <c r="Z289"/>
  <c r="AG342"/>
  <c r="AC342"/>
  <c r="Z342"/>
  <c r="AG194"/>
  <c r="AC194"/>
  <c r="Z194"/>
  <c r="AJ209" l="1"/>
  <c r="AJ169"/>
  <c r="AJ23"/>
  <c r="AJ186"/>
  <c r="AJ22"/>
  <c r="AJ159"/>
  <c r="AJ53"/>
  <c r="AJ6"/>
  <c r="AJ227"/>
  <c r="AJ144"/>
  <c r="AJ277"/>
  <c r="AJ182"/>
  <c r="AJ175"/>
  <c r="AJ14"/>
  <c r="AJ179"/>
  <c r="AJ191"/>
  <c r="AJ18"/>
  <c r="AJ25"/>
  <c r="AJ89"/>
  <c r="AJ28"/>
  <c r="AJ130"/>
  <c r="AJ137"/>
  <c r="AJ15"/>
  <c r="AJ152"/>
  <c r="AJ199"/>
  <c r="AJ33"/>
  <c r="AJ172"/>
  <c r="AJ214"/>
  <c r="AJ163"/>
  <c r="AJ162"/>
  <c r="AJ8"/>
  <c r="AJ127"/>
  <c r="AJ9"/>
  <c r="AJ63"/>
  <c r="AJ16"/>
  <c r="AJ4"/>
  <c r="AJ161"/>
  <c r="AJ145"/>
  <c r="AJ5"/>
  <c r="AJ19"/>
  <c r="AJ181"/>
  <c r="AJ50"/>
  <c r="AJ31"/>
  <c r="AJ120"/>
  <c r="AJ27"/>
  <c r="AJ91"/>
  <c r="AJ49"/>
  <c r="AJ167"/>
  <c r="AJ203"/>
  <c r="AJ219"/>
  <c r="AJ223"/>
  <c r="AJ143"/>
  <c r="AJ151"/>
  <c r="AJ153"/>
  <c r="AJ105"/>
  <c r="AJ132"/>
  <c r="AJ133"/>
  <c r="AJ148"/>
  <c r="AJ139"/>
  <c r="AJ90"/>
  <c r="AJ69"/>
  <c r="AJ67"/>
  <c r="AJ128"/>
  <c r="AJ112"/>
  <c r="AJ123"/>
  <c r="AJ76"/>
  <c r="AJ107"/>
  <c r="AJ98"/>
  <c r="AJ237"/>
  <c r="AJ70"/>
  <c r="AJ216"/>
  <c r="AJ232"/>
  <c r="AJ171"/>
  <c r="AJ108"/>
  <c r="AJ220"/>
  <c r="AJ95"/>
  <c r="AJ245"/>
  <c r="AJ109"/>
  <c r="AJ32"/>
  <c r="AJ224"/>
  <c r="AJ164"/>
  <c r="AJ238"/>
  <c r="AJ196"/>
  <c r="AJ204"/>
  <c r="AJ86"/>
  <c r="AJ29"/>
  <c r="AJ197"/>
  <c r="AJ160"/>
  <c r="AJ193"/>
  <c r="AJ71"/>
  <c r="AJ150"/>
  <c r="AJ189"/>
  <c r="AJ177"/>
  <c r="AJ174"/>
  <c r="AJ207"/>
  <c r="AJ155"/>
  <c r="AJ17"/>
  <c r="AJ26"/>
  <c r="AJ117"/>
  <c r="AJ131"/>
  <c r="AJ87"/>
  <c r="AJ10"/>
  <c r="AJ176"/>
  <c r="AJ30"/>
  <c r="AJ146"/>
  <c r="AJ101"/>
  <c r="AJ100"/>
  <c r="AJ97"/>
  <c r="AJ94"/>
  <c r="AJ92"/>
  <c r="AJ198"/>
  <c r="AJ233"/>
  <c r="AJ138"/>
  <c r="AJ84"/>
  <c r="AJ102"/>
  <c r="AJ77"/>
  <c r="AJ134"/>
  <c r="AJ121"/>
  <c r="AJ48"/>
  <c r="AJ75"/>
  <c r="AJ103"/>
  <c r="AJ202"/>
  <c r="AJ225"/>
  <c r="AJ228"/>
  <c r="AJ221"/>
  <c r="AJ195"/>
  <c r="AJ239"/>
  <c r="AJ183"/>
  <c r="AJ215"/>
  <c r="AJ192"/>
  <c r="AJ205"/>
  <c r="AJ11"/>
  <c r="AJ61"/>
  <c r="AJ154"/>
  <c r="AJ158"/>
  <c r="AJ119"/>
  <c r="AJ79"/>
  <c r="AJ218"/>
  <c r="AJ222"/>
  <c r="AJ206"/>
  <c r="AJ240"/>
  <c r="AJ113"/>
  <c r="AJ47"/>
  <c r="AJ212"/>
  <c r="AJ165"/>
  <c r="AJ178"/>
  <c r="AJ129"/>
  <c r="AJ234"/>
  <c r="AJ135"/>
  <c r="AJ124"/>
  <c r="AJ111"/>
  <c r="AJ68"/>
  <c r="AJ136"/>
  <c r="AJ99"/>
  <c r="AJ125"/>
  <c r="AJ93"/>
  <c r="AJ88"/>
  <c r="AJ20"/>
  <c r="AJ80"/>
  <c r="AJ78"/>
  <c r="AJ114"/>
  <c r="AJ104"/>
  <c r="AJ188"/>
  <c r="AJ170"/>
  <c r="AJ180"/>
  <c r="AJ231"/>
  <c r="AJ60"/>
  <c r="AJ213"/>
  <c r="AJ285"/>
  <c r="AJ208"/>
  <c r="AJ58"/>
  <c r="AJ46"/>
  <c r="AJ173"/>
  <c r="AJ194"/>
  <c r="AJ54"/>
  <c r="AJ293"/>
  <c r="AJ217"/>
  <c r="AJ200"/>
  <c r="AJ187"/>
  <c r="AJ57"/>
  <c r="AJ190"/>
  <c r="AJ168"/>
  <c r="AJ185"/>
  <c r="AJ166"/>
  <c r="AJ147"/>
  <c r="AJ236"/>
  <c r="AJ140"/>
  <c r="AJ141"/>
  <c r="AJ156"/>
  <c r="AJ126"/>
  <c r="AJ142"/>
  <c r="AJ24"/>
  <c r="AJ157"/>
  <c r="AJ7"/>
  <c r="AJ106"/>
  <c r="AJ226"/>
  <c r="AJ96"/>
  <c r="AJ184"/>
  <c r="AJ21"/>
  <c r="AJ110"/>
  <c r="AJ149"/>
  <c r="AJ85"/>
  <c r="AJ52"/>
  <c r="AJ83"/>
  <c r="AJ82"/>
  <c r="AJ122"/>
  <c r="AJ115"/>
  <c r="AJ12"/>
  <c r="AJ118"/>
  <c r="AJ116"/>
  <c r="AJ81"/>
  <c r="AJ346"/>
  <c r="AJ349"/>
  <c r="AJ65"/>
  <c r="AJ291"/>
  <c r="AJ339"/>
  <c r="AJ347"/>
  <c r="AJ278"/>
  <c r="AJ41"/>
  <c r="AJ307"/>
  <c r="AJ308"/>
  <c r="AJ341"/>
  <c r="AJ342"/>
  <c r="AJ299"/>
  <c r="AJ303"/>
  <c r="AJ64"/>
  <c r="AJ348"/>
  <c r="AJ294"/>
  <c r="AJ287"/>
  <c r="AJ289"/>
  <c r="AJ269"/>
  <c r="AJ272"/>
  <c r="AJ62"/>
  <c r="AJ235"/>
  <c r="AJ45"/>
  <c r="AJ267"/>
  <c r="AJ242"/>
  <c r="AJ243"/>
  <c r="AJ251"/>
  <c r="AJ252"/>
  <c r="AJ273"/>
  <c r="AJ282"/>
  <c r="AJ263"/>
  <c r="AJ320"/>
  <c r="B60" i="3"/>
  <c r="AJ316" i="1"/>
  <c r="B59" i="3"/>
  <c r="U11"/>
  <c r="U7"/>
  <c r="U5"/>
  <c r="U10"/>
  <c r="U8"/>
  <c r="U6"/>
  <c r="U9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46" i="1"/>
  <c r="AC46"/>
  <c r="Z46"/>
  <c r="AG57"/>
  <c r="AC57"/>
  <c r="Z57"/>
  <c r="AG212"/>
  <c r="AC212"/>
  <c r="Z212"/>
  <c r="AG184"/>
  <c r="AC184"/>
  <c r="Z184"/>
  <c r="AG189"/>
  <c r="AC189"/>
  <c r="Z189"/>
  <c r="AG58"/>
  <c r="AC58"/>
  <c r="Z58"/>
  <c r="AG219"/>
  <c r="AC219"/>
  <c r="Z219"/>
  <c r="AG181"/>
  <c r="AC181"/>
  <c r="Z181"/>
  <c r="AG25"/>
  <c r="AC25"/>
  <c r="Z25"/>
  <c r="AG175"/>
  <c r="AC175"/>
  <c r="Z175"/>
  <c r="AG183"/>
  <c r="AC183"/>
  <c r="Z183"/>
  <c r="AG193"/>
  <c r="AC193"/>
  <c r="Z193"/>
  <c r="AG195"/>
  <c r="AC195"/>
  <c r="Z195"/>
  <c r="AG263"/>
  <c r="AC263"/>
  <c r="Z263"/>
  <c r="AG267"/>
  <c r="AC267"/>
  <c r="Z267"/>
  <c r="AG177"/>
  <c r="AC177"/>
  <c r="Z177"/>
  <c r="AG204"/>
  <c r="AC204"/>
  <c r="Z204"/>
  <c r="AG192"/>
  <c r="AC192"/>
  <c r="Z192"/>
  <c r="AG244"/>
  <c r="AC244"/>
  <c r="Z244"/>
  <c r="AG205"/>
  <c r="AC205"/>
  <c r="Z205"/>
  <c r="AG165"/>
  <c r="AC165"/>
  <c r="Z165"/>
  <c r="AG154"/>
  <c r="AC154"/>
  <c r="Z154"/>
  <c r="AG146"/>
  <c r="AC146"/>
  <c r="Z146"/>
  <c r="AG348"/>
  <c r="AC348"/>
  <c r="Z348"/>
  <c r="AG152"/>
  <c r="AC152"/>
  <c r="Z152"/>
  <c r="AG171"/>
  <c r="AC171"/>
  <c r="Z171"/>
  <c r="AG163"/>
  <c r="AC163"/>
  <c r="Z163"/>
  <c r="AG227"/>
  <c r="AC227"/>
  <c r="Z227"/>
  <c r="AG309"/>
  <c r="AC309"/>
  <c r="Z309"/>
  <c r="AG164"/>
  <c r="AC164"/>
  <c r="Z164"/>
  <c r="AG252"/>
  <c r="AC252"/>
  <c r="Z252"/>
  <c r="AG62"/>
  <c r="AC62"/>
  <c r="Z62"/>
  <c r="AG191"/>
  <c r="AC191"/>
  <c r="Z191"/>
  <c r="AG59"/>
  <c r="AC59"/>
  <c r="Z59"/>
  <c r="AG222"/>
  <c r="AC222"/>
  <c r="Z222"/>
  <c r="AG298"/>
  <c r="AC298"/>
  <c r="Z298"/>
  <c r="AG180"/>
  <c r="AC180"/>
  <c r="Z180"/>
  <c r="AG147"/>
  <c r="AC147"/>
  <c r="Z147"/>
  <c r="AG169"/>
  <c r="AC169"/>
  <c r="Z169"/>
  <c r="AG123"/>
  <c r="AC123"/>
  <c r="Z123"/>
  <c r="AG176"/>
  <c r="AC176"/>
  <c r="Z176"/>
  <c r="AG188"/>
  <c r="AC188"/>
  <c r="Z188"/>
  <c r="AG170"/>
  <c r="AC170"/>
  <c r="Z170"/>
  <c r="AG17"/>
  <c r="AC17"/>
  <c r="Z17"/>
  <c r="AG64"/>
  <c r="AC64"/>
  <c r="Z64"/>
  <c r="AG168"/>
  <c r="AC168"/>
  <c r="Z168"/>
  <c r="AG167"/>
  <c r="AC167"/>
  <c r="Z167"/>
  <c r="AG19"/>
  <c r="AC19"/>
  <c r="Z19"/>
  <c r="AG209"/>
  <c r="AC209"/>
  <c r="Z209"/>
  <c r="AG149"/>
  <c r="AC149"/>
  <c r="Z149"/>
  <c r="AG198"/>
  <c r="AC198"/>
  <c r="Z198"/>
  <c r="AG162"/>
  <c r="AC162"/>
  <c r="Z162"/>
  <c r="AG157"/>
  <c r="AC157"/>
  <c r="Z157"/>
  <c r="AG346"/>
  <c r="AC346"/>
  <c r="Z346"/>
  <c r="AG173"/>
  <c r="AC173"/>
  <c r="Z173"/>
  <c r="AG156"/>
  <c r="AC156"/>
  <c r="Z156"/>
  <c r="AG18"/>
  <c r="AC18"/>
  <c r="Z18"/>
  <c r="U12" i="3" l="1"/>
  <c r="U23"/>
  <c r="B61"/>
  <c r="AG187" i="1"/>
  <c r="AC187"/>
  <c r="Z187"/>
  <c r="AG29"/>
  <c r="AC29"/>
  <c r="Z29"/>
  <c r="AG28"/>
  <c r="AC28"/>
  <c r="Z28"/>
  <c r="AG305"/>
  <c r="AC305"/>
  <c r="Z305"/>
  <c r="AG291"/>
  <c r="AC291"/>
  <c r="Z291"/>
  <c r="AG178"/>
  <c r="AC178"/>
  <c r="Z178"/>
  <c r="AG5"/>
  <c r="AC5"/>
  <c r="Z5"/>
  <c r="AG27"/>
  <c r="AC27"/>
  <c r="Z27"/>
  <c r="AG142"/>
  <c r="AC142"/>
  <c r="Z142"/>
  <c r="AG132"/>
  <c r="AC132"/>
  <c r="Z132"/>
  <c r="AG161"/>
  <c r="AC161"/>
  <c r="Z161"/>
  <c r="AG26"/>
  <c r="AC26"/>
  <c r="Z26"/>
  <c r="AG143"/>
  <c r="AC143"/>
  <c r="Z143"/>
  <c r="AG70"/>
  <c r="AC70"/>
  <c r="Z70"/>
  <c r="AG24"/>
  <c r="AC24"/>
  <c r="Z24"/>
  <c r="AG122" l="1"/>
  <c r="AC122"/>
  <c r="Z122"/>
  <c r="AG158"/>
  <c r="AC158"/>
  <c r="Z158"/>
  <c r="AG16"/>
  <c r="AC16"/>
  <c r="Z16"/>
  <c r="AG23"/>
  <c r="AC23"/>
  <c r="Z23"/>
  <c r="AG133"/>
  <c r="AC133"/>
  <c r="Z133"/>
  <c r="AG14"/>
  <c r="AC14"/>
  <c r="Z14"/>
  <c r="AG138"/>
  <c r="AC138"/>
  <c r="Z138"/>
  <c r="AG144" l="1"/>
  <c r="AC144"/>
  <c r="Z144"/>
  <c r="AG90"/>
  <c r="AC90"/>
  <c r="Z90"/>
  <c r="AG129" l="1"/>
  <c r="AC129"/>
  <c r="Z129"/>
  <c r="AG127"/>
  <c r="AC127"/>
  <c r="Z127"/>
  <c r="AG121"/>
  <c r="AC121"/>
  <c r="Z121"/>
  <c r="AG9" l="1"/>
  <c r="AC9"/>
  <c r="Z9"/>
  <c r="AC68" l="1"/>
  <c r="Z68"/>
  <c r="AG68"/>
  <c r="AG111"/>
  <c r="AC111"/>
  <c r="Z111"/>
  <c r="AG153" l="1"/>
  <c r="AC153"/>
  <c r="Z153"/>
  <c r="AG130"/>
  <c r="AC130"/>
  <c r="Z130"/>
  <c r="AG160"/>
  <c r="AC160"/>
  <c r="Z160"/>
  <c r="AG126"/>
  <c r="AC126"/>
  <c r="Z126"/>
  <c r="AG201"/>
  <c r="AC201"/>
  <c r="Z201"/>
  <c r="AG12"/>
  <c r="AC12"/>
  <c r="Z12"/>
  <c r="AG159"/>
  <c r="AC159"/>
  <c r="Z159"/>
  <c r="AG115"/>
  <c r="AC115"/>
  <c r="Z115"/>
  <c r="AG155"/>
  <c r="AC155"/>
  <c r="Z155"/>
  <c r="AG179"/>
  <c r="AC179"/>
  <c r="Z179"/>
  <c r="AG8"/>
  <c r="AC8"/>
  <c r="Z8"/>
  <c r="AG228"/>
  <c r="AC228"/>
  <c r="Z228"/>
  <c r="AG7"/>
  <c r="AC7"/>
  <c r="Z7"/>
  <c r="AG31"/>
  <c r="AC31"/>
  <c r="Z31"/>
  <c r="AG110"/>
  <c r="AC110"/>
  <c r="Z110"/>
  <c r="AG145"/>
  <c r="AC145"/>
  <c r="Z145"/>
  <c r="AG108"/>
  <c r="AC108"/>
  <c r="Z108"/>
  <c r="AG148"/>
  <c r="AC148"/>
  <c r="Z148"/>
  <c r="AG6"/>
  <c r="AC6"/>
  <c r="Z6"/>
  <c r="AG139"/>
  <c r="AC139"/>
  <c r="Z139"/>
  <c r="AG135"/>
  <c r="AC135"/>
  <c r="Z135"/>
  <c r="AG105"/>
  <c r="AC105"/>
  <c r="Z105"/>
  <c r="AG232"/>
  <c r="AC232"/>
  <c r="Z232"/>
  <c r="AG101"/>
  <c r="AC101"/>
  <c r="Z101"/>
  <c r="AG136"/>
  <c r="AC136"/>
  <c r="Z136"/>
  <c r="AG102"/>
  <c r="AC102"/>
  <c r="Z102"/>
  <c r="AG99"/>
  <c r="AC99"/>
  <c r="Z99"/>
  <c r="AG54"/>
  <c r="AC54"/>
  <c r="Z54"/>
  <c r="AG69"/>
  <c r="AC69"/>
  <c r="Z69"/>
  <c r="AC100"/>
  <c r="Z100"/>
  <c r="AG100"/>
  <c r="AG186"/>
  <c r="AC186"/>
  <c r="Z186"/>
  <c r="AG97"/>
  <c r="AC97"/>
  <c r="Z97"/>
  <c r="AG141"/>
  <c r="AC141"/>
  <c r="Z141"/>
  <c r="AG96"/>
  <c r="AC96"/>
  <c r="Z96"/>
  <c r="AG22"/>
  <c r="AC22"/>
  <c r="Z22"/>
  <c r="AC128"/>
  <c r="Z128"/>
  <c r="AG128"/>
  <c r="AG98"/>
  <c r="AC98"/>
  <c r="Z98"/>
  <c r="AG94"/>
  <c r="AC94"/>
  <c r="Z94"/>
  <c r="AG20"/>
  <c r="AC20"/>
  <c r="Z20"/>
  <c r="AG95"/>
  <c r="AC95"/>
  <c r="Z95"/>
  <c r="AG91"/>
  <c r="AC91"/>
  <c r="Z91"/>
  <c r="AG274"/>
  <c r="AC274"/>
  <c r="Z274"/>
  <c r="AC113"/>
  <c r="Z113"/>
  <c r="AG113"/>
  <c r="AG4"/>
  <c r="AC4"/>
  <c r="Z4"/>
  <c r="AG93"/>
  <c r="AC93"/>
  <c r="Z93"/>
  <c r="AG89"/>
  <c r="AC89"/>
  <c r="Z89"/>
  <c r="AG150"/>
  <c r="AC150"/>
  <c r="Z150"/>
  <c r="AG92"/>
  <c r="AC92"/>
  <c r="Z92"/>
  <c r="AG151"/>
  <c r="AC151"/>
  <c r="Z151"/>
  <c r="AG88"/>
  <c r="AC88"/>
  <c r="Z88"/>
  <c r="AG78"/>
  <c r="AC78"/>
  <c r="Z78"/>
  <c r="AG21"/>
  <c r="AC21"/>
  <c r="Z21"/>
  <c r="AG87"/>
  <c r="AC87"/>
  <c r="Z87"/>
  <c r="AG140"/>
  <c r="AC140"/>
  <c r="Z140"/>
  <c r="AG86"/>
  <c r="AC86"/>
  <c r="Z86"/>
  <c r="AG81"/>
  <c r="AC81"/>
  <c r="Z81"/>
  <c r="AG131"/>
  <c r="AC131"/>
  <c r="Z131"/>
  <c r="AG67"/>
  <c r="AC67"/>
  <c r="Z67"/>
  <c r="AG53"/>
  <c r="AC53"/>
  <c r="Z53"/>
  <c r="AG134"/>
  <c r="AC134"/>
  <c r="Z134"/>
  <c r="AC114"/>
  <c r="Z114"/>
  <c r="AG114"/>
  <c r="AC10"/>
  <c r="Z10"/>
  <c r="AG10"/>
  <c r="AG85"/>
  <c r="AC85"/>
  <c r="Z85"/>
  <c r="AG52"/>
  <c r="AC52"/>
  <c r="Z52"/>
  <c r="AG277"/>
  <c r="AC277"/>
  <c r="Z277"/>
  <c r="AC106"/>
  <c r="Z106"/>
  <c r="AG106"/>
  <c r="AG84"/>
  <c r="AC84"/>
  <c r="Z84"/>
  <c r="AG51"/>
  <c r="AC51"/>
  <c r="Z51"/>
  <c r="AG125"/>
  <c r="AC125"/>
  <c r="Z125"/>
  <c r="AG80"/>
  <c r="AC80"/>
  <c r="Z80"/>
  <c r="AG124"/>
  <c r="AC124"/>
  <c r="Z124"/>
  <c r="AG83"/>
  <c r="AC83"/>
  <c r="Z83"/>
  <c r="AG50"/>
  <c r="AC50"/>
  <c r="Z50"/>
  <c r="AG137"/>
  <c r="AC137"/>
  <c r="Z137"/>
  <c r="AG120"/>
  <c r="AC120"/>
  <c r="Z120"/>
  <c r="AG3"/>
  <c r="AC3"/>
  <c r="Z3"/>
  <c r="AG82"/>
  <c r="AC82"/>
  <c r="Z82"/>
  <c r="AG15"/>
  <c r="AC15"/>
  <c r="Z15"/>
  <c r="AG13"/>
  <c r="AC13"/>
  <c r="Z13"/>
  <c r="AG11"/>
  <c r="AC11"/>
  <c r="Z11"/>
  <c r="AG79"/>
  <c r="AC79"/>
  <c r="Z79"/>
  <c r="AG49" l="1"/>
  <c r="AC49"/>
  <c r="Z49"/>
  <c r="AG119"/>
  <c r="AC119"/>
  <c r="Z119"/>
  <c r="AG112"/>
  <c r="AC112"/>
  <c r="Z112"/>
  <c r="AG109"/>
  <c r="AC109"/>
  <c r="Z109"/>
  <c r="AG48"/>
  <c r="AC48"/>
  <c r="Z48"/>
  <c r="AG118"/>
  <c r="AC118"/>
  <c r="Z118"/>
  <c r="AG107"/>
  <c r="AC107"/>
  <c r="Z107"/>
  <c r="AC103"/>
  <c r="Z103"/>
  <c r="AG103"/>
  <c r="AG77"/>
  <c r="AC77"/>
  <c r="Z77"/>
  <c r="AG55"/>
  <c r="AC55"/>
  <c r="Z55"/>
  <c r="AG117"/>
  <c r="AC117"/>
  <c r="Z117"/>
  <c r="AG116"/>
  <c r="AC116"/>
  <c r="Z116"/>
  <c r="AG104"/>
  <c r="AC104"/>
  <c r="Z104"/>
  <c r="AG76"/>
  <c r="AC76"/>
  <c r="Z76"/>
  <c r="AG75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75" i="1" l="1"/>
  <c r="A83" i="3" l="1"/>
  <c r="B80" l="1"/>
  <c r="B81"/>
  <c r="B79"/>
  <c r="B82"/>
  <c r="AC75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75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<sst xmlns="http://schemas.openxmlformats.org/spreadsheetml/2006/main" count="7370" uniqueCount="2428">
  <si>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</si>
  <si>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</si>
  <si>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</si>
  <si>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</si>
  <si>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</si>
  <si>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</si>
  <si>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</si>
  <si>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</si>
  <si>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</si>
  <si>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</si>
  <si>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</si>
  <si>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</si>
  <si>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</si>
  <si>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</si>
  <si>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</si>
  <si>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</si>
  <si>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</si>
  <si>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</si>
  <si>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</si>
  <si>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</si>
  <si>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</si>
  <si>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</si>
  <si>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</si>
  <si>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</si>
  <si>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</si>
  <si>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</si>
  <si>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</si>
  <si>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</si>
  <si>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</si>
  <si>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</si>
  <si>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</si>
  <si>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</si>
  <si>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</si>
  <si>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</si>
  <si>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</si>
  <si>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</si>
  <si>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</si>
  <si>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</si>
  <si>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</si>
  <si>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</si>
  <si>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</si>
  <si>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</si>
  <si>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</si>
  <si>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</si>
  <si>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</si>
  <si>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</si>
  <si>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</si>
  <si>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</si>
  <si>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</si>
  <si>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</si>
  <si>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</si>
  <si>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</si>
  <si>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</si>
  <si>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</si>
  <si>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</si>
  <si>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</si>
  <si>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</si>
  <si>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</si>
  <si>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</si>
  <si>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</si>
  <si>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</si>
  <si>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</si>
  <si>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</si>
  <si>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</si>
  <si>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</si>
  <si>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</si>
  <si>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</si>
  <si>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</si>
  <si>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</si>
  <si>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</si>
  <si>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</si>
  <si>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</si>
  <si>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</si>
  <si>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</si>
  <si>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</si>
  <si>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</si>
  <si>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</si>
  <si>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</si>
  <si>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</si>
  <si>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</si>
  <si>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</si>
  <si>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</si>
  <si>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</si>
  <si>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</si>
  <si>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</si>
  <si>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</si>
  <si>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</si>
  <si>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</si>
  <si>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</si>
  <si>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</si>
  <si>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</si>
  <si>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</si>
  <si>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</si>
  <si>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</si>
  <si>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</si>
  <si>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</si>
  <si>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</si>
  <si>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</si>
  <si>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</si>
  <si>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</si>
  <si>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</si>
  <si>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</si>
  <si>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</si>
  <si>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</si>
  <si>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</si>
  <si>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</si>
  <si>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</si>
  <si>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</si>
  <si>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</si>
  <si>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</si>
  <si>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</si>
  <si>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</si>
  <si>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</si>
  <si>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</si>
  <si>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</si>
  <si>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</si>
  <si>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</si>
  <si>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</si>
  <si>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</si>
  <si>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</si>
  <si>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</si>
  <si>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</si>
  <si>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</si>
  <si>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</si>
  <si>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</si>
  <si>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</si>
  <si>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</si>
  <si>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</si>
  <si>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</si>
  <si>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</si>
  <si>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</si>
  <si>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</si>
  <si>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</si>
  <si>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</si>
  <si>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</si>
  <si>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</si>
  <si>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</si>
  <si>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</si>
  <si>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</si>
  <si>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</si>
  <si>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</si>
  <si>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</si>
  <si>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</si>
  <si>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</si>
  <si>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</si>
  <si>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</si>
  <si>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</si>
  <si>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</si>
  <si>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</si>
  <si>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</si>
  <si>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</si>
  <si>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</si>
  <si>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</si>
  <si>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</si>
  <si>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</si>
  <si>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</si>
  <si>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</si>
  <si>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</si>
  <si>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</si>
  <si>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</si>
  <si>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</si>
  <si>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</si>
  <si>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</si>
  <si>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</si>
  <si>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</si>
  <si>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</si>
  <si>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</si>
  <si>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</si>
  <si>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</si>
  <si>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</si>
  <si>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</si>
  <si>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</si>
  <si>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</si>
  <si>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</si>
  <si>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</si>
  <si>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</si>
  <si>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</si>
  <si>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</si>
  <si>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</si>
  <si>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</si>
  <si>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</si>
  <si>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</si>
  <si>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</si>
  <si>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</si>
  <si>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</si>
  <si>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</si>
  <si>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</si>
  <si>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</si>
  <si>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</si>
  <si>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</si>
  <si>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</si>
  <si>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</si>
  <si>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</si>
  <si>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</si>
  <si>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</si>
  <si>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</si>
  <si>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</si>
  <si>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</si>
  <si>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</si>
  <si>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</si>
  <si>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</si>
  <si>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</si>
  <si>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</si>
  <si>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</si>
  <si>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</si>
  <si>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</si>
  <si>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</si>
  <si>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</si>
  <si>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</si>
  <si>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</si>
  <si>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</si>
  <si>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</si>
  <si>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</si>
  <si>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</si>
  <si>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</si>
  <si>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</si>
  <si>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</si>
  <si>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</si>
  <si>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</si>
  <si>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</si>
  <si>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</si>
  <si>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</si>
  <si>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</si>
  <si>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</si>
  <si>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</si>
  <si>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</si>
  <si>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</si>
  <si>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</si>
  <si>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</si>
  <si>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</si>
  <si>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</si>
  <si>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</si>
  <si>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</si>
  <si>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</si>
  <si>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</si>
  <si>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</si>
  <si>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</si>
  <si>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</si>
  <si>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</si>
  <si>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</si>
  <si>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</si>
  <si>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</si>
  <si>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</si>
  <si>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</si>
  <si>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</si>
  <si>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</si>
  <si>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</si>
  <si>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</si>
  <si>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</si>
  <si>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</si>
  <si>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</si>
  <si>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</si>
  <si>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</si>
  <si>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</si>
  <si>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</si>
  <si>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</si>
  <si>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</si>
  <si>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</si>
  <si>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</si>
  <si>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</si>
  <si>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</si>
  <si>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</si>
  <si>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</si>
  <si>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</si>
  <si>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</si>
  <si>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</si>
  <si>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</si>
  <si>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</si>
  <si>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</si>
  <si>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</si>
  <si>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</si>
  <si>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</si>
  <si>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</si>
  <si>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</si>
  <si>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</si>
  <si>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</si>
  <si>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</si>
  <si>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</si>
  <si>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</si>
  <si>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</si>
  <si>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</si>
  <si>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</si>
  <si>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</si>
  <si>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</si>
  <si>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</si>
  <si>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</si>
  <si>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</si>
  <si>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</si>
  <si>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</si>
  <si>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</si>
  <si>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</si>
  <si>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</si>
  <si>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</si>
  <si>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</si>
  <si>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</si>
  <si>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</si>
  <si>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</si>
  <si>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</si>
  <si>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</si>
  <si>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</si>
  <si>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</si>
  <si>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</si>
  <si>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</si>
  <si>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</si>
  <si>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</si>
  <si>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</si>
  <si>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</si>
  <si>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</si>
  <si>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</si>
  <si>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</si>
  <si>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</si>
  <si>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</si>
  <si>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</si>
  <si>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</si>
  <si>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</si>
  <si>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</si>
  <si>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</si>
  <si>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</si>
  <si>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</si>
  <si>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</si>
  <si>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</si>
  <si>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</si>
  <si>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</si>
  <si>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</si>
  <si>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</si>
  <si>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</si>
  <si>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</si>
  <si>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</si>
  <si>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</si>
  <si>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</si>
  <si>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</si>
  <si>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</si>
  <si>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</si>
  <si>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</si>
  <si>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</si>
  <si>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</si>
  <si>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</si>
  <si>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</si>
  <si>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</si>
  <si>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</si>
  <si>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</si>
  <si>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</si>
  <si>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</si>
  <si>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</si>
  <si>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</si>
  <si>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</si>
  <si>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</si>
  <si>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</si>
  <si>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</si>
  <si>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</si>
  <si>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</si>
  <si>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</si>
  <si>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</si>
  <si>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</si>
  <si>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</si>
  <si>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</si>
  <si>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</si>
  <si>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</si>
  <si>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</si>
  <si>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</si>
  <si>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</si>
  <si>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</si>
  <si>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</si>
  <si>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</si>
  <si>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</si>
  <si>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</si>
  <si>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</si>
  <si>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</si>
  <si>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</si>
  <si>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</si>
  <si>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</si>
  <si>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</si>
  <si>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</si>
  <si>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</si>
  <si>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</si>
  <si>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</si>
  <si>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</si>
  <si>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</si>
  <si>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</si>
  <si>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</si>
  <si>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</si>
  <si>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</si>
  <si>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</si>
  <si>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</si>
  <si>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</si>
  <si>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</si>
  <si>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</si>
  <si>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</si>
  <si>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</si>
  <si>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</si>
  <si>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</si>
  <si>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</si>
  <si>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</si>
  <si>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</si>
  <si>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</si>
  <si>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</si>
  <si>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</si>
  <si>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</si>
  <si>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</si>
  <si>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</si>
  <si>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</si>
  <si>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</si>
  <si>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</si>
  <si>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</si>
  <si>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</si>
  <si>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</si>
  <si>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</si>
  <si>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</si>
  <si>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</si>
  <si>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</si>
  <si>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</si>
  <si>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</si>
  <si>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</si>
  <si>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</si>
  <si>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</si>
  <si>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</si>
  <si>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</si>
  <si>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</si>
  <si>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</si>
  <si>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</si>
  <si>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</si>
  <si>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</si>
  <si>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</si>
  <si>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</si>
  <si>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</si>
  <si>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</si>
  <si>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</si>
  <si>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</si>
  <si>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</si>
  <si>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</si>
  <si>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</si>
  <si>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</si>
  <si>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</si>
  <si>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</si>
  <si>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</si>
  <si>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</si>
  <si>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</si>
  <si>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</si>
  <si>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</si>
  <si>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</si>
  <si>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</si>
  <si>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</si>
  <si>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</si>
  <si>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</si>
  <si>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</si>
  <si>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</si>
  <si>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</si>
  <si>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</si>
  <si>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</si>
  <si>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</si>
  <si>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</si>
  <si>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</si>
  <si>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</si>
  <si>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</si>
  <si>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</si>
  <si>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</si>
  <si>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</si>
  <si>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</si>
  <si>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</si>
  <si>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</si>
  <si>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</si>
  <si>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</si>
  <si>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</si>
  <si>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</si>
  <si>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</si>
  <si>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</si>
  <si>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</si>
  <si>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</si>
  <si>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</si>
  <si>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</si>
  <si>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</si>
  <si>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</si>
  <si>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</si>
  <si>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</si>
  <si>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</si>
  <si>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</si>
  <si>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</si>
  <si>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</si>
  <si>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</si>
  <si>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</si>
  <si>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</si>
  <si>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</si>
  <si>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</si>
  <si>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</si>
  <si>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</si>
  <si>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</si>
  <si>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</si>
  <si>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</si>
  <si>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</si>
  <si>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</si>
  <si>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</si>
  <si>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</si>
  <si>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</si>
  <si>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</si>
  <si>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</si>
  <si>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</si>
  <si>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</si>
  <si>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</si>
  <si>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</si>
  <si>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</si>
  <si>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</si>
  <si>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</si>
  <si>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</si>
  <si>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</si>
  <si>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</si>
  <si>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</si>
  <si>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</si>
  <si>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</si>
  <si>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</si>
  <si>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</si>
  <si>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</si>
  <si>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</si>
  <si>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</si>
  <si>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</si>
  <si>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</si>
  <si>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</si>
  <si>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</si>
  <si>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</si>
  <si>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</si>
  <si>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</si>
  <si>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</si>
  <si>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</si>
  <si>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</si>
  <si>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</si>
  <si>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</si>
  <si>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</si>
  <si>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</si>
  <si>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</si>
  <si>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</si>
  <si>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</si>
  <si>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</si>
  <si>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</si>
  <si>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</si>
  <si>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</si>
  <si>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</si>
  <si>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</si>
  <si>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</si>
  <si>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</si>
  <si>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</si>
  <si>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</si>
  <si>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</si>
  <si>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</si>
  <si>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</si>
  <si>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</si>
  <si>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</si>
  <si>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</si>
  <si>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</si>
  <si>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</si>
  <si>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</si>
  <si>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</si>
  <si>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</si>
  <si>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</si>
  <si>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</si>
  <si>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</si>
  <si>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</si>
  <si>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</si>
  <si>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</si>
  <si>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</si>
  <si>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</si>
  <si>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</si>
  <si>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</si>
  <si>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</si>
  <si>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</si>
  <si>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</si>
  <si>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</si>
  <si>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</si>
  <si>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</si>
  <si>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</si>
  <si>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</si>
  <si>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</si>
  <si>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</si>
  <si>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</si>
  <si>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</si>
  <si>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</si>
  <si>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</si>
  <si>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</si>
  <si>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</si>
  <si>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</si>
  <si>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</si>
  <si>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</si>
  <si>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</si>
  <si>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</si>
  <si>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</si>
  <si>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</si>
  <si>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</si>
  <si>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</si>
  <si>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</si>
  <si>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</si>
  <si>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</si>
  <si>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</si>
  <si>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</si>
  <si>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</si>
  <si>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</si>
  <si>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</si>
  <si>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</si>
  <si>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</si>
  <si>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</si>
  <si>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</si>
  <si>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</si>
  <si>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</si>
  <si>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</si>
  <si>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</si>
  <si>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</si>
  <si>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</si>
  <si>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</si>
  <si>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</si>
  <si>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</si>
  <si>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</si>
  <si>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</si>
  <si>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</si>
  <si>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</si>
  <si>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</si>
  <si>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</si>
  <si>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</si>
  <si>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</si>
  <si>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</si>
  <si>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</si>
  <si>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</si>
  <si>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</si>
  <si>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</si>
  <si>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</si>
  <si>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</si>
  <si>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</si>
  <si>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</si>
  <si>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</si>
  <si>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</si>
  <si>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</si>
  <si>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</si>
  <si>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</si>
  <si>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</si>
  <si>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</si>
  <si>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</si>
  <si>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</si>
  <si>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</si>
  <si>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</si>
  <si>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</si>
  <si>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</si>
  <si>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</si>
  <si>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</si>
  <si>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</si>
  <si>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</si>
  <si>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</si>
  <si>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</si>
  <si>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</si>
  <si>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</si>
  <si>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</si>
  <si>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</si>
  <si>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</si>
  <si>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</si>
  <si>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</si>
  <si>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</si>
  <si>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</si>
  <si>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</si>
  <si>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</si>
  <si>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</si>
  <si>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</si>
  <si>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</si>
  <si>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</si>
  <si>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</si>
  <si>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</si>
  <si>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</si>
  <si>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</si>
  <si>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</si>
  <si>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</si>
  <si>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</si>
  <si>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</si>
  <si>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</si>
  <si>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</si>
  <si>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</si>
  <si>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</si>
  <si>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</si>
  <si>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</si>
  <si>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</si>
  <si>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</si>
  <si>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</si>
  <si>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</si>
  <si>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</si>
  <si>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</si>
  <si>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</si>
  <si>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</si>
  <si>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</si>
  <si>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</si>
  <si>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</si>
  <si>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</si>
  <si>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</si>
  <si>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</si>
  <si>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</si>
  <si>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</si>
  <si>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</si>
  <si>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</si>
  <si>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</si>
  <si>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</si>
  <si>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</si>
  <si>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</si>
  <si>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</si>
  <si>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</si>
  <si>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</si>
  <si>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</si>
  <si>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</si>
  <si>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</si>
  <si>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</si>
  <si>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</si>
  <si>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</si>
  <si>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</si>
  <si>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</si>
  <si>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</si>
  <si>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</si>
  <si>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</si>
  <si>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</si>
  <si>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</si>
  <si>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</si>
  <si>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</si>
  <si>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</si>
  <si>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</si>
  <si>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</si>
  <si>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</si>
  <si>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</si>
  <si>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</si>
  <si>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</si>
  <si>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</si>
  <si>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</si>
  <si>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</si>
  <si>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</si>
  <si>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</si>
  <si>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</si>
  <si>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</si>
  <si>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</si>
  <si>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</si>
  <si>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</si>
  <si>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</si>
  <si>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</si>
  <si>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</si>
  <si>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</si>
  <si>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</si>
  <si>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</si>
  <si>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</si>
  <si>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</si>
  <si>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</si>
  <si>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</si>
  <si>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</si>
  <si>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</si>
  <si>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</si>
  <si>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</si>
  <si>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</si>
  <si>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</si>
  <si>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</si>
  <si>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</si>
  <si>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</si>
  <si>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</si>
  <si>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</si>
  <si>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</si>
  <si>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</si>
  <si>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</si>
  <si>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</si>
  <si>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NULIDAD DEL AUTO DE ELEVACIÓN - BAJA A GARANTÍAS Nº 4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</si>
  <si>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</si>
  <si>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</si>
  <si>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</si>
  <si>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</si>
  <si>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</si>
  <si>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</si>
  <si>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</si>
  <si>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</si>
  <si>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</si>
  <si>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</si>
  <si>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</si>
  <si>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</si>
  <si>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</si>
  <si>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</si>
  <si>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</si>
  <si>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</si>
  <si>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</si>
  <si>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</si>
  <si>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</si>
  <si>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</si>
  <si>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</si>
  <si>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</si>
  <si>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</si>
  <si>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</si>
  <si>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</si>
  <si>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</si>
  <si>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</si>
  <si>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</si>
  <si>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</si>
  <si>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</si>
  <si>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</si>
  <si>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</si>
  <si>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</si>
  <si>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</si>
  <si>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</si>
  <si>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</si>
  <si>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</si>
  <si>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</si>
  <si>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</si>
  <si>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</si>
  <si>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</si>
  <si>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</si>
  <si>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</si>
  <si>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</si>
  <si>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</si>
  <si>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</si>
  <si>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</si>
  <si>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</si>
  <si>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</si>
  <si>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</si>
  <si>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</si>
  <si>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</si>
  <si>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</si>
  <si>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</si>
  <si>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</si>
  <si>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</si>
  <si>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</si>
  <si>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</si>
  <si>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</si>
  <si>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</si>
  <si>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</si>
  <si>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</si>
  <si>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</si>
  <si>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</si>
  <si>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</si>
  <si>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</si>
  <si>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</si>
  <si>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</si>
  <si>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</si>
  <si>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</si>
  <si>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</si>
  <si>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</si>
  <si>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</si>
  <si>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</si>
  <si>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</si>
  <si>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</si>
  <si>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</si>
  <si>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</si>
  <si>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</si>
  <si>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</si>
  <si>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</si>
  <si>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</si>
  <si>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</si>
  <si>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</si>
  <si>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</si>
  <si>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</si>
  <si>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</si>
  <si>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</si>
  <si>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</si>
  <si>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</si>
  <si>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</si>
  <si>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</si>
  <si>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</si>
  <si>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</si>
  <si>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</si>
  <si>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</si>
  <si>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</si>
  <si>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</si>
  <si>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</si>
  <si>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</si>
  <si>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</si>
  <si>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</si>
  <si>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</si>
  <si>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</si>
  <si>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</si>
  <si>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</si>
  <si>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</si>
  <si>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</si>
  <si>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</si>
  <si>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</si>
  <si>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</si>
  <si>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</si>
  <si>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</si>
  <si>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</si>
  <si>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</si>
  <si>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</si>
  <si>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</si>
  <si>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</si>
  <si>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</si>
  <si>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</si>
  <si>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</si>
  <si>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</si>
  <si>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</si>
  <si>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</si>
  <si>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</si>
  <si>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</si>
  <si>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</si>
  <si>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</si>
  <si>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</si>
  <si>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</si>
  <si>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</si>
  <si>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</si>
  <si>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</si>
  <si>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</si>
  <si>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</si>
  <si>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</si>
  <si>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</si>
  <si>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</si>
  <si>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</si>
  <si>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</si>
  <si>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</si>
  <si>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</si>
  <si>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</si>
  <si>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</si>
  <si>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</si>
  <si>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</si>
  <si>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</si>
  <si>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</si>
  <si>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</si>
  <si>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</si>
  <si>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</si>
  <si>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</si>
  <si>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</si>
  <si>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</si>
  <si>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</si>
  <si>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</si>
  <si>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</si>
  <si>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</si>
  <si>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</si>
  <si>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</si>
  <si>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</si>
  <si>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</si>
  <si>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</si>
  <si>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</si>
  <si>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</si>
  <si>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</si>
  <si>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</si>
  <si>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</si>
  <si>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</si>
  <si>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</si>
  <si>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</si>
  <si>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</si>
  <si>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</si>
  <si>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</si>
  <si>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</si>
  <si>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</si>
  <si>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</si>
  <si>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</si>
  <si>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</si>
  <si>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</si>
  <si>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</si>
  <si>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</si>
  <si>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</si>
  <si>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</si>
  <si>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</si>
  <si>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</si>
  <si>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</si>
  <si>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</si>
  <si>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</si>
  <si>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</si>
  <si>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</si>
  <si>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</si>
  <si>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</si>
  <si>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</si>
  <si>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</si>
  <si>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</si>
  <si>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</si>
  <si>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</si>
  <si>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</si>
  <si>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</si>
  <si>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</si>
  <si>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</si>
  <si>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</si>
  <si>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</si>
  <si>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</si>
  <si>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</si>
  <si>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</si>
  <si>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</si>
  <si>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</si>
  <si>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</si>
  <si>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</si>
  <si>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</si>
  <si>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</si>
  <si>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</si>
  <si>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</si>
  <si>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</si>
  <si>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</si>
  <si>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</si>
  <si>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</si>
  <si>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</si>
  <si>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</si>
  <si>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</si>
  <si>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</si>
  <si>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</si>
  <si>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</si>
  <si>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</si>
  <si>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</si>
  <si>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</si>
  <si>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</si>
  <si>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</si>
  <si>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</si>
  <si>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</si>
  <si>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</si>
  <si>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</si>
  <si>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</si>
  <si>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</si>
  <si>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</si>
  <si>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</si>
  <si>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</si>
  <si>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</si>
  <si>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</si>
  <si>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</si>
  <si>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</si>
  <si>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</si>
  <si>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</si>
  <si>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</si>
  <si>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</si>
  <si>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</si>
  <si>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</si>
  <si>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</si>
  <si>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</si>
  <si>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</si>
  <si>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</si>
  <si>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</si>
  <si>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</si>
  <si>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</si>
  <si>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</si>
  <si>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</si>
  <si>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</si>
  <si>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</si>
  <si>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</si>
  <si>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</si>
  <si>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</si>
  <si>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</si>
  <si>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</si>
  <si>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</si>
  <si>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</si>
  <si>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</si>
  <si>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</si>
  <si>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</si>
  <si>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</si>
  <si>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</si>
  <si>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</si>
  <si>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</si>
  <si>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</si>
  <si>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</si>
  <si>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</si>
  <si>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</si>
  <si>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</si>
  <si>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</si>
  <si>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</si>
  <si>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</si>
  <si>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</si>
  <si>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</si>
  <si>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</si>
  <si>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</si>
  <si>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</si>
  <si>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</si>
  <si>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</si>
  <si>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</si>
  <si>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</si>
  <si>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</si>
  <si>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</si>
  <si>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</si>
  <si>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</si>
  <si>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</si>
  <si>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</si>
  <si>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</si>
  <si>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</si>
  <si>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</si>
  <si>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</si>
  <si>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</si>
  <si>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</si>
  <si>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</si>
  <si>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</si>
  <si>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</si>
  <si>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</si>
  <si>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</si>
  <si>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</si>
  <si>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</si>
  <si>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</si>
  <si>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</si>
  <si>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</si>
  <si>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</si>
  <si>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</si>
  <si>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</si>
  <si>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</si>
  <si>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</si>
  <si>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</si>
  <si>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</si>
  <si>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</si>
  <si>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</si>
  <si>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</si>
  <si>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</si>
  <si>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</si>
  <si>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</si>
  <si>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</si>
  <si>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</si>
  <si>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</si>
  <si>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</si>
  <si>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</si>
  <si>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</si>
  <si>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</si>
  <si>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</si>
  <si>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</si>
  <si>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</si>
  <si>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</si>
  <si>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</si>
  <si>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</si>
  <si>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</si>
  <si>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</si>
  <si>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</si>
  <si>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</si>
  <si>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</si>
  <si>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</si>
  <si>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</si>
  <si>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</si>
  <si>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</si>
  <si>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</si>
  <si>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</si>
  <si>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</si>
  <si>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</si>
  <si>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</si>
  <si>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</si>
  <si>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</si>
  <si>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</si>
  <si>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</si>
  <si>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</si>
  <si>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</si>
  <si>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</si>
  <si>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</si>
  <si>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</si>
  <si>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</si>
  <si>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</si>
  <si>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</si>
  <si>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</si>
  <si>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</si>
  <si>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</si>
  <si>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</si>
  <si>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</si>
  <si>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</si>
  <si>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</si>
  <si>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</si>
  <si>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</si>
  <si>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</si>
  <si>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</si>
  <si>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</si>
  <si>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</si>
  <si>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</si>
  <si>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</si>
  <si>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</si>
  <si>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</si>
  <si>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</si>
  <si>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</si>
  <si>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</si>
  <si>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</si>
  <si>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</si>
  <si>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</si>
  <si>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</si>
  <si>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</si>
  <si>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</si>
  <si>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</si>
  <si>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</si>
  <si>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</si>
  <si>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</si>
  <si>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</si>
  <si>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</si>
  <si>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</si>
  <si>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</si>
  <si>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</si>
  <si>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</si>
  <si>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</si>
  <si>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</si>
  <si>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</si>
  <si>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</si>
  <si>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</si>
  <si>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</si>
  <si>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</si>
  <si>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</si>
  <si>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</si>
  <si>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</si>
  <si>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</si>
  <si>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</si>
  <si>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</si>
  <si>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</si>
  <si>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</si>
  <si>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</si>
  <si>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</si>
  <si>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</si>
  <si>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</si>
  <si>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</si>
  <si>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</si>
  <si>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</si>
  <si>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</si>
  <si>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</si>
  <si>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</si>
  <si>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</si>
  <si>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</si>
  <si>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</si>
  <si>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</si>
  <si>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</si>
  <si>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</si>
  <si>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</si>
  <si>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15076/23</t>
  </si>
  <si>
    <t>RENÉ, IGNACIO</t>
  </si>
  <si>
    <t>ABUSO SEXUAL CON ACCESO CARNAL + ABUSO SEXUAL GRAVEMENTE ULTRAJANTE EN CONCURSO REAL</t>
  </si>
  <si>
    <t>DENUNCIANTE: MARÍA FERNANDO GALVÁN - VÍCTIMA: MENOR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</si>
  <si>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</si>
  <si>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</si>
  <si>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</si>
  <si>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</si>
  <si>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</si>
  <si>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</si>
  <si>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</si>
  <si>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</si>
  <si>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</si>
  <si>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</si>
  <si>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</si>
  <si>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</si>
  <si>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</si>
  <si>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</si>
  <si>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</si>
  <si>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</si>
  <si>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</si>
  <si>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</si>
  <si>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</si>
  <si>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</si>
  <si>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</si>
  <si>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</si>
  <si>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</si>
  <si>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</si>
  <si>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</si>
  <si>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</si>
  <si>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</si>
  <si>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</si>
  <si>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</si>
  <si>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</si>
  <si>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</si>
  <si>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</si>
  <si>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</si>
  <si>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</si>
  <si>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</si>
  <si>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</si>
  <si>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</si>
  <si>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</si>
  <si>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</si>
  <si>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</si>
  <si>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</si>
  <si>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</si>
  <si>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</si>
  <si>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</si>
  <si>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</si>
  <si>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</si>
  <si>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</si>
  <si>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</si>
  <si>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</si>
  <si>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</si>
  <si>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</si>
  <si>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</si>
  <si>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</si>
  <si>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</si>
  <si>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</si>
  <si>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</si>
  <si>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</si>
  <si>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</si>
  <si>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</si>
  <si>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</si>
  <si>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</si>
  <si>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</si>
  <si>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</si>
  <si>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</si>
  <si>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</si>
  <si>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</si>
  <si>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</si>
  <si>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</si>
  <si>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</si>
  <si>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</si>
  <si>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</si>
  <si>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</si>
  <si>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</si>
  <si>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</si>
  <si>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</si>
  <si>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</si>
  <si>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</si>
  <si>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</si>
  <si>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</si>
  <si>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</si>
  <si>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</si>
  <si>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</si>
  <si>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</si>
  <si>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</si>
  <si>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</si>
  <si>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</si>
  <si>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</si>
  <si>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</si>
  <si>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</si>
  <si>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</si>
  <si>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</si>
  <si>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</si>
  <si>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</si>
  <si>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</si>
  <si>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</si>
  <si>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</si>
  <si>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</si>
  <si>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</si>
  <si>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</si>
  <si>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</si>
  <si>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</si>
  <si>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</si>
  <si>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</si>
  <si>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</si>
  <si>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</si>
  <si>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</si>
  <si>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</si>
  <si>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</si>
  <si>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</si>
  <si>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</si>
  <si>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</si>
  <si>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</si>
  <si>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</si>
  <si>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</si>
  <si>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</si>
  <si>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</si>
  <si>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</si>
  <si>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</si>
  <si>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</si>
  <si>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</si>
  <si>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</si>
  <si>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</si>
  <si>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</si>
  <si>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</si>
  <si>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</si>
  <si>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</si>
  <si>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</si>
  <si>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</si>
  <si>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</si>
  <si>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</si>
  <si>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</si>
  <si>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</si>
  <si>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</si>
  <si>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</si>
  <si>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</si>
  <si>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</si>
  <si>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</si>
  <si>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</si>
  <si>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</si>
  <si>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</si>
  <si>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</si>
  <si>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</si>
  <si>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</si>
  <si>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</si>
  <si>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</si>
  <si>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</si>
  <si>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</si>
  <si>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</si>
  <si>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</si>
  <si>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</si>
  <si>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</si>
  <si>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</si>
  <si>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</si>
  <si>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</si>
  <si>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</si>
  <si>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</si>
  <si>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</si>
  <si>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</si>
  <si>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</si>
  <si>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</si>
  <si>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</si>
  <si>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</si>
  <si>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</si>
  <si>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</si>
  <si>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</si>
  <si>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</si>
  <si>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</si>
  <si>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</si>
  <si>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</si>
  <si>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</si>
  <si>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</si>
  <si>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</si>
  <si>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</si>
  <si>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</si>
  <si>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</si>
  <si>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</si>
  <si>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</si>
  <si>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</si>
  <si>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</si>
  <si>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</si>
  <si>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</si>
  <si>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</si>
  <si>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</si>
  <si>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</si>
  <si>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</si>
  <si>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</si>
  <si>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</si>
  <si>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</si>
  <si>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</si>
  <si>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</si>
  <si>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</si>
  <si>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</si>
  <si>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</si>
  <si>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</si>
  <si>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</si>
  <si>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</si>
  <si>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</si>
  <si>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</si>
  <si>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</si>
  <si>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</si>
  <si>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</si>
  <si>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</si>
  <si>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</si>
  <si>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</si>
  <si>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</si>
  <si>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</si>
  <si>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</si>
  <si>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</si>
  <si>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</si>
  <si>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</si>
  <si>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</si>
  <si>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</si>
  <si>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</si>
  <si>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</si>
  <si>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</si>
  <si>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</si>
  <si>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</si>
  <si>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</si>
  <si>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</si>
  <si>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</si>
  <si>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</si>
  <si>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</si>
  <si>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</si>
  <si>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</si>
  <si>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</si>
  <si>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</si>
  <si>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</si>
  <si>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</si>
  <si>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</si>
  <si>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</si>
  <si>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</si>
  <si>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</si>
  <si>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</si>
  <si>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</si>
  <si>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</si>
  <si>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</si>
  <si>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</si>
  <si>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</si>
  <si>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</si>
  <si>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</si>
  <si>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</si>
  <si>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</si>
  <si>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</si>
  <si>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</si>
  <si>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</si>
  <si>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</si>
  <si>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</si>
  <si>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</si>
  <si>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</si>
  <si>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</si>
  <si>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</si>
  <si>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</si>
  <si>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</si>
  <si>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</si>
  <si>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</si>
  <si>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</si>
  <si>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</si>
  <si>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</si>
  <si>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</si>
  <si>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</si>
  <si>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</si>
  <si>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</si>
  <si>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</si>
  <si>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</si>
  <si>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</si>
  <si>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</si>
  <si>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</si>
  <si>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</si>
  <si>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</si>
  <si>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</si>
  <si>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</si>
  <si>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</si>
  <si>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</si>
  <si>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</si>
  <si>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</si>
  <si>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</si>
  <si>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</si>
  <si>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</si>
  <si>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</si>
  <si>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</si>
  <si>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</si>
  <si>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</si>
  <si>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</si>
  <si>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</si>
  <si>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</si>
  <si>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</si>
  <si>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</si>
  <si>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</si>
  <si>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</si>
  <si>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</si>
  <si>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</si>
  <si>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</si>
  <si>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</si>
  <si>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</si>
  <si>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</si>
  <si>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</si>
  <si>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</si>
  <si>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</si>
  <si>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</si>
  <si>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</si>
  <si>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</si>
  <si>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</si>
  <si>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</si>
  <si>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</si>
  <si>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</si>
  <si>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</si>
  <si>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</si>
  <si>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</si>
  <si>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</si>
  <si>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</si>
  <si>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</si>
  <si>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</si>
  <si>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</si>
  <si>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</si>
  <si>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</si>
  <si>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</si>
  <si>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</si>
  <si>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</si>
  <si>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</si>
  <si>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</si>
  <si>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</si>
  <si>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</si>
  <si>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</si>
  <si>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</si>
  <si>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</si>
  <si>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</si>
  <si>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</si>
  <si>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</si>
  <si>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</si>
  <si>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</si>
  <si>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</si>
  <si>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</si>
  <si>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</si>
  <si>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</si>
  <si>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</si>
  <si>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</si>
  <si>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</si>
  <si>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</si>
  <si>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</si>
  <si>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</si>
  <si>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</si>
  <si>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</si>
  <si>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</si>
  <si>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</si>
  <si>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</si>
  <si>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</si>
  <si>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</si>
  <si>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</si>
  <si>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</si>
  <si>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</si>
  <si>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</si>
  <si>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</si>
  <si>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</si>
  <si>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</si>
  <si>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</si>
  <si>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</si>
  <si>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</si>
  <si>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</si>
  <si>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</si>
  <si>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</si>
  <si>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</si>
  <si>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</si>
  <si>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</si>
  <si>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</si>
  <si>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</si>
  <si>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</si>
  <si>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</si>
  <si>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</si>
  <si>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</si>
  <si>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</si>
  <si>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</si>
  <si>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</si>
  <si>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</si>
  <si>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</si>
  <si>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</si>
  <si>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</si>
  <si>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</si>
  <si>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</si>
  <si>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</si>
  <si>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</si>
  <si>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</si>
  <si>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</si>
  <si>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</si>
  <si>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</si>
  <si>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</si>
  <si>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</si>
  <si>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</si>
  <si>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</si>
  <si>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</si>
  <si>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</si>
  <si>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</si>
  <si>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</si>
  <si>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</si>
  <si>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</si>
  <si>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</si>
  <si>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</si>
  <si>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</si>
  <si>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</si>
  <si>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</si>
  <si>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</si>
  <si>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</si>
  <si>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</si>
  <si>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</si>
  <si>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</si>
  <si>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</si>
  <si>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</si>
  <si>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</si>
  <si>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</si>
  <si>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</si>
  <si>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</si>
  <si>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</si>
  <si>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</si>
  <si>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</si>
  <si>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</si>
  <si>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</si>
  <si>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</si>
  <si>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</si>
  <si>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</si>
  <si>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</si>
  <si>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</si>
  <si>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</si>
  <si>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</si>
  <si>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</si>
  <si>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</si>
  <si>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</si>
  <si>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</si>
  <si>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</si>
  <si>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</si>
  <si>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</si>
  <si>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</si>
  <si>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</si>
  <si>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</si>
  <si>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</si>
  <si>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</si>
  <si>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</si>
  <si>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</si>
  <si>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</si>
  <si>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</si>
  <si>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</si>
  <si>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</si>
  <si>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</si>
  <si>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</si>
  <si>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</si>
  <si>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</si>
  <si>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</si>
  <si>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</si>
  <si>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</si>
  <si>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</si>
  <si>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</si>
  <si>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</si>
  <si>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</si>
  <si>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</si>
  <si>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</si>
  <si>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</si>
  <si>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</si>
  <si>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</si>
  <si>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</si>
  <si>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</si>
  <si>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</si>
  <si>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</si>
  <si>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</si>
  <si>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</si>
  <si>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</si>
  <si>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</si>
  <si>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</si>
  <si>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</si>
  <si>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</si>
  <si>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</si>
  <si>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</si>
  <si>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</si>
  <si>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</si>
  <si>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</si>
  <si>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</si>
  <si>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</si>
  <si>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</si>
  <si>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</si>
  <si>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</si>
  <si>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</si>
  <si>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</si>
  <si>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</si>
  <si>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</si>
  <si>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</si>
  <si>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</si>
  <si>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</si>
  <si>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</si>
  <si>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</si>
  <si>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</si>
  <si>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</si>
  <si>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</si>
  <si>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</si>
  <si>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</si>
  <si>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</si>
  <si>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</si>
  <si>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</si>
  <si>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</si>
  <si>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</si>
  <si>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</si>
  <si>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</si>
  <si>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</si>
  <si>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</si>
  <si>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</si>
  <si>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</si>
  <si>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</si>
  <si>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</si>
  <si>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</si>
  <si>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</si>
  <si>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</si>
  <si>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</si>
  <si>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</si>
  <si>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</si>
  <si>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</si>
  <si>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</si>
  <si>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</si>
  <si>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</si>
  <si>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</si>
  <si>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</si>
  <si>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</si>
  <si>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</si>
  <si>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</si>
  <si>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</si>
  <si>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</si>
  <si>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</si>
  <si>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 xml:space="preserve">CARO, RUBE, REYNALDO </t>
  </si>
  <si>
    <t>DEN: RUEDA, ROCIO ALICIA</t>
  </si>
  <si>
    <t>182739/23</t>
  </si>
  <si>
    <t>LUNA, DANIEL ANGEL</t>
  </si>
  <si>
    <t xml:space="preserve">DESOBEDIENCIA JUDICIAL Y AMENAZAS (DOS HECHOS), AMENAZAS CON ARMAS Y AGRESION CON TODA ARMA 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</si>
  <si>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</si>
  <si>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</si>
  <si>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DEN: LOPEZ, NATALIA VERONICA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</si>
  <si>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</si>
  <si>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</si>
  <si>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</si>
  <si>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</si>
  <si>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</si>
  <si>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</si>
  <si>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</si>
  <si>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</si>
  <si>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</si>
  <si>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</si>
  <si>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</si>
  <si>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</si>
  <si>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</si>
  <si>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</si>
  <si>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</si>
  <si>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</si>
  <si>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</si>
  <si>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 xml:space="preserve">30/10/23 A 14,00; 31/10/2023 A 14.00 HS; 01/11/2023 A 13,30 HS Y 02/11/2023 A 14.00 HS.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</si>
  <si>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</si>
  <si>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</si>
  <si>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</si>
  <si>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</si>
  <si>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</si>
  <si>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</si>
  <si>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</si>
  <si>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</si>
  <si>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</si>
  <si>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</si>
  <si>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</si>
  <si>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</si>
  <si>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</si>
  <si>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</si>
  <si>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</si>
  <si>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</si>
  <si>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</si>
  <si>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</si>
  <si>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</si>
  <si>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</si>
  <si>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</si>
  <si>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</si>
  <si>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</si>
  <si>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</si>
  <si>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</si>
  <si>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</si>
  <si>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</si>
  <si>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</si>
  <si>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</si>
  <si>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</si>
  <si>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</si>
  <si>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</si>
  <si>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</si>
  <si>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</si>
  <si>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</si>
  <si>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</si>
  <si>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</si>
  <si>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</si>
  <si>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</si>
  <si>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</si>
  <si>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</si>
  <si>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</si>
  <si>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</si>
  <si>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</si>
  <si>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</si>
  <si>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</si>
  <si>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</si>
  <si>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</si>
  <si>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</si>
  <si>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</si>
  <si>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</si>
  <si>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</si>
  <si>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</si>
  <si>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</si>
  <si>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</si>
  <si>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</si>
  <si>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</si>
  <si>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</si>
  <si>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</si>
  <si>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</si>
  <si>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</si>
  <si>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</si>
  <si>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</si>
  <si>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</si>
  <si>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</si>
  <si>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</si>
  <si>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</si>
  <si>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</si>
  <si>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</si>
  <si>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</si>
  <si>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</si>
  <si>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</si>
  <si>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</si>
  <si>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</si>
  <si>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</si>
  <si>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</si>
  <si>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</si>
  <si>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</si>
  <si>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</si>
  <si>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</si>
  <si>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</si>
  <si>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</si>
  <si>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Art 437: 24/07/2023 - Art 441: Mismo decreto - REINGRESADAS A OFIJU, CON TRÁMITE DE RECEPCIÓN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</si>
  <si>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</si>
  <si>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</si>
  <si>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</si>
  <si>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</si>
  <si>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</si>
  <si>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</si>
  <si>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</si>
  <si>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</si>
  <si>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</si>
  <si>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</si>
  <si>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</si>
  <si>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</si>
  <si>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</si>
  <si>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</si>
  <si>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</si>
  <si>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</si>
  <si>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</si>
  <si>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</si>
  <si>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</si>
  <si>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</si>
  <si>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</si>
  <si>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</si>
  <si>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</si>
  <si>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</si>
  <si>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</si>
  <si>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</si>
  <si>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</si>
  <si>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</si>
  <si>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</si>
  <si>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</si>
  <si>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</si>
  <si>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</si>
  <si>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</si>
  <si>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</si>
  <si>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</si>
  <si>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</si>
  <si>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</si>
  <si>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</si>
  <si>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</si>
  <si>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</si>
  <si>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</si>
  <si>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</si>
  <si>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</si>
  <si>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</si>
  <si>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</si>
  <si>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</si>
  <si>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</si>
  <si>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</si>
  <si>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</si>
  <si>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</si>
  <si>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</si>
  <si>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</si>
  <si>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</si>
  <si>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</si>
  <si>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</si>
  <si>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</si>
  <si>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</si>
  <si>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</si>
  <si>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</si>
  <si>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</si>
  <si>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</si>
  <si>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</si>
  <si>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</si>
  <si>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</si>
  <si>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</si>
  <si>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</si>
  <si>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</si>
  <si>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</si>
  <si>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</si>
  <si>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</si>
  <si>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</si>
  <si>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</si>
  <si>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</si>
  <si>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</si>
  <si>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</si>
  <si>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</si>
  <si>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</si>
  <si>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</si>
  <si>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</si>
  <si>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</si>
  <si>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</si>
  <si>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</si>
  <si>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</si>
  <si>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</si>
  <si>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</si>
  <si>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</si>
  <si>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</si>
  <si>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</si>
  <si>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</si>
  <si>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</si>
  <si>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</si>
  <si>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</si>
  <si>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</si>
  <si>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</si>
  <si>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</si>
  <si>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</si>
  <si>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</si>
  <si>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</si>
  <si>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</si>
  <si>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</si>
  <si>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</si>
  <si>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</si>
  <si>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</si>
  <si>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</si>
  <si>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</si>
  <si>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</si>
  <si>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</si>
  <si>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</si>
  <si>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</si>
  <si>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</si>
  <si>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</si>
  <si>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</si>
  <si>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</si>
  <si>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</si>
  <si>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</si>
  <si>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</si>
  <si>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</si>
  <si>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</si>
  <si>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</si>
  <si>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</si>
  <si>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</si>
  <si>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</si>
  <si>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</si>
  <si>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</si>
  <si>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</si>
  <si>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</si>
  <si>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</si>
  <si>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</si>
  <si>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</si>
  <si>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</si>
  <si>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</si>
  <si>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</si>
  <si>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</si>
  <si>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</si>
  <si>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</si>
  <si>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</si>
  <si>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</si>
  <si>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</si>
  <si>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</si>
  <si>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</si>
  <si>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</si>
  <si>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</si>
  <si>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</si>
  <si>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</si>
  <si>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</si>
  <si>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</si>
  <si>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</si>
  <si>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</si>
  <si>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</si>
  <si>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</si>
  <si>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</si>
  <si>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</si>
  <si>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</si>
  <si>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</si>
  <si>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</si>
  <si>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</si>
  <si>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</si>
  <si>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</si>
  <si>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</si>
  <si>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</si>
  <si>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</si>
  <si>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</si>
  <si>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</si>
  <si>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</si>
  <si>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</si>
  <si>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</si>
  <si>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</si>
  <si>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</si>
  <si>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</si>
  <si>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</si>
  <si>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</si>
  <si>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</si>
  <si>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</si>
  <si>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</si>
  <si>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</si>
  <si>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</si>
  <si>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</si>
  <si>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</si>
  <si>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</si>
  <si>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</si>
  <si>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</si>
  <si>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</si>
  <si>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</si>
  <si>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</si>
  <si>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</si>
  <si>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</si>
  <si>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</si>
  <si>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</si>
  <si>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</si>
  <si>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</si>
  <si>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</si>
  <si>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</si>
  <si>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</si>
  <si>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</si>
  <si>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</si>
  <si>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</si>
  <si>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</si>
  <si>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</si>
  <si>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</si>
  <si>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</si>
  <si>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</si>
  <si>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</si>
  <si>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</si>
  <si>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</si>
  <si>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</si>
  <si>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</si>
  <si>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</si>
  <si>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</si>
  <si>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</si>
  <si>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</si>
  <si>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</si>
  <si>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</si>
  <si>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</si>
  <si>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</si>
  <si>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</si>
  <si>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 xml:space="preserve"> BURGOS, RAMIRO JOEL </t>
  </si>
  <si>
    <t xml:space="preserve">COACCION (TRES HECHOS), VIOLACION DE DOMICILIO (DOS HECHOS), DAÑOS, AMENAZAS CON ARMAS (DOS HECHOS) Y DESOBEDIENCIA JUDICIAL (CUATRO HECHOS) TODO EN CONCURSO REAL </t>
  </si>
  <si>
    <t xml:space="preserve"> SCHIAVONE, YANINA JULIANA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</si>
  <si>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</si>
  <si>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</si>
  <si>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</si>
  <si>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</si>
  <si>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</si>
  <si>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</si>
  <si>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</si>
  <si>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</si>
  <si>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</si>
  <si>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</si>
  <si>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</si>
  <si>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</si>
  <si>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</si>
  <si>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</si>
  <si>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</si>
  <si>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</si>
  <si>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</si>
  <si>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</si>
  <si>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</si>
  <si>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</si>
  <si>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</si>
  <si>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</si>
  <si>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</si>
  <si>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</si>
  <si>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</si>
  <si>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</si>
  <si>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</si>
  <si>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</si>
  <si>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</si>
  <si>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</si>
  <si>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</si>
  <si>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</si>
  <si>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</si>
  <si>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</si>
  <si>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</si>
  <si>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</si>
  <si>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</si>
  <si>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</si>
  <si>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</si>
  <si>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</si>
  <si>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</si>
  <si>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</si>
  <si>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</si>
  <si>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</si>
  <si>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</si>
  <si>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</si>
  <si>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</si>
  <si>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</si>
  <si>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</si>
  <si>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</si>
  <si>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</si>
  <si>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</si>
  <si>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</si>
  <si>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</si>
  <si>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</si>
  <si>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</si>
  <si>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</si>
  <si>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</si>
  <si>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</si>
  <si>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</si>
  <si>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</si>
  <si>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</si>
  <si>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</si>
  <si>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</si>
  <si>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</si>
  <si>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</si>
  <si>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</si>
  <si>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</si>
  <si>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</si>
  <si>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</si>
  <si>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</si>
  <si>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</si>
  <si>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</si>
  <si>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</si>
  <si>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</si>
  <si>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</si>
  <si>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</si>
  <si>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</si>
  <si>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</si>
  <si>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</si>
  <si>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</si>
  <si>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</si>
  <si>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</si>
  <si>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</si>
  <si>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</si>
  <si>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</si>
  <si>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</si>
  <si>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</si>
  <si>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</si>
  <si>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</si>
  <si>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</si>
  <si>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</si>
  <si>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</si>
  <si>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</si>
  <si>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PENDIENTE ACLARATORIA</t>
  </si>
  <si>
    <t>REMITIDA MESA DISTRIBUIDORA</t>
  </si>
  <si>
    <t>Tribunal de Juicio Sala I para su acumulación al Expte. JUI 112852/17,</t>
  </si>
  <si>
    <t>SENTENCIA DE JUICIO ABREVIADO - PENA: UN AÑO PRISIÓN CONDICIONAL</t>
  </si>
  <si>
    <t xml:space="preserve">RESULTADO A DEFINIR EN NUEVA AUDIENCIA. QUIEREN ACUMULAR UNA ÚLTIMA CAUSA. 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</si>
  <si>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</si>
  <si>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</si>
  <si>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</si>
  <si>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</si>
  <si>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</si>
  <si>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</si>
  <si>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</si>
  <si>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</si>
  <si>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</si>
  <si>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</si>
  <si>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</si>
  <si>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</si>
  <si>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</si>
  <si>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</si>
  <si>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</si>
  <si>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</si>
  <si>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</si>
  <si>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</si>
  <si>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</si>
  <si>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</si>
  <si>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</si>
  <si>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</si>
  <si>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</si>
  <si>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</si>
  <si>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</si>
  <si>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</si>
  <si>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</si>
  <si>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</si>
  <si>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</si>
  <si>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</si>
  <si>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</si>
  <si>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</si>
  <si>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</si>
  <si>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</si>
  <si>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</si>
  <si>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</si>
  <si>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</si>
  <si>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</si>
  <si>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</si>
  <si>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</si>
  <si>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</si>
  <si>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</si>
  <si>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</si>
  <si>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</si>
  <si>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</si>
  <si>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</si>
  <si>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</si>
  <si>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</si>
  <si>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</si>
  <si>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</si>
  <si>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</si>
  <si>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</si>
  <si>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</si>
  <si>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</si>
  <si>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</si>
  <si>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</si>
  <si>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PENDIENTE SORTEO JUEZ DE DEBATE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</si>
  <si>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</si>
  <si>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</si>
  <si>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</si>
  <si>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</si>
  <si>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PENDIENTE SORTEO JUEZ DE DEBATE. INCLUIR ASESORÍA IDENTIFICADA CUANDO VUELVA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</si>
  <si>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</si>
  <si>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</si>
  <si>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</si>
  <si>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</si>
  <si>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</si>
  <si>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</si>
  <si>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</si>
  <si>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</si>
  <si>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</si>
  <si>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</si>
  <si>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</si>
  <si>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</si>
  <si>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</si>
  <si>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</si>
  <si>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</si>
  <si>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</si>
  <si>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</si>
  <si>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</si>
  <si>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</si>
  <si>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</si>
  <si>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</si>
  <si>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</si>
  <si>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</si>
  <si>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</si>
  <si>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</si>
  <si>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</si>
  <si>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</si>
  <si>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</si>
  <si>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</si>
  <si>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</si>
  <si>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</si>
  <si>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</si>
  <si>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</si>
  <si>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</si>
  <si>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r>
      <t xml:space="preserve">FS 160 </t>
    </r>
    <r>
      <rPr>
        <sz val="7"/>
        <color rgb="FF000000"/>
        <rFont val="Arial"/>
        <family val="2"/>
      </rPr>
      <t>DOMICILIARIA</t>
    </r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</si>
  <si>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</si>
  <si>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</si>
  <si>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</si>
  <si>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</si>
  <si>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</si>
  <si>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</si>
  <si>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</si>
  <si>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</si>
  <si>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</si>
  <si>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</si>
  <si>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</si>
  <si>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</si>
  <si>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</si>
  <si>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</si>
  <si>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</si>
  <si>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</si>
  <si>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</si>
  <si>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</si>
  <si>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</si>
  <si>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</si>
  <si>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</si>
  <si>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</si>
  <si>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</si>
  <si>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</si>
  <si>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</si>
  <si>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</si>
  <si>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</si>
  <si>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</si>
  <si>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</si>
  <si>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</si>
  <si>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</si>
  <si>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>Art. 437 10/10/2023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</si>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</sst>
</file>

<file path=xl/styles.xml><?xml version="1.0" encoding="utf-8"?>
<styleSheet xmlns="http://schemas.openxmlformats.org/spreadsheetml/2006/main">
  <numFmts count="2">
    <numFmt numFmtId="164" formatCode="dd/mm/yyyy;@"/>
    <numFmt numFmtId="165" formatCode="0.0%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rgb="FF000000"/>
      <name val="Arial"/>
      <family val="2"/>
    </font>
    <font>
      <b/>
      <sz val="10"/>
      <color rgb="FF008000"/>
      <name val="Arial Rounded MT Bold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48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32" fillId="0" borderId="2" xfId="0" applyNumberFormat="1" applyFont="1" applyBorder="1" applyAlignment="1">
      <alignment horizont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27" fillId="14" borderId="2" xfId="0" applyNumberFormat="1" applyFont="1" applyFill="1" applyBorder="1" applyAlignment="1">
      <alignment horizontal="center" vertical="center" wrapText="1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164" fontId="0" fillId="2" borderId="2" xfId="0" applyNumberFormat="1" applyFill="1" applyBorder="1" applyAlignment="1">
      <alignment horizontal="center" vertical="center" wrapText="1"/>
    </xf>
    <xf numFmtId="164" fontId="2" fillId="2" borderId="2" xfId="0" applyNumberFormat="1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4" borderId="2" xfId="0" applyNumberFormat="1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20" fontId="33" fillId="10" borderId="13" xfId="0" applyNumberFormat="1" applyFont="1" applyFill="1" applyBorder="1" applyAlignment="1">
      <alignment horizontal="center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20" fontId="3" fillId="10" borderId="13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0" borderId="0" xfId="0" applyFont="1" applyFill="1" applyBorder="1" applyAlignment="1">
      <alignment horizontal="center" vertical="center" wrapText="1"/>
    </xf>
    <xf numFmtId="0" fontId="40" fillId="14" borderId="2" xfId="0" applyFont="1" applyFill="1" applyBorder="1"/>
    <xf numFmtId="0" fontId="27" fillId="15" borderId="0" xfId="0" applyFont="1" applyFill="1" applyBorder="1" applyAlignment="1">
      <alignment horizontal="center" vertical="center" wrapText="1"/>
    </xf>
    <xf numFmtId="0" fontId="27" fillId="14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64" fontId="2" fillId="13" borderId="1" xfId="0" applyNumberFormat="1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14" fontId="27" fillId="0" borderId="1" xfId="0" applyNumberFormat="1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20" fontId="4" fillId="8" borderId="1" xfId="0" applyNumberFormat="1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 wrapText="1"/>
    </xf>
    <xf numFmtId="20" fontId="2" fillId="8" borderId="1" xfId="0" applyNumberFormat="1" applyFont="1" applyFill="1" applyBorder="1" applyAlignment="1">
      <alignment horizontal="center" vertical="center" wrapText="1"/>
    </xf>
    <xf numFmtId="14" fontId="2" fillId="13" borderId="1" xfId="0" applyNumberFormat="1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Florencia Alvarez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Guillermo Perey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65</c:v>
                </c:pt>
                <c:pt idx="1">
                  <c:v>3</c:v>
                </c:pt>
                <c:pt idx="2">
                  <c:v>9</c:v>
                </c:pt>
                <c:pt idx="3">
                  <c:v>40</c:v>
                </c:pt>
                <c:pt idx="4">
                  <c:v>37</c:v>
                </c:pt>
                <c:pt idx="5">
                  <c:v>15</c:v>
                </c:pt>
                <c:pt idx="6">
                  <c:v>34</c:v>
                </c:pt>
                <c:pt idx="7">
                  <c:v>8</c:v>
                </c:pt>
                <c:pt idx="8">
                  <c:v>43</c:v>
                </c:pt>
                <c:pt idx="9">
                  <c:v>3</c:v>
                </c:pt>
                <c:pt idx="10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74793088"/>
        <c:axId val="174794624"/>
      </c:barChart>
      <c:catAx>
        <c:axId val="174793088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74794624"/>
        <c:crosses val="autoZero"/>
        <c:auto val="1"/>
        <c:lblAlgn val="ctr"/>
        <c:lblOffset val="100"/>
      </c:catAx>
      <c:valAx>
        <c:axId val="174794624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4793088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74812544"/>
        <c:axId val="174838912"/>
      </c:lineChart>
      <c:catAx>
        <c:axId val="174812544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4838912"/>
        <c:crosses val="autoZero"/>
        <c:auto val="1"/>
        <c:lblAlgn val="ctr"/>
        <c:lblOffset val="100"/>
      </c:catAx>
      <c:valAx>
        <c:axId val="17483891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4812544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75487232"/>
        <c:axId val="175493120"/>
      </c:barChart>
      <c:catAx>
        <c:axId val="175487232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5493120"/>
        <c:crosses val="autoZero"/>
        <c:auto val="1"/>
        <c:lblAlgn val="ctr"/>
        <c:lblOffset val="100"/>
      </c:catAx>
      <c:valAx>
        <c:axId val="17549312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5487232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4444"/>
          <c:y val="0.32556321084867618"/>
          <c:w val="0.30785979877517688"/>
          <c:h val="0.41357247010793935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299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75805568"/>
        <c:axId val="175807104"/>
      </c:barChart>
      <c:catAx>
        <c:axId val="175805568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5807104"/>
        <c:crosses val="autoZero"/>
        <c:auto val="1"/>
        <c:lblAlgn val="ctr"/>
        <c:lblOffset val="100"/>
      </c:catAx>
      <c:valAx>
        <c:axId val="17580710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5805568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view3D>
      <c:rotX val="30"/>
      <c:perspective val="0"/>
    </c:view3D>
    <c:plotArea>
      <c:layout>
        <c:manualLayout>
          <c:layoutTarget val="inner"/>
          <c:xMode val="edge"/>
          <c:yMode val="edge"/>
          <c:x val="9.1590805694744745E-2"/>
          <c:y val="8.178159220001785E-2"/>
          <c:w val="0.83944465123679546"/>
          <c:h val="0.82786718626511091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layout>
                <c:manualLayout>
                  <c:x val="-0.19722828282828544"/>
                  <c:y val="2.2032044678134684E-2"/>
                </c:manualLayout>
              </c:layout>
              <c:spPr/>
              <c:txPr>
                <a:bodyPr/>
                <a:lstStyle/>
                <a:p>
                  <a:pPr>
                    <a:defRPr lang="es-AR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2D-4A3B-A26C-9EC37D5A2A10}"/>
                </c:ext>
              </c:extLst>
            </c:dLbl>
            <c:dLbl>
              <c:idx val="1"/>
              <c:layout>
                <c:manualLayout>
                  <c:x val="-4.0346711206553733E-2"/>
                  <c:y val="-0.23747421309125594"/>
                </c:manualLayout>
              </c:layout>
              <c:spPr/>
              <c:txPr>
                <a:bodyPr/>
                <a:lstStyle/>
                <a:p>
                  <a:pPr>
                    <a:defRPr lang="es-AR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2D-4A3B-A26C-9EC37D5A2A10}"/>
                </c:ext>
              </c:extLst>
            </c:dLbl>
            <c:dLbl>
              <c:idx val="2"/>
              <c:layout>
                <c:manualLayout>
                  <c:x val="-5.1237413505129904E-3"/>
                  <c:y val="0.11653582518361344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2D-4A3B-A26C-9EC37D5A2A10}"/>
                </c:ext>
              </c:extLst>
            </c:dLbl>
            <c:dLbl>
              <c:idx val="3"/>
              <c:layout>
                <c:manualLayout>
                  <c:x val="0.15972525252525877"/>
                  <c:y val="-0.10096136733496584"/>
                </c:manualLayout>
              </c:layout>
              <c:spPr/>
              <c:txPr>
                <a:bodyPr/>
                <a:lstStyle/>
                <a:p>
                  <a:pPr>
                    <a:defRPr lang="es-AR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D-4A3B-A26C-9EC37D5A2A10}"/>
                </c:ext>
              </c:extLst>
            </c:dLbl>
            <c:dLbl>
              <c:idx val="4"/>
              <c:layout>
                <c:manualLayout>
                  <c:x val="-6.1966372385270016E-2"/>
                  <c:y val="-6.8138843515025777E-2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2D-4A3B-A26C-9EC37D5A2A10}"/>
                </c:ext>
              </c:extLst>
            </c:dLbl>
            <c:dLbl>
              <c:idx val="5"/>
              <c:layout>
                <c:manualLayout>
                  <c:x val="3.5778764018134096E-2"/>
                  <c:y val="-1.7614636926903918E-2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2D-4A3B-A26C-9EC37D5A2A10}"/>
                </c:ext>
              </c:extLst>
            </c:dLbl>
            <c:dLbl>
              <c:idx val="6"/>
              <c:layout>
                <c:manualLayout>
                  <c:x val="3.6469005010737292E-2"/>
                  <c:y val="-5.6186572301777087E-2"/>
                </c:manualLayout>
              </c:layout>
              <c:showVal val="1"/>
              <c:showCatName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2D-4A3B-A26C-9EC37D5A2A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showCatName val="1"/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77</c:v>
                </c:pt>
                <c:pt idx="1">
                  <c:v>65</c:v>
                </c:pt>
                <c:pt idx="2">
                  <c:v>8</c:v>
                </c:pt>
                <c:pt idx="3">
                  <c:v>44</c:v>
                </c:pt>
                <c:pt idx="4">
                  <c:v>9</c:v>
                </c:pt>
                <c:pt idx="5">
                  <c:v>15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</c:pie3DChart>
    </c:plotArea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5476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40</c:v>
                </c:pt>
                <c:pt idx="1">
                  <c:v>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75635072"/>
        <c:axId val="175710592"/>
        <c:axId val="0"/>
      </c:bar3DChart>
      <c:catAx>
        <c:axId val="175635072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75710592"/>
        <c:crosses val="autoZero"/>
        <c:auto val="1"/>
        <c:lblAlgn val="ctr"/>
        <c:lblOffset val="100"/>
      </c:catAx>
      <c:valAx>
        <c:axId val="175710592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75635072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65</c:v>
                </c:pt>
                <c:pt idx="1">
                  <c:v>20</c:v>
                </c:pt>
                <c:pt idx="2">
                  <c:v>1</c:v>
                </c:pt>
                <c:pt idx="3">
                  <c:v>40</c:v>
                </c:pt>
                <c:pt idx="4">
                  <c:v>37</c:v>
                </c:pt>
                <c:pt idx="5">
                  <c:v>3</c:v>
                </c:pt>
                <c:pt idx="6">
                  <c:v>15</c:v>
                </c:pt>
                <c:pt idx="7">
                  <c:v>34</c:v>
                </c:pt>
                <c:pt idx="8">
                  <c:v>8</c:v>
                </c:pt>
                <c:pt idx="9">
                  <c:v>43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4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 filterMode="1"/>
  <dimension ref="A1:AK403"/>
  <sheetViews>
    <sheetView tabSelected="1" zoomScale="80" zoomScaleNormal="80" zoomScaleSheetLayoutView="55" workbookViewId="0">
      <pane xSplit="4" ySplit="2" topLeftCell="E271" activePane="bottomRight" state="frozen"/>
      <selection pane="topRight" activeCell="E1" sqref="E1"/>
      <selection pane="bottomLeft" activeCell="A3" sqref="A3"/>
      <selection pane="bottomRight" activeCell="A271" sqref="A271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6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401</v>
      </c>
      <c r="B1" s="96"/>
      <c r="C1" s="205"/>
      <c r="D1" s="96"/>
      <c r="E1" s="123"/>
      <c r="F1" s="121"/>
      <c r="G1" s="123"/>
      <c r="H1" s="124"/>
      <c r="I1" s="125"/>
      <c r="J1" s="126"/>
      <c r="K1" s="124" t="s">
        <v>355</v>
      </c>
      <c r="M1" s="134" t="s">
        <v>1644</v>
      </c>
      <c r="N1" s="121"/>
      <c r="O1" s="121"/>
      <c r="P1" s="96"/>
      <c r="Q1" s="121"/>
      <c r="S1" s="96"/>
      <c r="T1" s="121"/>
      <c r="U1" s="121"/>
      <c r="V1" s="127" t="s">
        <v>331</v>
      </c>
      <c r="W1" s="124"/>
      <c r="X1" s="128"/>
      <c r="Y1" s="128"/>
      <c r="Z1" s="129">
        <v>45222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</row>
    <row r="2" spans="1:37" ht="39.950000000000003" customHeight="1">
      <c r="A2" s="85" t="s">
        <v>293</v>
      </c>
      <c r="B2" s="86" t="s">
        <v>1</v>
      </c>
      <c r="C2" s="206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1662</v>
      </c>
      <c r="M2" s="85" t="s">
        <v>311</v>
      </c>
      <c r="N2" s="48" t="s">
        <v>321</v>
      </c>
      <c r="O2" s="48" t="s">
        <v>2043</v>
      </c>
      <c r="P2" s="48" t="s">
        <v>226</v>
      </c>
      <c r="Q2" s="48" t="s">
        <v>1532</v>
      </c>
      <c r="R2" s="48" t="s">
        <v>1533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2052</v>
      </c>
      <c r="AI2" s="48" t="s">
        <v>252</v>
      </c>
      <c r="AJ2" s="48" t="s">
        <v>2150</v>
      </c>
    </row>
    <row r="3" spans="1:37" s="3" customFormat="1" ht="102" hidden="1">
      <c r="A3" s="98">
        <v>21</v>
      </c>
      <c r="B3" s="99" t="s">
        <v>509</v>
      </c>
      <c r="C3" s="210" t="s">
        <v>501</v>
      </c>
      <c r="D3" s="98" t="s">
        <v>510</v>
      </c>
      <c r="E3" s="98" t="s">
        <v>511</v>
      </c>
      <c r="F3" s="153">
        <v>45041</v>
      </c>
      <c r="G3" s="98"/>
      <c r="H3" s="98" t="s">
        <v>111</v>
      </c>
      <c r="I3" s="99">
        <v>45075</v>
      </c>
      <c r="J3" s="141">
        <v>0.45833333333333331</v>
      </c>
      <c r="K3" s="98" t="s">
        <v>362</v>
      </c>
      <c r="L3" s="194"/>
      <c r="M3" s="99" t="s">
        <v>330</v>
      </c>
      <c r="N3" s="98" t="s">
        <v>353</v>
      </c>
      <c r="O3" s="98" t="s">
        <v>2355</v>
      </c>
      <c r="P3" s="98" t="s">
        <v>513</v>
      </c>
      <c r="Q3" s="283" t="s">
        <v>111</v>
      </c>
      <c r="R3" s="194"/>
      <c r="S3" s="98" t="s">
        <v>374</v>
      </c>
      <c r="T3" s="98" t="s">
        <v>515</v>
      </c>
      <c r="U3" s="98"/>
      <c r="V3" s="98" t="s">
        <v>192</v>
      </c>
      <c r="W3" s="98" t="s">
        <v>423</v>
      </c>
      <c r="X3" s="98" t="s">
        <v>111</v>
      </c>
      <c r="Y3" s="163" t="str">
        <f ca="1">IF(I3&lt;&gt;"",IF(I3&lt;=TODAY(),IF(OR(N3="REPROGRAMADA",N3="SUSPENDIDA",N3="EXCLUSION",N3="COLEGIADO"),"NO HECHA",IF(N3=" ","SINRESULTADO","SI")),"NO"),IF(N3="EXCLUSION","NO HECHA","LIMBO"))</f>
        <v>NO HECHA</v>
      </c>
      <c r="Z3" s="98" t="str">
        <f>IF($Z$1=I3,"DIASOL", "DIANOSOL")</f>
        <v>DIANOSOL</v>
      </c>
      <c r="AA3" s="98" t="s">
        <v>240</v>
      </c>
      <c r="AB3" s="98" t="s">
        <v>514</v>
      </c>
      <c r="AC3" s="98" t="str">
        <f>IF(H3=$M$1,"SI","NO")</f>
        <v>NO</v>
      </c>
      <c r="AD3" s="98"/>
      <c r="AE3" s="98"/>
      <c r="AF3" s="283"/>
      <c r="AG3" s="334" t="str">
        <f>IF(COUNTIF(C3,"*preso*")&gt;0,"SI","NO")</f>
        <v>SI</v>
      </c>
      <c r="AH3" s="265">
        <f>NroOrden(N3)</f>
        <v>0</v>
      </c>
      <c r="AI3" s="98"/>
      <c r="AJ3" s="283" t="str">
        <f ca="1">IF(OR(Y3="NO",Y3="LIMBO"),"IMP","NOIMP")</f>
        <v>NOIMP</v>
      </c>
    </row>
    <row r="4" spans="1:37" ht="38.25" hidden="1">
      <c r="A4" s="98">
        <v>53</v>
      </c>
      <c r="B4" s="99" t="s">
        <v>703</v>
      </c>
      <c r="C4" s="209"/>
      <c r="D4" s="98" t="s">
        <v>704</v>
      </c>
      <c r="E4" s="98" t="s">
        <v>705</v>
      </c>
      <c r="F4" s="153">
        <v>45062</v>
      </c>
      <c r="G4" s="98"/>
      <c r="H4" s="98" t="s">
        <v>111</v>
      </c>
      <c r="I4" s="99">
        <v>45084</v>
      </c>
      <c r="J4" s="141">
        <v>0.375</v>
      </c>
      <c r="K4" s="98" t="s">
        <v>364</v>
      </c>
      <c r="L4" s="194"/>
      <c r="M4" s="99" t="s">
        <v>328</v>
      </c>
      <c r="N4" s="98" t="s">
        <v>353</v>
      </c>
      <c r="O4" s="98" t="s">
        <v>2355</v>
      </c>
      <c r="P4" s="98" t="s">
        <v>707</v>
      </c>
      <c r="Q4" s="98" t="s">
        <v>111</v>
      </c>
      <c r="R4" s="194"/>
      <c r="S4" s="98"/>
      <c r="T4" s="98"/>
      <c r="U4" s="98"/>
      <c r="V4" s="98" t="s">
        <v>268</v>
      </c>
      <c r="W4" s="98" t="s">
        <v>136</v>
      </c>
      <c r="X4" s="98" t="s">
        <v>111</v>
      </c>
      <c r="Y4" s="163" t="str">
        <f ca="1">IF(I4&lt;&gt;"",IF(I4&lt;=TODAY(),IF(OR(N4="REPROGRAMADA",N4="SUSPENDIDA",N4="EXCLUSION",N4="COLEGIADO"),"NO HECHA",IF(N4=" ","SINRESULTADO","SI")),"NO"),IF(N4="EXCLUSION","NO HECHA","LIMBO"))</f>
        <v>NO HECHA</v>
      </c>
      <c r="Z4" s="98" t="str">
        <f>IF($Z$1=I4,"DIASOL", "DIANOSOL")</f>
        <v>DIANOSOL</v>
      </c>
      <c r="AA4" s="98" t="s">
        <v>240</v>
      </c>
      <c r="AB4" s="98" t="s">
        <v>708</v>
      </c>
      <c r="AC4" s="98" t="str">
        <f>IF(H4=$M$1,"SI","NO")</f>
        <v>NO</v>
      </c>
      <c r="AD4" s="98"/>
      <c r="AE4" s="98"/>
      <c r="AF4" s="98"/>
      <c r="AG4" s="163" t="str">
        <f>IF(COUNTIF(C4,"*preso*")&gt;0,"SI","NO")</f>
        <v>NO</v>
      </c>
      <c r="AH4" s="265">
        <f>NroOrden(N4)</f>
        <v>0</v>
      </c>
      <c r="AI4" s="98"/>
      <c r="AJ4" s="283" t="str">
        <f ca="1">IF(OR(Y4="NO",Y4="LIMBO"),"IMP","NOIMP")</f>
        <v>NOIMP</v>
      </c>
      <c r="AK4" s="5"/>
    </row>
    <row r="5" spans="1:37" ht="63.75" hidden="1">
      <c r="A5" s="98">
        <v>120</v>
      </c>
      <c r="B5" s="99" t="s">
        <v>989</v>
      </c>
      <c r="C5" s="210" t="s">
        <v>990</v>
      </c>
      <c r="D5" s="98" t="s">
        <v>991</v>
      </c>
      <c r="E5" s="98" t="s">
        <v>992</v>
      </c>
      <c r="F5" s="153">
        <v>45106</v>
      </c>
      <c r="G5" s="98"/>
      <c r="H5" s="98"/>
      <c r="I5" s="99">
        <v>45091</v>
      </c>
      <c r="J5" s="99" t="s">
        <v>994</v>
      </c>
      <c r="K5" s="98" t="s">
        <v>365</v>
      </c>
      <c r="L5" s="194"/>
      <c r="M5" s="99" t="s">
        <v>332</v>
      </c>
      <c r="N5" s="98" t="s">
        <v>353</v>
      </c>
      <c r="O5" s="98" t="s">
        <v>2303</v>
      </c>
      <c r="P5" s="98" t="s">
        <v>1423</v>
      </c>
      <c r="Q5" s="98" t="s">
        <v>111</v>
      </c>
      <c r="R5" s="194"/>
      <c r="S5" s="98" t="s">
        <v>614</v>
      </c>
      <c r="T5" s="98" t="s">
        <v>996</v>
      </c>
      <c r="U5" s="98" t="s">
        <v>997</v>
      </c>
      <c r="V5" s="98" t="s">
        <v>182</v>
      </c>
      <c r="W5" s="98" t="s">
        <v>117</v>
      </c>
      <c r="X5" s="98" t="s">
        <v>111</v>
      </c>
      <c r="Y5" s="163" t="str">
        <f ca="1">IF(I5&lt;&gt;"",IF(I5&lt;=TODAY(),IF(OR(N5="REPROGRAMADA",N5="SUSPENDIDA",N5="EXCLUSION",N5="COLEGIADO"),"NO HECHA",IF(N5=" ","SINRESULTADO","SI")),"NO"),IF(N5="EXCLUSION","NO HECHA","LIMBO"))</f>
        <v>NO HECHA</v>
      </c>
      <c r="Z5" s="163" t="str">
        <f>IF($Z$1=I5,"DIASOL", "DIANOSOL")</f>
        <v>DIANOSOL</v>
      </c>
      <c r="AA5" s="98" t="s">
        <v>240</v>
      </c>
      <c r="AB5" s="98" t="s">
        <v>995</v>
      </c>
      <c r="AC5" s="163" t="str">
        <f>IF(H5=$M$1,"SI","NO")</f>
        <v>NO</v>
      </c>
      <c r="AD5" s="163"/>
      <c r="AE5" s="153">
        <v>45105</v>
      </c>
      <c r="AF5" s="98" t="s">
        <v>2195</v>
      </c>
      <c r="AG5" s="163" t="str">
        <f>IF(COUNTIF(C5,"*preso*")&gt;0,"SI","NO")</f>
        <v>SI</v>
      </c>
      <c r="AH5" s="253">
        <f>NroOrden(N5)</f>
        <v>0</v>
      </c>
      <c r="AI5" s="98"/>
      <c r="AJ5" s="48" t="str">
        <f ca="1">IF(OR(Y5="NO",Y5="LIMBO"),"IMP","NOIMP")</f>
        <v>NOIMP</v>
      </c>
      <c r="AK5" s="5"/>
    </row>
    <row r="6" spans="1:37" ht="41.25" hidden="1" customHeight="1">
      <c r="A6" s="98">
        <v>78</v>
      </c>
      <c r="B6" s="99" t="s">
        <v>830</v>
      </c>
      <c r="C6" s="209"/>
      <c r="D6" s="98" t="s">
        <v>831</v>
      </c>
      <c r="E6" s="98" t="s">
        <v>832</v>
      </c>
      <c r="F6" s="153">
        <v>45026</v>
      </c>
      <c r="G6" s="98"/>
      <c r="H6" s="98" t="s">
        <v>111</v>
      </c>
      <c r="I6" s="99">
        <v>45093</v>
      </c>
      <c r="J6" s="98" t="s">
        <v>833</v>
      </c>
      <c r="K6" s="98" t="s">
        <v>362</v>
      </c>
      <c r="L6" s="194"/>
      <c r="M6" s="99" t="s">
        <v>330</v>
      </c>
      <c r="N6" s="98" t="s">
        <v>353</v>
      </c>
      <c r="O6" s="98" t="s">
        <v>2303</v>
      </c>
      <c r="P6" s="98" t="s">
        <v>834</v>
      </c>
      <c r="Q6" s="98" t="s">
        <v>111</v>
      </c>
      <c r="R6" s="194"/>
      <c r="S6" s="98"/>
      <c r="T6" s="98"/>
      <c r="U6" s="98"/>
      <c r="V6" s="98" t="s">
        <v>182</v>
      </c>
      <c r="W6" s="98" t="s">
        <v>116</v>
      </c>
      <c r="X6" s="98" t="s">
        <v>111</v>
      </c>
      <c r="Y6" s="163" t="str">
        <f ca="1">IF(I6&lt;&gt;"",IF(I6&lt;=TODAY(),IF(OR(N6="REPROGRAMADA",N6="SUSPENDIDA",N6="EXCLUSION",N6="COLEGIADO"),"NO HECHA",IF(N6=" ","SINRESULTADO","SI")),"NO"),IF(N6="EXCLUSION","NO HECHA","LIMBO"))</f>
        <v>NO HECHA</v>
      </c>
      <c r="Z6" s="98" t="str">
        <f>IF($Z$1=I6,"DIASOL", "DIANOSOL")</f>
        <v>DIANOSOL</v>
      </c>
      <c r="AA6" s="98" t="s">
        <v>240</v>
      </c>
      <c r="AB6" s="98" t="s">
        <v>835</v>
      </c>
      <c r="AC6" s="98" t="str">
        <f>IF(H6=$M$1,"SI","NO")</f>
        <v>NO</v>
      </c>
      <c r="AD6" s="98"/>
      <c r="AE6" s="98"/>
      <c r="AF6" s="98"/>
      <c r="AG6" s="163" t="str">
        <f>IF(COUNTIF(C6,"*preso*")&gt;0,"SI","NO")</f>
        <v>NO</v>
      </c>
      <c r="AH6" s="253">
        <f>NroOrden(N6)</f>
        <v>0</v>
      </c>
      <c r="AI6" s="98"/>
      <c r="AJ6" s="48" t="str">
        <f ca="1">IF(OR(Y6="NO",Y6="LIMBO"),"IMP","NOIMP")</f>
        <v>NOIMP</v>
      </c>
      <c r="AK6" s="5"/>
    </row>
    <row r="7" spans="1:37" ht="51" hidden="1">
      <c r="A7" s="98">
        <v>84</v>
      </c>
      <c r="B7" s="99" t="s">
        <v>863</v>
      </c>
      <c r="C7" s="209"/>
      <c r="D7" s="98" t="s">
        <v>865</v>
      </c>
      <c r="E7" s="98" t="s">
        <v>518</v>
      </c>
      <c r="F7" s="153">
        <v>45064</v>
      </c>
      <c r="G7" s="98"/>
      <c r="H7" s="98"/>
      <c r="I7" s="99">
        <v>45099</v>
      </c>
      <c r="J7" s="141">
        <v>0.41666666666666669</v>
      </c>
      <c r="K7" s="98" t="s">
        <v>363</v>
      </c>
      <c r="L7" s="194"/>
      <c r="M7" s="99" t="s">
        <v>329</v>
      </c>
      <c r="N7" s="98" t="s">
        <v>353</v>
      </c>
      <c r="O7" s="98" t="s">
        <v>2306</v>
      </c>
      <c r="P7" s="98" t="s">
        <v>864</v>
      </c>
      <c r="Q7" s="98" t="s">
        <v>111</v>
      </c>
      <c r="R7" s="194"/>
      <c r="S7" s="98"/>
      <c r="T7" s="98"/>
      <c r="U7" s="98"/>
      <c r="V7" s="98" t="s">
        <v>182</v>
      </c>
      <c r="W7" s="98" t="s">
        <v>866</v>
      </c>
      <c r="X7" s="98" t="s">
        <v>111</v>
      </c>
      <c r="Y7" s="163" t="str">
        <f ca="1">IF(I7&lt;&gt;"",IF(I7&lt;=TODAY(),IF(OR(N7="REPROGRAMADA",N7="SUSPENDIDA",N7="EXCLUSION",N7="COLEGIADO"),"NO HECHA",IF(N7=" ","SINRESULTADO","SI")),"NO"),IF(N7="EXCLUSION","NO HECHA","LIMBO"))</f>
        <v>NO HECHA</v>
      </c>
      <c r="Z7" s="98" t="str">
        <f>IF($Z$1=I7,"DIASOL", "DIANOSOL")</f>
        <v>DIANOSOL</v>
      </c>
      <c r="AA7" s="98" t="s">
        <v>240</v>
      </c>
      <c r="AB7" s="98" t="s">
        <v>867</v>
      </c>
      <c r="AC7" s="98" t="str">
        <f>IF(H7=$M$1,"SI","NO")</f>
        <v>NO</v>
      </c>
      <c r="AD7" s="98"/>
      <c r="AE7" s="98"/>
      <c r="AF7" s="98"/>
      <c r="AG7" s="163" t="str">
        <f>IF(COUNTIF(C7,"*preso*")&gt;0,"SI","NO")</f>
        <v>NO</v>
      </c>
      <c r="AH7" s="253">
        <f>NroOrden(N7)</f>
        <v>0</v>
      </c>
      <c r="AI7" s="98"/>
      <c r="AJ7" s="48" t="str">
        <f ca="1">IF(OR(Y7="NO",Y7="LIMBO"),"IMP","NOIMP")</f>
        <v>NOIMP</v>
      </c>
      <c r="AK7" s="5"/>
    </row>
    <row r="8" spans="1:37" ht="89.25" hidden="1">
      <c r="A8" s="98">
        <v>86</v>
      </c>
      <c r="B8" s="99" t="s">
        <v>872</v>
      </c>
      <c r="C8" s="210" t="s">
        <v>501</v>
      </c>
      <c r="D8" s="98" t="s">
        <v>873</v>
      </c>
      <c r="E8" s="98" t="s">
        <v>685</v>
      </c>
      <c r="F8" s="153">
        <v>44999</v>
      </c>
      <c r="G8" s="98"/>
      <c r="H8" s="98" t="s">
        <v>111</v>
      </c>
      <c r="I8" s="99">
        <v>45100</v>
      </c>
      <c r="J8" s="141">
        <v>0.45833333333333331</v>
      </c>
      <c r="K8" s="98" t="s">
        <v>363</v>
      </c>
      <c r="L8" s="194"/>
      <c r="M8" s="99" t="s">
        <v>329</v>
      </c>
      <c r="N8" s="98" t="s">
        <v>353</v>
      </c>
      <c r="O8" s="98" t="s">
        <v>2360</v>
      </c>
      <c r="P8" s="98" t="s">
        <v>875</v>
      </c>
      <c r="Q8" s="98" t="s">
        <v>111</v>
      </c>
      <c r="R8" s="194"/>
      <c r="S8" s="98" t="s">
        <v>374</v>
      </c>
      <c r="T8" s="98" t="s">
        <v>879</v>
      </c>
      <c r="U8" s="98" t="s">
        <v>880</v>
      </c>
      <c r="V8" s="98" t="s">
        <v>340</v>
      </c>
      <c r="W8" s="98" t="s">
        <v>877</v>
      </c>
      <c r="X8" s="98" t="s">
        <v>111</v>
      </c>
      <c r="Y8" s="163" t="str">
        <f ca="1">IF(I8&lt;&gt;"",IF(I8&lt;=TODAY(),IF(OR(N8="REPROGRAMADA",N8="SUSPENDIDA",N8="EXCLUSION",N8="COLEGIADO"),"NO HECHA",IF(N8=" ","SINRESULTADO","SI")),"NO"),IF(N8="EXCLUSION","NO HECHA","LIMBO"))</f>
        <v>NO HECHA</v>
      </c>
      <c r="Z8" s="98" t="str">
        <f>IF($Z$1=I8,"DIASOL", "DIANOSOL")</f>
        <v>DIANOSOL</v>
      </c>
      <c r="AA8" s="98" t="s">
        <v>681</v>
      </c>
      <c r="AB8" s="98" t="s">
        <v>878</v>
      </c>
      <c r="AC8" s="98" t="str">
        <f>IF(H8=$M$1,"SI","NO")</f>
        <v>NO</v>
      </c>
      <c r="AD8" s="98"/>
      <c r="AE8" s="98"/>
      <c r="AF8" s="98"/>
      <c r="AG8" s="163" t="str">
        <f>IF(COUNTIF(C8,"*preso*")&gt;0,"SI","NO")</f>
        <v>SI</v>
      </c>
      <c r="AH8" s="253">
        <f>NroOrden(N8)</f>
        <v>0</v>
      </c>
      <c r="AI8" s="98" t="s">
        <v>876</v>
      </c>
      <c r="AJ8" s="48" t="str">
        <f ca="1">IF(OR(Y8="NO",Y8="LIMBO"),"IMP","NOIMP")</f>
        <v>NOIMP</v>
      </c>
      <c r="AK8" s="5"/>
    </row>
    <row r="9" spans="1:37" ht="38.25" hidden="1">
      <c r="A9" s="98">
        <v>99</v>
      </c>
      <c r="B9" s="99" t="s">
        <v>939</v>
      </c>
      <c r="C9" s="209" t="s">
        <v>889</v>
      </c>
      <c r="D9" s="98" t="s">
        <v>940</v>
      </c>
      <c r="E9" s="98" t="s">
        <v>652</v>
      </c>
      <c r="F9" s="153"/>
      <c r="G9" s="98"/>
      <c r="H9" s="98" t="s">
        <v>111</v>
      </c>
      <c r="I9" s="99">
        <v>45100</v>
      </c>
      <c r="J9" s="141">
        <v>0.54166666666666663</v>
      </c>
      <c r="K9" s="98" t="s">
        <v>364</v>
      </c>
      <c r="L9" s="194"/>
      <c r="M9" s="99" t="s">
        <v>329</v>
      </c>
      <c r="N9" s="98" t="s">
        <v>353</v>
      </c>
      <c r="O9" s="98" t="s">
        <v>2306</v>
      </c>
      <c r="P9" s="98" t="s">
        <v>942</v>
      </c>
      <c r="Q9" s="98" t="s">
        <v>111</v>
      </c>
      <c r="R9" s="194"/>
      <c r="S9" s="98"/>
      <c r="T9" s="98"/>
      <c r="U9" s="98"/>
      <c r="V9" s="98" t="s">
        <v>340</v>
      </c>
      <c r="W9" s="98" t="s">
        <v>535</v>
      </c>
      <c r="X9" s="98" t="s">
        <v>111</v>
      </c>
      <c r="Y9" s="163" t="str">
        <f ca="1">IF(I9&lt;&gt;"",IF(I9&lt;=TODAY(),IF(OR(N9="REPROGRAMADA",N9="SUSPENDIDA",N9="EXCLUSION",N9="COLEGIADO"),"NO HECHA",IF(N9=" ","SINRESULTADO","SI")),"NO"),IF(N9="EXCLUSION","NO HECHA","LIMBO"))</f>
        <v>NO HECHA</v>
      </c>
      <c r="Z9" s="98" t="str">
        <f>IF($Z$1=I9,"DIASOL", "DIANOSOL")</f>
        <v>DIANOSOL</v>
      </c>
      <c r="AA9" s="98" t="s">
        <v>737</v>
      </c>
      <c r="AB9" s="98" t="s">
        <v>943</v>
      </c>
      <c r="AC9" s="98" t="str">
        <f>IF(H9=$M$1,"SI","NO")</f>
        <v>NO</v>
      </c>
      <c r="AD9" s="98"/>
      <c r="AE9" s="98"/>
      <c r="AF9" s="98"/>
      <c r="AG9" s="163" t="str">
        <f>IF(COUNTIF(C9,"*preso*")&gt;0,"SI","NO")</f>
        <v>SI</v>
      </c>
      <c r="AH9" s="253">
        <f>NroOrden(N9)</f>
        <v>0</v>
      </c>
      <c r="AI9" s="98"/>
      <c r="AJ9" s="48" t="str">
        <f ca="1">IF(OR(Y9="NO",Y9="LIMBO"),"IMP","NOIMP")</f>
        <v>NOIMP</v>
      </c>
      <c r="AK9" s="5"/>
    </row>
    <row r="10" spans="1:37" ht="51" hidden="1">
      <c r="A10" s="98">
        <v>35</v>
      </c>
      <c r="B10" s="99" t="s">
        <v>399</v>
      </c>
      <c r="C10" s="209"/>
      <c r="D10" s="98" t="s">
        <v>400</v>
      </c>
      <c r="E10" s="98" t="s">
        <v>401</v>
      </c>
      <c r="F10" s="153">
        <v>45069</v>
      </c>
      <c r="G10" s="98"/>
      <c r="H10" s="98" t="s">
        <v>111</v>
      </c>
      <c r="I10" s="99">
        <v>45103</v>
      </c>
      <c r="J10" s="141">
        <v>0.54166666666666663</v>
      </c>
      <c r="K10" s="98" t="s">
        <v>365</v>
      </c>
      <c r="L10" s="194"/>
      <c r="M10" s="99" t="s">
        <v>333</v>
      </c>
      <c r="N10" s="98" t="s">
        <v>353</v>
      </c>
      <c r="O10" s="98" t="s">
        <v>2360</v>
      </c>
      <c r="P10" s="98" t="s">
        <v>587</v>
      </c>
      <c r="Q10" s="98" t="s">
        <v>111</v>
      </c>
      <c r="R10" s="194"/>
      <c r="S10" s="98"/>
      <c r="T10" s="98"/>
      <c r="U10" s="98"/>
      <c r="V10" s="98" t="s">
        <v>194</v>
      </c>
      <c r="W10" s="98" t="s">
        <v>141</v>
      </c>
      <c r="X10" s="98" t="s">
        <v>404</v>
      </c>
      <c r="Y10" s="163" t="str">
        <f ca="1">IF(I10&lt;&gt;"",IF(I10&lt;=TODAY(),IF(OR(N10="REPROGRAMADA",N10="SUSPENDIDA",N10="EXCLUSION",N10="COLEGIADO"),"NO HECHA",IF(N10=" ","SINRESULTADO","SI")),"NO"),IF(N10="EXCLUSION","NO HECHA","LIMBO"))</f>
        <v>NO HECHA</v>
      </c>
      <c r="Z10" s="98" t="str">
        <f>IF($Z$1=I10,"DIASOL", "DIANOSOL")</f>
        <v>DIANOSOL</v>
      </c>
      <c r="AA10" s="98" t="s">
        <v>240</v>
      </c>
      <c r="AB10" s="98" t="s">
        <v>405</v>
      </c>
      <c r="AC10" s="98" t="str">
        <f>IF(H10=$M$1,"SI","NO")</f>
        <v>NO</v>
      </c>
      <c r="AD10" s="98"/>
      <c r="AE10" s="98"/>
      <c r="AF10" s="98" t="s">
        <v>2195</v>
      </c>
      <c r="AG10" s="163" t="str">
        <f>IF(COUNTIF(C10,"*preso*")&gt;0,"SI","NO")</f>
        <v>NO</v>
      </c>
      <c r="AH10" s="265">
        <f>NroOrden(N10)</f>
        <v>0</v>
      </c>
      <c r="AI10" s="98"/>
      <c r="AJ10" s="283" t="str">
        <f ca="1">IF(OR(Y10="NO",Y10="LIMBO"),"IMP","NOIMP")</f>
        <v>NOIMP</v>
      </c>
      <c r="AK10" s="5"/>
    </row>
    <row r="11" spans="1:37" ht="204" hidden="1">
      <c r="A11" s="98">
        <v>17</v>
      </c>
      <c r="B11" s="99" t="s">
        <v>478</v>
      </c>
      <c r="C11" s="210" t="s">
        <v>480</v>
      </c>
      <c r="D11" s="98" t="s">
        <v>479</v>
      </c>
      <c r="E11" s="98" t="s">
        <v>481</v>
      </c>
      <c r="F11" s="153">
        <v>45076</v>
      </c>
      <c r="G11" s="98"/>
      <c r="H11" s="98"/>
      <c r="I11" s="99">
        <v>45103</v>
      </c>
      <c r="J11" s="98" t="s">
        <v>282</v>
      </c>
      <c r="K11" s="98" t="s">
        <v>403</v>
      </c>
      <c r="L11" s="194"/>
      <c r="M11" s="99" t="s">
        <v>331</v>
      </c>
      <c r="N11" s="98" t="s">
        <v>353</v>
      </c>
      <c r="O11" s="98" t="s">
        <v>2304</v>
      </c>
      <c r="P11" s="98" t="s">
        <v>482</v>
      </c>
      <c r="Q11" s="98" t="s">
        <v>111</v>
      </c>
      <c r="R11" s="194"/>
      <c r="S11" s="98" t="s">
        <v>374</v>
      </c>
      <c r="T11" s="98" t="s">
        <v>485</v>
      </c>
      <c r="U11" s="98"/>
      <c r="V11" s="98" t="s">
        <v>189</v>
      </c>
      <c r="W11" s="98" t="s">
        <v>483</v>
      </c>
      <c r="X11" s="98" t="s">
        <v>111</v>
      </c>
      <c r="Y11" s="163" t="str">
        <f ca="1">IF(I11&lt;&gt;"",IF(I11&lt;=TODAY(),IF(OR(N11="REPROGRAMADA",N11="SUSPENDIDA",N11="EXCLUSION",N11="COLEGIADO"),"NO HECHA",IF(N11=" ","SINRESULTADO","SI")),"NO"),IF(N11="EXCLUSION","NO HECHA","LIMBO"))</f>
        <v>NO HECHA</v>
      </c>
      <c r="Z11" s="98" t="str">
        <f>IF($Z$1=I11,"DIASOL", "DIANOSOL")</f>
        <v>DIANOSOL</v>
      </c>
      <c r="AA11" s="98" t="s">
        <v>240</v>
      </c>
      <c r="AB11" s="98" t="s">
        <v>484</v>
      </c>
      <c r="AC11" s="98" t="str">
        <f>IF(H11=$M$1,"SI","NO")</f>
        <v>NO</v>
      </c>
      <c r="AD11" s="98"/>
      <c r="AE11" s="98"/>
      <c r="AF11" s="98" t="s">
        <v>2195</v>
      </c>
      <c r="AG11" s="163" t="str">
        <f>IF(COUNTIF(C11,"*preso*")&gt;0,"SI","NO")</f>
        <v>SI</v>
      </c>
      <c r="AH11" s="265">
        <f>NroOrden(N11)</f>
        <v>0</v>
      </c>
      <c r="AI11" s="98"/>
      <c r="AJ11" s="283" t="str">
        <f ca="1">IF(OR(Y11="NO",Y11="LIMBO"),"IMP","NOIMP")</f>
        <v>NOIMP</v>
      </c>
      <c r="AK11" s="5"/>
    </row>
    <row r="12" spans="1:37" ht="51" hidden="1">
      <c r="A12" s="98">
        <v>91</v>
      </c>
      <c r="B12" s="99" t="s">
        <v>902</v>
      </c>
      <c r="C12" s="209"/>
      <c r="D12" s="98" t="s">
        <v>903</v>
      </c>
      <c r="E12" s="98" t="s">
        <v>904</v>
      </c>
      <c r="F12" s="153">
        <v>45014</v>
      </c>
      <c r="G12" s="98"/>
      <c r="H12" s="98" t="s">
        <v>111</v>
      </c>
      <c r="I12" s="99">
        <v>45106</v>
      </c>
      <c r="J12" s="141">
        <v>0.5</v>
      </c>
      <c r="K12" s="98" t="s">
        <v>363</v>
      </c>
      <c r="L12" s="194"/>
      <c r="M12" s="99" t="s">
        <v>329</v>
      </c>
      <c r="N12" s="98" t="s">
        <v>353</v>
      </c>
      <c r="O12" s="98" t="s">
        <v>2303</v>
      </c>
      <c r="P12" s="98" t="s">
        <v>906</v>
      </c>
      <c r="Q12" s="98" t="s">
        <v>111</v>
      </c>
      <c r="R12" s="194"/>
      <c r="S12" s="98"/>
      <c r="T12" s="98"/>
      <c r="U12" s="98"/>
      <c r="V12" s="98" t="s">
        <v>344</v>
      </c>
      <c r="W12" s="98" t="s">
        <v>348</v>
      </c>
      <c r="X12" s="98" t="s">
        <v>111</v>
      </c>
      <c r="Y12" s="163" t="str">
        <f ca="1">IF(I12&lt;&gt;"",IF(I12&lt;=TODAY(),IF(OR(N12="REPROGRAMADA",N12="SUSPENDIDA",N12="EXCLUSION",N12="COLEGIADO"),"NO HECHA",IF(N12=" ","SINRESULTADO","SI")),"NO"),IF(N12="EXCLUSION","NO HECHA","LIMBO"))</f>
        <v>NO HECHA</v>
      </c>
      <c r="Z12" s="98" t="str">
        <f>IF($Z$1=I12,"DIASOL", "DIANOSOL")</f>
        <v>DIANOSOL</v>
      </c>
      <c r="AA12" s="98" t="s">
        <v>907</v>
      </c>
      <c r="AB12" s="98" t="s">
        <v>908</v>
      </c>
      <c r="AC12" s="98" t="str">
        <f>IF(H12=$M$1,"SI","NO")</f>
        <v>NO</v>
      </c>
      <c r="AD12" s="98"/>
      <c r="AE12" s="98"/>
      <c r="AF12" s="153">
        <v>45106</v>
      </c>
      <c r="AG12" s="163" t="str">
        <f>IF(COUNTIF(C12,"*preso*")&gt;0,"SI","NO")</f>
        <v>NO</v>
      </c>
      <c r="AH12" s="253">
        <f>NroOrden(N12)</f>
        <v>0</v>
      </c>
      <c r="AI12" s="98" t="s">
        <v>909</v>
      </c>
      <c r="AJ12" s="48" t="str">
        <f ca="1">IF(OR(Y12="NO",Y12="LIMBO"),"IMP","NOIMP")</f>
        <v>NOIMP</v>
      </c>
      <c r="AK12" s="5"/>
    </row>
    <row r="13" spans="1:37" ht="76.5" hidden="1">
      <c r="A13" s="98">
        <v>18</v>
      </c>
      <c r="B13" s="99" t="s">
        <v>486</v>
      </c>
      <c r="C13" s="209"/>
      <c r="D13" s="98" t="s">
        <v>487</v>
      </c>
      <c r="E13" s="98" t="s">
        <v>488</v>
      </c>
      <c r="F13" s="153">
        <v>45086</v>
      </c>
      <c r="G13" s="98"/>
      <c r="H13" s="98" t="s">
        <v>111</v>
      </c>
      <c r="I13" s="99">
        <v>45106</v>
      </c>
      <c r="J13" s="141">
        <v>0.52083333333333337</v>
      </c>
      <c r="K13" s="98" t="s">
        <v>365</v>
      </c>
      <c r="L13" s="194"/>
      <c r="M13" s="99" t="s">
        <v>332</v>
      </c>
      <c r="N13" s="98" t="s">
        <v>353</v>
      </c>
      <c r="O13" s="98" t="s">
        <v>2360</v>
      </c>
      <c r="P13" s="98" t="s">
        <v>492</v>
      </c>
      <c r="Q13" s="98" t="s">
        <v>111</v>
      </c>
      <c r="R13" s="194"/>
      <c r="S13" s="98"/>
      <c r="T13" s="98"/>
      <c r="U13" s="98"/>
      <c r="V13" s="98" t="s">
        <v>182</v>
      </c>
      <c r="W13" s="98" t="s">
        <v>490</v>
      </c>
      <c r="X13" s="98" t="s">
        <v>111</v>
      </c>
      <c r="Y13" s="163" t="str">
        <f ca="1">IF(I13&lt;&gt;"",IF(I13&lt;=TODAY(),IF(OR(N13="REPROGRAMADA",N13="SUSPENDIDA",N13="EXCLUSION",N13="COLEGIADO"),"NO HECHA",IF(N13=" ","SINRESULTADO","SI")),"NO"),IF(N13="EXCLUSION","NO HECHA","LIMBO"))</f>
        <v>NO HECHA</v>
      </c>
      <c r="Z13" s="98" t="str">
        <f>IF($Z$1=I13,"DIASOL", "DIANOSOL")</f>
        <v>DIANOSOL</v>
      </c>
      <c r="AA13" s="98" t="s">
        <v>240</v>
      </c>
      <c r="AB13" s="98" t="s">
        <v>491</v>
      </c>
      <c r="AC13" s="98" t="str">
        <f>IF(H13=$M$1,"SI","NO")</f>
        <v>NO</v>
      </c>
      <c r="AD13" s="98"/>
      <c r="AE13" s="98"/>
      <c r="AF13" s="98" t="s">
        <v>2195</v>
      </c>
      <c r="AG13" s="163" t="str">
        <f>IF(COUNTIF(C13,"*preso*")&gt;0,"SI","NO")</f>
        <v>NO</v>
      </c>
      <c r="AH13" s="265">
        <f>NroOrden(N13)</f>
        <v>0</v>
      </c>
      <c r="AI13" s="98"/>
      <c r="AJ13" s="283" t="str">
        <f ca="1">IF(OR(Y13="NO",Y13="LIMBO"),"IMP","NOIMP")</f>
        <v>NOIMP</v>
      </c>
      <c r="AK13" s="5"/>
    </row>
    <row r="14" spans="1:37" ht="38.25" hidden="1">
      <c r="A14" s="98">
        <v>106</v>
      </c>
      <c r="B14" s="99" t="s">
        <v>939</v>
      </c>
      <c r="C14" s="210" t="s">
        <v>889</v>
      </c>
      <c r="D14" s="98" t="s">
        <v>940</v>
      </c>
      <c r="E14" s="98" t="s">
        <v>652</v>
      </c>
      <c r="F14" s="153"/>
      <c r="G14" s="98"/>
      <c r="H14" s="98" t="s">
        <v>111</v>
      </c>
      <c r="I14" s="99">
        <v>45106</v>
      </c>
      <c r="J14" s="99" t="s">
        <v>14</v>
      </c>
      <c r="K14" s="98" t="s">
        <v>362</v>
      </c>
      <c r="L14" s="194"/>
      <c r="M14" s="99" t="s">
        <v>329</v>
      </c>
      <c r="N14" s="98" t="s">
        <v>353</v>
      </c>
      <c r="O14" s="98" t="s">
        <v>2307</v>
      </c>
      <c r="P14" s="98" t="s">
        <v>958</v>
      </c>
      <c r="Q14" s="98" t="s">
        <v>111</v>
      </c>
      <c r="R14" s="194"/>
      <c r="S14" s="98"/>
      <c r="T14" s="98"/>
      <c r="U14" s="98"/>
      <c r="V14" s="98" t="s">
        <v>340</v>
      </c>
      <c r="W14" s="98" t="s">
        <v>535</v>
      </c>
      <c r="X14" s="98" t="s">
        <v>111</v>
      </c>
      <c r="Y14" s="163" t="str">
        <f ca="1">IF(I14&lt;&gt;"",IF(I14&lt;=TODAY(),IF(OR(N14="REPROGRAMADA",N14="SUSPENDIDA",N14="EXCLUSION",N14="COLEGIADO"),"NO HECHA",IF(N14=" ","SINRESULTADO","SI")),"NO"),IF(N14="EXCLUSION","NO HECHA","LIMBO"))</f>
        <v>NO HECHA</v>
      </c>
      <c r="Z14" s="98" t="str">
        <f>IF($Z$1=I14,"DIASOL", "DIANOSOL")</f>
        <v>DIANOSOL</v>
      </c>
      <c r="AA14" s="98" t="s">
        <v>737</v>
      </c>
      <c r="AB14" s="98" t="s">
        <v>943</v>
      </c>
      <c r="AC14" s="98" t="str">
        <f>IF(H14=$M$1,"SI","NO")</f>
        <v>NO</v>
      </c>
      <c r="AD14" s="98"/>
      <c r="AE14" s="98"/>
      <c r="AF14" s="98"/>
      <c r="AG14" s="163" t="str">
        <f>IF(COUNTIF(C14,"*preso*")&gt;0,"SI","NO")</f>
        <v>SI</v>
      </c>
      <c r="AH14" s="253">
        <f>NroOrden(N14)</f>
        <v>0</v>
      </c>
      <c r="AI14" s="98"/>
      <c r="AJ14" s="48" t="str">
        <f ca="1">IF(OR(Y14="NO",Y14="LIMBO"),"IMP","NOIMP")</f>
        <v>NOIMP</v>
      </c>
      <c r="AK14" s="5"/>
    </row>
    <row r="15" spans="1:37" ht="51" hidden="1">
      <c r="A15" s="98">
        <v>19</v>
      </c>
      <c r="B15" s="99" t="s">
        <v>493</v>
      </c>
      <c r="C15" s="209"/>
      <c r="D15" s="98" t="s">
        <v>494</v>
      </c>
      <c r="E15" s="98" t="s">
        <v>495</v>
      </c>
      <c r="F15" s="153">
        <v>45015</v>
      </c>
      <c r="G15" s="98"/>
      <c r="H15" s="98" t="s">
        <v>111</v>
      </c>
      <c r="I15" s="99">
        <v>45111</v>
      </c>
      <c r="J15" s="141">
        <v>0.375</v>
      </c>
      <c r="K15" s="98" t="s">
        <v>363</v>
      </c>
      <c r="L15" s="194"/>
      <c r="M15" s="99" t="s">
        <v>329</v>
      </c>
      <c r="N15" s="98" t="s">
        <v>353</v>
      </c>
      <c r="O15" s="98" t="s">
        <v>2355</v>
      </c>
      <c r="P15" s="98" t="s">
        <v>496</v>
      </c>
      <c r="Q15" s="98" t="s">
        <v>111</v>
      </c>
      <c r="R15" s="194"/>
      <c r="S15" s="98"/>
      <c r="T15" s="98"/>
      <c r="U15" s="98"/>
      <c r="V15" s="98" t="s">
        <v>192</v>
      </c>
      <c r="W15" s="98" t="s">
        <v>497</v>
      </c>
      <c r="X15" s="98" t="s">
        <v>111</v>
      </c>
      <c r="Y15" s="163" t="str">
        <f ca="1">IF(I15&lt;&gt;"",IF(I15&lt;=TODAY(),IF(OR(N15="REPROGRAMADA",N15="SUSPENDIDA",N15="EXCLUSION",N15="COLEGIADO"),"NO HECHA",IF(N15=" ","SINRESULTADO","SI")),"NO"),IF(N15="EXCLUSION","NO HECHA","LIMBO"))</f>
        <v>NO HECHA</v>
      </c>
      <c r="Z15" s="98" t="str">
        <f>IF($Z$1=I15,"DIASOL", "DIANOSOL")</f>
        <v>DIANOSOL</v>
      </c>
      <c r="AA15" s="98" t="s">
        <v>240</v>
      </c>
      <c r="AB15" s="98" t="s">
        <v>498</v>
      </c>
      <c r="AC15" s="98" t="str">
        <f>IF(H15=$M$1,"SI","NO")</f>
        <v>NO</v>
      </c>
      <c r="AD15" s="98"/>
      <c r="AE15" s="98"/>
      <c r="AF15" s="98"/>
      <c r="AG15" s="163" t="str">
        <f>IF(COUNTIF(C15,"*preso*")&gt;0,"SI","NO")</f>
        <v>NO</v>
      </c>
      <c r="AH15" s="265">
        <f>NroOrden(N15)</f>
        <v>0</v>
      </c>
      <c r="AI15" s="98" t="s">
        <v>499</v>
      </c>
      <c r="AJ15" s="283" t="str">
        <f ca="1">IF(OR(Y15="NO",Y15="LIMBO"),"IMP","NOIMP")</f>
        <v>NOIMP</v>
      </c>
      <c r="AK15" s="5"/>
    </row>
    <row r="16" spans="1:37" ht="25.5" hidden="1">
      <c r="A16" s="98">
        <v>109</v>
      </c>
      <c r="B16" s="99" t="s">
        <v>393</v>
      </c>
      <c r="C16" s="210"/>
      <c r="D16" s="98" t="s">
        <v>394</v>
      </c>
      <c r="E16" s="98" t="s">
        <v>395</v>
      </c>
      <c r="F16" s="153">
        <v>45076</v>
      </c>
      <c r="G16" s="98"/>
      <c r="H16" s="98"/>
      <c r="I16" s="99">
        <v>45131</v>
      </c>
      <c r="J16" s="99" t="s">
        <v>16</v>
      </c>
      <c r="K16" s="98" t="s">
        <v>362</v>
      </c>
      <c r="L16" s="194"/>
      <c r="M16" s="99" t="s">
        <v>332</v>
      </c>
      <c r="N16" s="98" t="s">
        <v>353</v>
      </c>
      <c r="O16" s="98" t="s">
        <v>2303</v>
      </c>
      <c r="P16" s="98" t="s">
        <v>960</v>
      </c>
      <c r="Q16" s="98" t="s">
        <v>111</v>
      </c>
      <c r="R16" s="194"/>
      <c r="S16" s="98"/>
      <c r="T16" s="98"/>
      <c r="U16" s="98"/>
      <c r="V16" s="98" t="s">
        <v>189</v>
      </c>
      <c r="W16" s="98" t="s">
        <v>264</v>
      </c>
      <c r="X16" s="98" t="s">
        <v>111</v>
      </c>
      <c r="Y16" s="163" t="str">
        <f ca="1">IF(I16&lt;&gt;"",IF(I16&lt;=TODAY(),IF(OR(N16="REPROGRAMADA",N16="SUSPENDIDA",N16="EXCLUSION",N16="COLEGIADO"),"NO HECHA",IF(N16=" ","SINRESULTADO","SI")),"NO"),IF(N16="EXCLUSION","NO HECHA","LIMBO"))</f>
        <v>NO HECHA</v>
      </c>
      <c r="Z16" s="98" t="str">
        <f>IF($Z$1=I16,"DIASOL", "DIANOSOL")</f>
        <v>DIANOSOL</v>
      </c>
      <c r="AA16" s="98" t="s">
        <v>240</v>
      </c>
      <c r="AB16" s="98" t="s">
        <v>397</v>
      </c>
      <c r="AC16" s="98" t="str">
        <f>IF(H16=$M$1,"SI","NO")</f>
        <v>NO</v>
      </c>
      <c r="AD16" s="98"/>
      <c r="AE16" s="98"/>
      <c r="AF16" s="98" t="s">
        <v>2195</v>
      </c>
      <c r="AG16" s="163" t="str">
        <f>IF(COUNTIF(C16,"*preso*")&gt;0,"SI","NO")</f>
        <v>NO</v>
      </c>
      <c r="AH16" s="253">
        <f>NroOrden(N16)</f>
        <v>0</v>
      </c>
      <c r="AI16" s="98"/>
      <c r="AJ16" s="48" t="str">
        <f ca="1">IF(OR(Y16="NO",Y16="LIMBO"),"IMP","NOIMP")</f>
        <v>NOIMP</v>
      </c>
      <c r="AK16" s="5"/>
    </row>
    <row r="17" spans="1:37" ht="51" hidden="1">
      <c r="A17" s="98">
        <v>140</v>
      </c>
      <c r="B17" s="99" t="s">
        <v>1088</v>
      </c>
      <c r="C17" s="210" t="s">
        <v>501</v>
      </c>
      <c r="D17" s="98" t="s">
        <v>1089</v>
      </c>
      <c r="E17" s="98" t="s">
        <v>383</v>
      </c>
      <c r="F17" s="153">
        <v>45114</v>
      </c>
      <c r="G17" s="98"/>
      <c r="H17" s="98" t="s">
        <v>111</v>
      </c>
      <c r="I17" s="99">
        <v>45133</v>
      </c>
      <c r="J17" s="99" t="s">
        <v>282</v>
      </c>
      <c r="K17" s="98" t="s">
        <v>365</v>
      </c>
      <c r="L17" s="194"/>
      <c r="M17" s="99" t="s">
        <v>331</v>
      </c>
      <c r="N17" s="98" t="s">
        <v>353</v>
      </c>
      <c r="O17" s="98" t="s">
        <v>2305</v>
      </c>
      <c r="P17" s="98" t="s">
        <v>1090</v>
      </c>
      <c r="Q17" s="98" t="s">
        <v>111</v>
      </c>
      <c r="R17" s="194"/>
      <c r="S17" s="98" t="s">
        <v>374</v>
      </c>
      <c r="T17" s="98" t="s">
        <v>1091</v>
      </c>
      <c r="U17" s="98" t="s">
        <v>1092</v>
      </c>
      <c r="V17" s="98" t="s">
        <v>97</v>
      </c>
      <c r="W17" s="98" t="s">
        <v>180</v>
      </c>
      <c r="X17" s="98" t="s">
        <v>111</v>
      </c>
      <c r="Y17" s="163" t="str">
        <f ca="1">IF(I17&lt;&gt;"",IF(I17&lt;=TODAY(),IF(OR(N17="REPROGRAMADA",N17="SUSPENDIDA",N17="EXCLUSION",N17="COLEGIADO"),"NO HECHA",IF(N17=" ","SINRESULTADO","SI")),"NO"),IF(N17="EXCLUSION","NO HECHA","LIMBO"))</f>
        <v>NO HECHA</v>
      </c>
      <c r="Z17" s="98" t="str">
        <f>IF($Z$1=I17,"DIASOL", "DIANOSOL")</f>
        <v>DIANOSOL</v>
      </c>
      <c r="AA17" s="98" t="s">
        <v>240</v>
      </c>
      <c r="AB17" s="98"/>
      <c r="AC17" s="98" t="str">
        <f>IF(H17=$M$1,"SI","NO")</f>
        <v>NO</v>
      </c>
      <c r="AD17" s="98"/>
      <c r="AE17" s="98"/>
      <c r="AF17" s="98" t="s">
        <v>2195</v>
      </c>
      <c r="AG17" s="163" t="str">
        <f>IF(COUNTIF(C17,"*preso*")&gt;0,"SI","NO")</f>
        <v>SI</v>
      </c>
      <c r="AH17" s="253">
        <f>NroOrden(N17)</f>
        <v>0</v>
      </c>
      <c r="AI17" s="98"/>
      <c r="AJ17" s="48" t="str">
        <f ca="1">IF(OR(Y17="NO",Y17="LIMBO"),"IMP","NOIMP")</f>
        <v>NOIMP</v>
      </c>
      <c r="AK17" s="5"/>
    </row>
    <row r="18" spans="1:37" ht="38.25" hidden="1">
      <c r="A18" s="98">
        <v>127</v>
      </c>
      <c r="B18" s="99" t="s">
        <v>1021</v>
      </c>
      <c r="C18" s="210"/>
      <c r="D18" s="98" t="s">
        <v>1022</v>
      </c>
      <c r="E18" s="98" t="s">
        <v>1023</v>
      </c>
      <c r="F18" s="98"/>
      <c r="G18" s="98"/>
      <c r="H18" s="98"/>
      <c r="I18" s="99">
        <v>45135</v>
      </c>
      <c r="J18" s="99" t="s">
        <v>282</v>
      </c>
      <c r="K18" s="98" t="s">
        <v>403</v>
      </c>
      <c r="L18" s="194"/>
      <c r="M18" s="99" t="s">
        <v>328</v>
      </c>
      <c r="N18" s="98" t="s">
        <v>353</v>
      </c>
      <c r="O18" s="98" t="s">
        <v>2303</v>
      </c>
      <c r="P18" s="98" t="s">
        <v>960</v>
      </c>
      <c r="Q18" s="98" t="s">
        <v>111</v>
      </c>
      <c r="R18" s="194"/>
      <c r="S18" s="98"/>
      <c r="T18" s="98"/>
      <c r="U18" s="98"/>
      <c r="V18" s="98" t="s">
        <v>185</v>
      </c>
      <c r="W18" s="98" t="s">
        <v>116</v>
      </c>
      <c r="X18" s="98" t="s">
        <v>111</v>
      </c>
      <c r="Y18" s="163" t="str">
        <f ca="1">IF(I18&lt;&gt;"",IF(I18&lt;=TODAY(),IF(OR(N18="REPROGRAMADA",N18="SUSPENDIDA",N18="EXCLUSION",N18="COLEGIADO"),"NO HECHA",IF(N18=" ","SINRESULTADO","SI")),"NO"),IF(N18="EXCLUSION","NO HECHA","LIMBO"))</f>
        <v>NO HECHA</v>
      </c>
      <c r="Z18" s="98" t="str">
        <f>IF($Z$1=I18,"DIASOL", "DIANOSOL")</f>
        <v>DIANOSOL</v>
      </c>
      <c r="AA18" s="98" t="s">
        <v>240</v>
      </c>
      <c r="AB18" s="98" t="s">
        <v>1024</v>
      </c>
      <c r="AC18" s="98" t="str">
        <f>IF(H18=$M$1,"SI","NO")</f>
        <v>NO</v>
      </c>
      <c r="AD18" s="98"/>
      <c r="AE18" s="98"/>
      <c r="AF18" s="98"/>
      <c r="AG18" s="163" t="str">
        <f>IF(COUNTIF(C18,"*preso*")&gt;0,"SI","NO")</f>
        <v>NO</v>
      </c>
      <c r="AH18" s="253">
        <f>NroOrden(N18)</f>
        <v>0</v>
      </c>
      <c r="AI18" s="98"/>
      <c r="AJ18" s="48" t="str">
        <f ca="1">IF(OR(Y18="NO",Y18="LIMBO"),"IMP","NOIMP")</f>
        <v>NOIMP</v>
      </c>
      <c r="AK18" s="5"/>
    </row>
    <row r="19" spans="1:37" ht="111" hidden="1" customHeight="1">
      <c r="A19" s="98">
        <v>136</v>
      </c>
      <c r="B19" s="99" t="s">
        <v>1062</v>
      </c>
      <c r="C19" s="210" t="s">
        <v>501</v>
      </c>
      <c r="D19" s="98" t="s">
        <v>1063</v>
      </c>
      <c r="E19" s="98" t="s">
        <v>1064</v>
      </c>
      <c r="F19" s="153">
        <v>45114</v>
      </c>
      <c r="G19" s="98"/>
      <c r="H19" s="98" t="s">
        <v>111</v>
      </c>
      <c r="I19" s="99">
        <v>45135</v>
      </c>
      <c r="J19" s="99" t="s">
        <v>396</v>
      </c>
      <c r="K19" s="98" t="s">
        <v>365</v>
      </c>
      <c r="L19" s="194"/>
      <c r="M19" s="99" t="s">
        <v>331</v>
      </c>
      <c r="N19" s="98" t="s">
        <v>353</v>
      </c>
      <c r="O19" s="98" t="s">
        <v>2359</v>
      </c>
      <c r="P19" s="98" t="s">
        <v>1066</v>
      </c>
      <c r="Q19" s="98" t="s">
        <v>111</v>
      </c>
      <c r="R19" s="194"/>
      <c r="S19" s="98" t="s">
        <v>374</v>
      </c>
      <c r="T19" s="98" t="s">
        <v>1068</v>
      </c>
      <c r="U19" s="98" t="s">
        <v>1069</v>
      </c>
      <c r="V19" s="98" t="s">
        <v>192</v>
      </c>
      <c r="W19" s="98" t="s">
        <v>269</v>
      </c>
      <c r="X19" s="98" t="s">
        <v>111</v>
      </c>
      <c r="Y19" s="163" t="str">
        <f ca="1">IF(I19&lt;&gt;"",IF(I19&lt;=TODAY(),IF(OR(N19="REPROGRAMADA",N19="SUSPENDIDA",N19="EXCLUSION",N19="COLEGIADO"),"NO HECHA",IF(N19=" ","SINRESULTADO","SI")),"NO"),IF(N19="EXCLUSION","NO HECHA","LIMBO"))</f>
        <v>NO HECHA</v>
      </c>
      <c r="Z19" s="98" t="str">
        <f>IF($Z$1=I19,"DIASOL", "DIANOSOL")</f>
        <v>DIANOSOL</v>
      </c>
      <c r="AA19" s="98" t="s">
        <v>240</v>
      </c>
      <c r="AB19" s="98" t="s">
        <v>1067</v>
      </c>
      <c r="AC19" s="98" t="str">
        <f>IF(H19=$M$1,"SI","NO")</f>
        <v>NO</v>
      </c>
      <c r="AD19" s="98"/>
      <c r="AE19" s="98"/>
      <c r="AF19" s="98" t="s">
        <v>2195</v>
      </c>
      <c r="AG19" s="163" t="str">
        <f>IF(COUNTIF(C19,"*preso*")&gt;0,"SI","NO")</f>
        <v>SI</v>
      </c>
      <c r="AH19" s="253">
        <f>NroOrden(N19)</f>
        <v>0</v>
      </c>
      <c r="AI19" s="98"/>
      <c r="AJ19" s="48" t="str">
        <f ca="1">IF(OR(Y19="NO",Y19="LIMBO"),"IMP","NOIMP")</f>
        <v>NOIMP</v>
      </c>
      <c r="AK19" s="5"/>
    </row>
    <row r="20" spans="1:37" ht="98.25" hidden="1" customHeight="1">
      <c r="A20" s="98">
        <v>58</v>
      </c>
      <c r="B20" s="99" t="s">
        <v>728</v>
      </c>
      <c r="C20" s="209"/>
      <c r="D20" s="98" t="s">
        <v>729</v>
      </c>
      <c r="E20" s="98" t="s">
        <v>518</v>
      </c>
      <c r="F20" s="184">
        <v>45091</v>
      </c>
      <c r="G20" s="98"/>
      <c r="H20" s="98"/>
      <c r="I20" s="99">
        <v>45138</v>
      </c>
      <c r="J20" s="141">
        <v>0.39583333333333331</v>
      </c>
      <c r="K20" s="182" t="s">
        <v>364</v>
      </c>
      <c r="L20" s="194"/>
      <c r="M20" s="99" t="s">
        <v>328</v>
      </c>
      <c r="N20" s="98" t="s">
        <v>353</v>
      </c>
      <c r="O20" s="98" t="s">
        <v>2303</v>
      </c>
      <c r="P20" s="98" t="s">
        <v>1441</v>
      </c>
      <c r="Q20" s="182" t="s">
        <v>111</v>
      </c>
      <c r="R20" s="194"/>
      <c r="S20" s="98"/>
      <c r="T20" s="182"/>
      <c r="U20" s="182"/>
      <c r="V20" s="98" t="s">
        <v>191</v>
      </c>
      <c r="W20" s="98" t="s">
        <v>730</v>
      </c>
      <c r="X20" s="98" t="s">
        <v>111</v>
      </c>
      <c r="Y20" s="163" t="str">
        <f ca="1">IF(I20&lt;&gt;"",IF(I20&lt;=TODAY(),IF(OR(N20="REPROGRAMADA",N20="SUSPENDIDA",N20="EXCLUSION",N20="COLEGIADO"),"NO HECHA",IF(N20=" ","SINRESULTADO","SI")),"NO"),IF(N20="EXCLUSION","NO HECHA","LIMBO"))</f>
        <v>NO HECHA</v>
      </c>
      <c r="Z20" s="98" t="str">
        <f>IF($Z$1=I20,"DIASOL", "DIANOSOL")</f>
        <v>DIANOSOL</v>
      </c>
      <c r="AA20" s="98" t="s">
        <v>240</v>
      </c>
      <c r="AB20" s="98" t="s">
        <v>731</v>
      </c>
      <c r="AC20" s="185" t="str">
        <f>IF(H20=$M$1,"SI","NO")</f>
        <v>NO</v>
      </c>
      <c r="AD20" s="185"/>
      <c r="AE20" s="182"/>
      <c r="AF20" s="184"/>
      <c r="AG20" s="182" t="str">
        <f>IF(COUNTIF(C20,"*preso*")&gt;0,"SI","NO")</f>
        <v>NO</v>
      </c>
      <c r="AH20" s="253">
        <f>NroOrden(N20)</f>
        <v>0</v>
      </c>
      <c r="AI20" s="98" t="s">
        <v>1595</v>
      </c>
      <c r="AJ20" s="48" t="str">
        <f ca="1">IF(OR(Y20="NO",Y20="LIMBO"),"IMP","NOIMP")</f>
        <v>NOIMP</v>
      </c>
      <c r="AK20" s="5"/>
    </row>
    <row r="21" spans="1:37" ht="25.5" hidden="1">
      <c r="A21" s="98">
        <v>45</v>
      </c>
      <c r="B21" s="99" t="s">
        <v>650</v>
      </c>
      <c r="C21" s="209"/>
      <c r="D21" s="98" t="s">
        <v>651</v>
      </c>
      <c r="E21" s="98" t="s">
        <v>652</v>
      </c>
      <c r="F21" s="153">
        <v>45091</v>
      </c>
      <c r="G21" s="98"/>
      <c r="H21" s="98"/>
      <c r="I21" s="99">
        <v>45138</v>
      </c>
      <c r="J21" s="141">
        <v>0.52083333333333337</v>
      </c>
      <c r="K21" s="98" t="s">
        <v>365</v>
      </c>
      <c r="L21" s="194"/>
      <c r="M21" s="99" t="s">
        <v>331</v>
      </c>
      <c r="N21" s="98" t="s">
        <v>353</v>
      </c>
      <c r="O21" s="181"/>
      <c r="P21" s="181"/>
      <c r="Q21" s="98" t="s">
        <v>111</v>
      </c>
      <c r="R21" s="194"/>
      <c r="S21" s="98"/>
      <c r="T21" s="98"/>
      <c r="U21" s="98"/>
      <c r="V21" s="98" t="s">
        <v>186</v>
      </c>
      <c r="W21" s="98" t="s">
        <v>654</v>
      </c>
      <c r="X21" s="98" t="s">
        <v>111</v>
      </c>
      <c r="Y21" s="163" t="str">
        <f ca="1">IF(I21&lt;&gt;"",IF(I21&lt;=TODAY(),IF(OR(N21="REPROGRAMADA",N21="SUSPENDIDA",N21="EXCLUSION",N21="COLEGIADO"),"NO HECHA",IF(N21=" ","SINRESULTADO","SI")),"NO"),IF(N21="EXCLUSION","NO HECHA","LIMBO"))</f>
        <v>NO HECHA</v>
      </c>
      <c r="Z21" s="98" t="str">
        <f>IF($Z$1=I21,"DIASOL", "DIANOSOL")</f>
        <v>DIANOSOL</v>
      </c>
      <c r="AA21" s="98" t="s">
        <v>240</v>
      </c>
      <c r="AB21" s="98" t="s">
        <v>655</v>
      </c>
      <c r="AC21" s="98" t="str">
        <f>IF(H21=$M$1,"SI","NO")</f>
        <v>NO</v>
      </c>
      <c r="AD21" s="98"/>
      <c r="AE21" s="98"/>
      <c r="AF21" s="98" t="s">
        <v>2195</v>
      </c>
      <c r="AG21" s="163" t="str">
        <f>IF(COUNTIF(C21,"*preso*")&gt;0,"SI","NO")</f>
        <v>NO</v>
      </c>
      <c r="AH21" s="253">
        <f>NroOrden(N21)</f>
        <v>0</v>
      </c>
      <c r="AI21" s="98"/>
      <c r="AJ21" s="48" t="str">
        <f ca="1">IF(OR(Y21="NO",Y21="LIMBO"),"IMP","NOIMP")</f>
        <v>NOIMP</v>
      </c>
      <c r="AK21" s="5"/>
    </row>
    <row r="22" spans="1:37" ht="61.5" hidden="1" customHeight="1">
      <c r="A22" s="98">
        <v>62</v>
      </c>
      <c r="B22" s="99" t="s">
        <v>746</v>
      </c>
      <c r="C22" s="209"/>
      <c r="D22" s="98" t="s">
        <v>747</v>
      </c>
      <c r="E22" s="98" t="s">
        <v>748</v>
      </c>
      <c r="F22" s="184">
        <v>45091</v>
      </c>
      <c r="G22" s="98"/>
      <c r="H22" s="98"/>
      <c r="I22" s="99">
        <v>45145</v>
      </c>
      <c r="J22" s="141">
        <v>0.39583333333333331</v>
      </c>
      <c r="K22" s="182" t="s">
        <v>363</v>
      </c>
      <c r="L22" s="194"/>
      <c r="M22" s="99" t="s">
        <v>328</v>
      </c>
      <c r="N22" s="98" t="s">
        <v>353</v>
      </c>
      <c r="O22" s="98" t="s">
        <v>2303</v>
      </c>
      <c r="P22" s="98" t="s">
        <v>1441</v>
      </c>
      <c r="Q22" s="182" t="s">
        <v>111</v>
      </c>
      <c r="R22" s="194"/>
      <c r="S22" s="98"/>
      <c r="T22" s="182"/>
      <c r="U22" s="182"/>
      <c r="V22" s="98" t="s">
        <v>344</v>
      </c>
      <c r="W22" s="98" t="s">
        <v>535</v>
      </c>
      <c r="X22" s="98" t="s">
        <v>111</v>
      </c>
      <c r="Y22" s="163" t="str">
        <f ca="1">IF(I22&lt;&gt;"",IF(I22&lt;=TODAY(),IF(OR(N22="REPROGRAMADA",N22="SUSPENDIDA",N22="EXCLUSION",N22="COLEGIADO"),"NO HECHA",IF(N22=" ","SINRESULTADO","SI")),"NO"),IF(N22="EXCLUSION","NO HECHA","LIMBO"))</f>
        <v>NO HECHA</v>
      </c>
      <c r="Z22" s="98" t="str">
        <f>IF($Z$1=I22,"DIASOL", "DIANOSOL")</f>
        <v>DIANOSOL</v>
      </c>
      <c r="AA22" s="98" t="s">
        <v>240</v>
      </c>
      <c r="AB22" s="98" t="s">
        <v>749</v>
      </c>
      <c r="AC22" s="185" t="str">
        <f>IF(H22=$M$1,"SI","NO")</f>
        <v>NO</v>
      </c>
      <c r="AD22" s="185"/>
      <c r="AE22" s="182"/>
      <c r="AF22" s="182"/>
      <c r="AG22" s="182" t="str">
        <f>IF(COUNTIF(C22,"*preso*")&gt;0,"SI","NO")</f>
        <v>NO</v>
      </c>
      <c r="AH22" s="253">
        <f>NroOrden(N22)</f>
        <v>0</v>
      </c>
      <c r="AI22" s="182"/>
      <c r="AJ22" s="48" t="str">
        <f ca="1">IF(OR(Y22="NO",Y22="LIMBO"),"IMP","NOIMP")</f>
        <v>NOIMP</v>
      </c>
      <c r="AK22" s="5"/>
    </row>
    <row r="23" spans="1:37" ht="76.5" hidden="1">
      <c r="A23" s="98">
        <v>108</v>
      </c>
      <c r="B23" s="99" t="s">
        <v>37</v>
      </c>
      <c r="C23" s="210" t="s">
        <v>454</v>
      </c>
      <c r="D23" s="98" t="s">
        <v>1597</v>
      </c>
      <c r="E23" s="98" t="s">
        <v>456</v>
      </c>
      <c r="F23" s="153">
        <v>45076</v>
      </c>
      <c r="G23" s="98"/>
      <c r="H23" s="98"/>
      <c r="I23" s="99">
        <v>45146</v>
      </c>
      <c r="J23" s="99" t="s">
        <v>396</v>
      </c>
      <c r="K23" s="98" t="s">
        <v>365</v>
      </c>
      <c r="L23" s="194"/>
      <c r="M23" s="99" t="s">
        <v>332</v>
      </c>
      <c r="N23" s="98" t="s">
        <v>353</v>
      </c>
      <c r="O23" s="98" t="s">
        <v>2303</v>
      </c>
      <c r="P23" s="98" t="s">
        <v>1342</v>
      </c>
      <c r="Q23" s="98" t="s">
        <v>111</v>
      </c>
      <c r="R23" s="194"/>
      <c r="S23" s="98"/>
      <c r="T23" s="98"/>
      <c r="U23" s="98"/>
      <c r="V23" s="98" t="s">
        <v>192</v>
      </c>
      <c r="W23" s="98" t="s">
        <v>119</v>
      </c>
      <c r="X23" s="98" t="s">
        <v>111</v>
      </c>
      <c r="Y23" s="163" t="str">
        <f ca="1">IF(I23&lt;&gt;"",IF(I23&lt;=TODAY(),IF(OR(N23="REPROGRAMADA",N23="SUSPENDIDA",N23="EXCLUSION",N23="COLEGIADO"),"NO HECHA",IF(N23=" ","SINRESULTADO","SI")),"NO"),IF(N23="EXCLUSION","NO HECHA","LIMBO"))</f>
        <v>NO HECHA</v>
      </c>
      <c r="Z23" s="98" t="str">
        <f>IF($Z$1=I23,"DIASOL", "DIANOSOL")</f>
        <v>DIANOSOL</v>
      </c>
      <c r="AA23" s="98" t="s">
        <v>458</v>
      </c>
      <c r="AB23" s="98" t="s">
        <v>464</v>
      </c>
      <c r="AC23" s="98" t="str">
        <f>IF(H23=$M$1,"SI","NO")</f>
        <v>NO</v>
      </c>
      <c r="AD23" s="98"/>
      <c r="AE23" s="98"/>
      <c r="AF23" s="98" t="s">
        <v>2195</v>
      </c>
      <c r="AG23" s="163" t="str">
        <f>IF(COUNTIF(C23,"*preso*")&gt;0,"SI","NO")</f>
        <v>NO</v>
      </c>
      <c r="AH23" s="253">
        <f>NroOrden(N23)</f>
        <v>0</v>
      </c>
      <c r="AI23" s="98" t="s">
        <v>459</v>
      </c>
      <c r="AJ23" s="48" t="str">
        <f ca="1">IF(OR(Y23="NO",Y23="LIMBO"),"IMP","NOIMP")</f>
        <v>NOIMP</v>
      </c>
      <c r="AK23" s="5"/>
    </row>
    <row r="24" spans="1:37" ht="54.75" hidden="1" customHeight="1">
      <c r="A24" s="98">
        <v>112</v>
      </c>
      <c r="B24" s="99" t="s">
        <v>830</v>
      </c>
      <c r="C24" s="210"/>
      <c r="D24" s="98" t="s">
        <v>831</v>
      </c>
      <c r="E24" s="98" t="s">
        <v>832</v>
      </c>
      <c r="F24" s="153">
        <v>45026</v>
      </c>
      <c r="G24" s="98"/>
      <c r="H24" s="98"/>
      <c r="I24" s="99">
        <v>45148</v>
      </c>
      <c r="J24" s="99" t="s">
        <v>961</v>
      </c>
      <c r="K24" s="98" t="s">
        <v>362</v>
      </c>
      <c r="L24" s="194"/>
      <c r="M24" s="99" t="s">
        <v>330</v>
      </c>
      <c r="N24" s="98" t="s">
        <v>353</v>
      </c>
      <c r="O24" s="98" t="s">
        <v>2304</v>
      </c>
      <c r="P24" s="98" t="s">
        <v>1341</v>
      </c>
      <c r="Q24" s="98" t="s">
        <v>111</v>
      </c>
      <c r="R24" s="194"/>
      <c r="S24" s="98"/>
      <c r="T24" s="98"/>
      <c r="U24" s="98"/>
      <c r="V24" s="98" t="s">
        <v>182</v>
      </c>
      <c r="W24" s="98" t="s">
        <v>116</v>
      </c>
      <c r="X24" s="98" t="s">
        <v>111</v>
      </c>
      <c r="Y24" s="163" t="str">
        <f ca="1">IF(I24&lt;&gt;"",IF(I24&lt;=TODAY(),IF(OR(N24="REPROGRAMADA",N24="SUSPENDIDA",N24="EXCLUSION",N24="COLEGIADO"),"NO HECHA",IF(N24=" ","SINRESULTADO","SI")),"NO"),IF(N24="EXCLUSION","NO HECHA","LIMBO"))</f>
        <v>NO HECHA</v>
      </c>
      <c r="Z24" s="98" t="str">
        <f>IF($Z$1=I24,"DIASOL", "DIANOSOL")</f>
        <v>DIANOSOL</v>
      </c>
      <c r="AA24" s="98" t="s">
        <v>240</v>
      </c>
      <c r="AB24" s="98" t="s">
        <v>835</v>
      </c>
      <c r="AC24" s="98" t="str">
        <f>IF(H24=$M$1,"SI","NO")</f>
        <v>NO</v>
      </c>
      <c r="AD24" s="98"/>
      <c r="AE24" s="98"/>
      <c r="AF24" s="98"/>
      <c r="AG24" s="163" t="str">
        <f>IF(COUNTIF(C24,"*preso*")&gt;0,"SI","NO")</f>
        <v>NO</v>
      </c>
      <c r="AH24" s="253">
        <f>NroOrden(N24)</f>
        <v>0</v>
      </c>
      <c r="AI24" s="98"/>
      <c r="AJ24" s="48" t="str">
        <f ca="1">IF(OR(Y24="NO",Y24="LIMBO"),"IMP","NOIMP")</f>
        <v>NOIMP</v>
      </c>
      <c r="AK24" s="5"/>
    </row>
    <row r="25" spans="1:37" ht="51" hidden="1">
      <c r="A25" s="98">
        <v>176</v>
      </c>
      <c r="B25" s="99" t="s">
        <v>393</v>
      </c>
      <c r="C25" s="210"/>
      <c r="D25" s="98" t="s">
        <v>394</v>
      </c>
      <c r="E25" s="98" t="s">
        <v>395</v>
      </c>
      <c r="F25" s="153">
        <v>45076</v>
      </c>
      <c r="G25" s="98"/>
      <c r="H25" s="98"/>
      <c r="I25" s="99">
        <v>45149</v>
      </c>
      <c r="J25" s="99" t="s">
        <v>1182</v>
      </c>
      <c r="K25" s="98" t="s">
        <v>365</v>
      </c>
      <c r="L25" s="194"/>
      <c r="M25" s="99" t="s">
        <v>332</v>
      </c>
      <c r="N25" s="98" t="s">
        <v>353</v>
      </c>
      <c r="O25" s="98" t="s">
        <v>2303</v>
      </c>
      <c r="P25" s="98" t="s">
        <v>1268</v>
      </c>
      <c r="Q25" s="98" t="s">
        <v>111</v>
      </c>
      <c r="R25" s="194"/>
      <c r="S25" s="98"/>
      <c r="T25" s="98"/>
      <c r="U25" s="98"/>
      <c r="V25" s="98" t="s">
        <v>189</v>
      </c>
      <c r="W25" s="98" t="s">
        <v>264</v>
      </c>
      <c r="X25" s="98" t="s">
        <v>111</v>
      </c>
      <c r="Y25" s="163" t="str">
        <f ca="1">IF(I25&lt;&gt;"",IF(I25&lt;=TODAY(),IF(OR(N25="REPROGRAMADA",N25="SUSPENDIDA",N25="EXCLUSION",N25="COLEGIADO"),"NO HECHA",IF(N25=" ","SINRESULTADO","SI")),"NO"),IF(N25="EXCLUSION","NO HECHA","LIMBO"))</f>
        <v>NO HECHA</v>
      </c>
      <c r="Z25" s="163" t="str">
        <f>IF($Z$1=I25,"DIASOL", "DIANOSOL")</f>
        <v>DIANOSOL</v>
      </c>
      <c r="AA25" s="98" t="s">
        <v>240</v>
      </c>
      <c r="AB25" s="98" t="s">
        <v>397</v>
      </c>
      <c r="AC25" s="163" t="str">
        <f>IF(H25=$M$1,"SI","NO")</f>
        <v>NO</v>
      </c>
      <c r="AD25" s="163"/>
      <c r="AE25" s="98"/>
      <c r="AF25" s="98" t="s">
        <v>2195</v>
      </c>
      <c r="AG25" s="163" t="str">
        <f>IF(COUNTIF(C25,"*preso*")&gt;0,"SI","NO")</f>
        <v>NO</v>
      </c>
      <c r="AH25" s="253">
        <f>NroOrden(N25)</f>
        <v>0</v>
      </c>
      <c r="AI25" s="98" t="s">
        <v>1269</v>
      </c>
      <c r="AJ25" s="48" t="str">
        <f ca="1">IF(OR(Y25="NO",Y25="LIMBO"),"IMP","NOIMP")</f>
        <v>NOIMP</v>
      </c>
      <c r="AK25" s="5"/>
    </row>
    <row r="26" spans="1:37" ht="25.5" hidden="1">
      <c r="A26" s="182">
        <v>115</v>
      </c>
      <c r="B26" s="183" t="s">
        <v>524</v>
      </c>
      <c r="C26" s="210"/>
      <c r="D26" s="182" t="s">
        <v>521</v>
      </c>
      <c r="E26" s="182"/>
      <c r="F26" s="184"/>
      <c r="G26" s="182"/>
      <c r="H26" s="98"/>
      <c r="I26" s="183">
        <v>45154</v>
      </c>
      <c r="J26" s="99" t="s">
        <v>282</v>
      </c>
      <c r="K26" s="182" t="s">
        <v>364</v>
      </c>
      <c r="L26" s="194"/>
      <c r="M26" s="99" t="s">
        <v>331</v>
      </c>
      <c r="N26" s="98" t="s">
        <v>353</v>
      </c>
      <c r="O26" s="98" t="s">
        <v>2356</v>
      </c>
      <c r="P26" s="98" t="s">
        <v>1425</v>
      </c>
      <c r="Q26" s="182" t="s">
        <v>111</v>
      </c>
      <c r="R26" s="194"/>
      <c r="S26" s="98"/>
      <c r="T26" s="182"/>
      <c r="U26" s="182"/>
      <c r="V26" s="98" t="s">
        <v>339</v>
      </c>
      <c r="W26" s="98" t="s">
        <v>132</v>
      </c>
      <c r="X26" s="98" t="s">
        <v>111</v>
      </c>
      <c r="Y26" s="163" t="str">
        <f ca="1">IF(I26&lt;&gt;"",IF(I26&lt;=TODAY(),IF(OR(N26="REPROGRAMADA",N26="SUSPENDIDA",N26="EXCLUSION",N26="COLEGIADO"),"NO HECHA",IF(N26=" ","SINRESULTADO","SI")),"NO"),IF(N26="EXCLUSION","NO HECHA","LIMBO"))</f>
        <v>NO HECHA</v>
      </c>
      <c r="Z26" s="98" t="str">
        <f>IF($Z$1=I26,"DIASOL", "DIANOSOL")</f>
        <v>DIANOSOL</v>
      </c>
      <c r="AA26" s="98" t="s">
        <v>240</v>
      </c>
      <c r="AB26" s="98" t="s">
        <v>523</v>
      </c>
      <c r="AC26" s="185" t="str">
        <f>IF(H26=$M$1,"SI","NO")</f>
        <v>NO</v>
      </c>
      <c r="AD26" s="185"/>
      <c r="AE26" s="182"/>
      <c r="AF26" s="98" t="s">
        <v>2195</v>
      </c>
      <c r="AG26" s="182" t="str">
        <f>IF(COUNTIF(C26,"*preso*")&gt;0,"SI","NO")</f>
        <v>NO</v>
      </c>
      <c r="AH26" s="265">
        <f>NroOrden(N26)</f>
        <v>0</v>
      </c>
      <c r="AI26" s="182"/>
      <c r="AJ26" s="283" t="str">
        <f ca="1">IF(OR(Y26="NO",Y26="LIMBO"),"IMP","NOIMP")</f>
        <v>NOIMP</v>
      </c>
      <c r="AK26" s="5"/>
    </row>
    <row r="27" spans="1:37" ht="25.5" hidden="1">
      <c r="A27" s="182">
        <v>119</v>
      </c>
      <c r="B27" s="183" t="s">
        <v>572</v>
      </c>
      <c r="C27" s="210"/>
      <c r="D27" s="98" t="s">
        <v>1340</v>
      </c>
      <c r="E27" s="182" t="s">
        <v>573</v>
      </c>
      <c r="F27" s="184">
        <v>45079</v>
      </c>
      <c r="G27" s="182"/>
      <c r="H27" s="98"/>
      <c r="I27" s="183">
        <v>45163</v>
      </c>
      <c r="J27" s="99" t="s">
        <v>988</v>
      </c>
      <c r="K27" s="182" t="s">
        <v>363</v>
      </c>
      <c r="L27" s="194"/>
      <c r="M27" s="99" t="s">
        <v>329</v>
      </c>
      <c r="N27" s="98" t="s">
        <v>353</v>
      </c>
      <c r="O27" s="98" t="s">
        <v>2303</v>
      </c>
      <c r="P27" s="98" t="s">
        <v>1528</v>
      </c>
      <c r="Q27" s="182" t="s">
        <v>111</v>
      </c>
      <c r="R27" s="194"/>
      <c r="S27" s="98"/>
      <c r="T27" s="182"/>
      <c r="U27" s="182"/>
      <c r="V27" s="98" t="s">
        <v>191</v>
      </c>
      <c r="W27" s="98" t="s">
        <v>744</v>
      </c>
      <c r="X27" s="98" t="s">
        <v>111</v>
      </c>
      <c r="Y27" s="163" t="str">
        <f ca="1">IF(I27&lt;&gt;"",IF(I27&lt;=TODAY(),IF(OR(N27="REPROGRAMADA",N27="SUSPENDIDA",N27="EXCLUSION",N27="COLEGIADO"),"NO HECHA",IF(N27=" ","SINRESULTADO","SI")),"NO"),IF(N27="EXCLUSION","NO HECHA","LIMBO"))</f>
        <v>NO HECHA</v>
      </c>
      <c r="Z27" s="98" t="str">
        <f>IF($Z$1=I27,"DIASOL", "DIANOSOL")</f>
        <v>DIANOSOL</v>
      </c>
      <c r="AA27" s="98" t="s">
        <v>240</v>
      </c>
      <c r="AB27" s="98" t="s">
        <v>574</v>
      </c>
      <c r="AC27" s="185" t="str">
        <f>IF(H27=$M$1,"SI","NO")</f>
        <v>NO</v>
      </c>
      <c r="AD27" s="185"/>
      <c r="AE27" s="182"/>
      <c r="AF27" s="182"/>
      <c r="AG27" s="182" t="str">
        <f>IF(COUNTIF(C27,"*preso*")&gt;0,"SI","NO")</f>
        <v>NO</v>
      </c>
      <c r="AH27" s="253">
        <f>NroOrden(N27)</f>
        <v>0</v>
      </c>
      <c r="AI27" s="182"/>
      <c r="AJ27" s="48" t="str">
        <f ca="1">IF(OR(Y27="NO",Y27="LIMBO"),"IMP","NOIMP")</f>
        <v>NOIMP</v>
      </c>
      <c r="AK27" s="5"/>
    </row>
    <row r="28" spans="1:37" ht="114.75" hidden="1">
      <c r="A28" s="182">
        <v>124</v>
      </c>
      <c r="B28" s="99" t="s">
        <v>1518</v>
      </c>
      <c r="C28" s="210"/>
      <c r="D28" s="182" t="s">
        <v>1012</v>
      </c>
      <c r="E28" s="98" t="s">
        <v>1013</v>
      </c>
      <c r="F28" s="184">
        <v>45110</v>
      </c>
      <c r="G28" s="98" t="s">
        <v>1010</v>
      </c>
      <c r="H28" s="98"/>
      <c r="I28" s="183">
        <v>45189</v>
      </c>
      <c r="J28" s="99" t="s">
        <v>282</v>
      </c>
      <c r="K28" s="182" t="s">
        <v>403</v>
      </c>
      <c r="L28" s="194"/>
      <c r="M28" s="99" t="s">
        <v>332</v>
      </c>
      <c r="N28" s="98" t="s">
        <v>353</v>
      </c>
      <c r="O28" s="181"/>
      <c r="P28" s="297"/>
      <c r="Q28" s="182" t="s">
        <v>111</v>
      </c>
      <c r="R28" s="194"/>
      <c r="S28" s="98"/>
      <c r="T28" s="182"/>
      <c r="U28" s="182"/>
      <c r="V28" s="98" t="s">
        <v>182</v>
      </c>
      <c r="W28" s="98" t="s">
        <v>134</v>
      </c>
      <c r="X28" s="98" t="s">
        <v>111</v>
      </c>
      <c r="Y28" s="163" t="str">
        <f ca="1">IF(I28&lt;&gt;"",IF(I28&lt;=TODAY(),IF(OR(N28="REPROGRAMADA",N28="SUSPENDIDA",N28="EXCLUSION",N28="COLEGIADO"),"NO HECHA",IF(N28=" ","SINRESULTADO","SI")),"NO"),IF(N28="EXCLUSION","NO HECHA","LIMBO"))</f>
        <v>NO HECHA</v>
      </c>
      <c r="Z28" s="98" t="str">
        <f>IF($Z$1=I28,"DIASOL", "DIANOSOL")</f>
        <v>DIANOSOL</v>
      </c>
      <c r="AA28" s="98" t="s">
        <v>240</v>
      </c>
      <c r="AB28" s="98" t="s">
        <v>1014</v>
      </c>
      <c r="AC28" s="185" t="str">
        <f>IF(H28=$M$1,"SI","NO")</f>
        <v>NO</v>
      </c>
      <c r="AD28" s="185"/>
      <c r="AE28" s="182"/>
      <c r="AF28" s="98" t="s">
        <v>2195</v>
      </c>
      <c r="AG28" s="182" t="str">
        <f>IF(COUNTIF(C28,"*preso*")&gt;0,"SI","NO")</f>
        <v>NO</v>
      </c>
      <c r="AH28" s="253">
        <f>NroOrden(N28)</f>
        <v>0</v>
      </c>
      <c r="AI28" s="98" t="s">
        <v>1668</v>
      </c>
      <c r="AJ28" s="48" t="str">
        <f ca="1">IF(OR(Y28="NO",Y28="LIMBO"),"IMP","NOIMP")</f>
        <v>NOIMP</v>
      </c>
      <c r="AK28" s="5"/>
    </row>
    <row r="29" spans="1:37" ht="25.5" hidden="1">
      <c r="A29" s="182">
        <v>125</v>
      </c>
      <c r="B29" s="99" t="s">
        <v>1015</v>
      </c>
      <c r="C29" s="210"/>
      <c r="D29" s="182" t="s">
        <v>1016</v>
      </c>
      <c r="E29" s="98" t="s">
        <v>886</v>
      </c>
      <c r="F29" s="182"/>
      <c r="G29" s="98"/>
      <c r="H29" s="98" t="s">
        <v>1646</v>
      </c>
      <c r="I29" s="183">
        <v>45190</v>
      </c>
      <c r="J29" s="99" t="s">
        <v>1174</v>
      </c>
      <c r="K29" s="182" t="s">
        <v>362</v>
      </c>
      <c r="L29" s="194"/>
      <c r="M29" s="99" t="s">
        <v>329</v>
      </c>
      <c r="N29" s="98" t="s">
        <v>353</v>
      </c>
      <c r="O29" s="98" t="s">
        <v>2303</v>
      </c>
      <c r="P29" s="98" t="s">
        <v>960</v>
      </c>
      <c r="Q29" s="182" t="s">
        <v>111</v>
      </c>
      <c r="R29" s="194"/>
      <c r="S29" s="98"/>
      <c r="T29" s="182"/>
      <c r="U29" s="182"/>
      <c r="V29" s="98" t="s">
        <v>192</v>
      </c>
      <c r="W29" s="98" t="s">
        <v>140</v>
      </c>
      <c r="X29" s="98" t="s">
        <v>111</v>
      </c>
      <c r="Y29" s="163" t="str">
        <f ca="1">IF(I29&lt;&gt;"",IF(I29&lt;=TODAY(),IF(OR(N29="REPROGRAMADA",N29="SUSPENDIDA",N29="EXCLUSION",N29="COLEGIADO"),"NO HECHA",IF(N29=" ","SINRESULTADO","SI")),"NO"),IF(N29="EXCLUSION","NO HECHA","LIMBO"))</f>
        <v>NO HECHA</v>
      </c>
      <c r="Z29" s="98" t="str">
        <f>IF($Z$1=I29,"DIASOL", "DIANOSOL")</f>
        <v>DIANOSOL</v>
      </c>
      <c r="AA29" s="98" t="s">
        <v>240</v>
      </c>
      <c r="AB29" s="98" t="s">
        <v>1017</v>
      </c>
      <c r="AC29" s="185" t="str">
        <f>IF(H29=$M$1,"SI","NO")</f>
        <v>NO</v>
      </c>
      <c r="AD29" s="185"/>
      <c r="AE29" s="182"/>
      <c r="AF29" s="182"/>
      <c r="AG29" s="182" t="str">
        <f>IF(COUNTIF(C29,"*preso*")&gt;0,"SI","NO")</f>
        <v>NO</v>
      </c>
      <c r="AH29" s="265">
        <f>NroOrden(N29)</f>
        <v>0</v>
      </c>
      <c r="AI29" s="182"/>
      <c r="AJ29" s="48" t="str">
        <f ca="1">IF(OR(Y29="NO",Y29="LIMBO"),"IMP","NOIMP")</f>
        <v>NOIMP</v>
      </c>
      <c r="AK29" s="5"/>
    </row>
    <row r="30" spans="1:37" ht="51" hidden="1">
      <c r="A30" s="226">
        <v>225</v>
      </c>
      <c r="B30" s="227" t="s">
        <v>711</v>
      </c>
      <c r="C30" s="228"/>
      <c r="D30" s="226" t="s">
        <v>712</v>
      </c>
      <c r="E30" s="226" t="s">
        <v>713</v>
      </c>
      <c r="F30" s="229">
        <v>45090</v>
      </c>
      <c r="G30" s="226"/>
      <c r="H30" s="226"/>
      <c r="I30" s="227">
        <v>45191</v>
      </c>
      <c r="J30" s="227" t="s">
        <v>282</v>
      </c>
      <c r="K30" s="226" t="s">
        <v>403</v>
      </c>
      <c r="L30" s="194"/>
      <c r="M30" s="227" t="s">
        <v>330</v>
      </c>
      <c r="N30" s="226" t="s">
        <v>353</v>
      </c>
      <c r="O30" s="226" t="s">
        <v>2355</v>
      </c>
      <c r="P30" s="226" t="s">
        <v>1661</v>
      </c>
      <c r="Q30" s="226" t="s">
        <v>111</v>
      </c>
      <c r="R30" s="268"/>
      <c r="S30" s="226"/>
      <c r="T30" s="226"/>
      <c r="U30" s="226"/>
      <c r="V30" s="226" t="s">
        <v>346</v>
      </c>
      <c r="W30" s="226" t="s">
        <v>119</v>
      </c>
      <c r="X30" s="226" t="s">
        <v>111</v>
      </c>
      <c r="Y30" s="226" t="str">
        <f ca="1">IF(I30&lt;&gt;"",IF(I30&lt;=TODAY(),IF(OR(N30="REPROGRAMADA",N30="SUSPENDIDA",N30="EXCLUSION",N30="COLEGIADO"),"NO HECHA",IF(N30=" ","SINRESULTADO","SI")),"NO"),IF(N30="EXCLUSION","NO HECHA","LIMBO"))</f>
        <v>NO HECHA</v>
      </c>
      <c r="Z30" s="226" t="str">
        <f>IF($Z$1=I30,"DIASOL", "DIANOSOL")</f>
        <v>DIANOSOL</v>
      </c>
      <c r="AA30" s="226" t="s">
        <v>240</v>
      </c>
      <c r="AB30" s="226" t="s">
        <v>714</v>
      </c>
      <c r="AC30" s="226" t="str">
        <f>IF(H30=$M$1,"SI","NO")</f>
        <v>NO</v>
      </c>
      <c r="AD30" s="226"/>
      <c r="AE30" s="226"/>
      <c r="AF30" s="226"/>
      <c r="AG30" s="226" t="str">
        <f>IF(COUNTIF(C30,"*preso*")&gt;0,"SI","NO")</f>
        <v>NO</v>
      </c>
      <c r="AH30" s="265">
        <f>NroOrden(N30)</f>
        <v>0</v>
      </c>
      <c r="AI30" s="226"/>
      <c r="AJ30" s="283" t="str">
        <f ca="1">IF(OR(Y30="NO",Y30="LIMBO"),"IMP","NOIMP")</f>
        <v>NOIMP</v>
      </c>
      <c r="AK30" s="5"/>
    </row>
    <row r="31" spans="1:37" ht="25.5" hidden="1">
      <c r="A31" s="98">
        <v>83</v>
      </c>
      <c r="B31" s="99" t="s">
        <v>858</v>
      </c>
      <c r="C31" s="209"/>
      <c r="D31" s="98" t="s">
        <v>859</v>
      </c>
      <c r="E31" s="98" t="s">
        <v>860</v>
      </c>
      <c r="F31" s="184">
        <v>45103</v>
      </c>
      <c r="G31" s="98"/>
      <c r="H31" s="98" t="s">
        <v>1646</v>
      </c>
      <c r="I31" s="99">
        <v>45194</v>
      </c>
      <c r="J31" s="98" t="s">
        <v>282</v>
      </c>
      <c r="K31" s="182" t="s">
        <v>363</v>
      </c>
      <c r="L31" s="194"/>
      <c r="M31" s="99" t="s">
        <v>329</v>
      </c>
      <c r="N31" s="98" t="s">
        <v>353</v>
      </c>
      <c r="O31" s="98" t="s">
        <v>2303</v>
      </c>
      <c r="P31" s="98" t="s">
        <v>960</v>
      </c>
      <c r="Q31" s="182" t="s">
        <v>111</v>
      </c>
      <c r="R31" s="194"/>
      <c r="S31" s="98"/>
      <c r="T31" s="182"/>
      <c r="U31" s="182"/>
      <c r="V31" s="98" t="s">
        <v>182</v>
      </c>
      <c r="W31" s="98" t="s">
        <v>423</v>
      </c>
      <c r="X31" s="98" t="s">
        <v>111</v>
      </c>
      <c r="Y31" s="163" t="str">
        <f ca="1">IF(I31&lt;&gt;"",IF(I31&lt;=TODAY(),IF(OR(N31="REPROGRAMADA",N31="SUSPENDIDA",N31="EXCLUSION",N31="COLEGIADO"),"NO HECHA",IF(N31=" ","SINRESULTADO","SI")),"NO"),IF(N31="EXCLUSION","NO HECHA","LIMBO"))</f>
        <v>NO HECHA</v>
      </c>
      <c r="Z31" s="98" t="str">
        <f>IF($Z$1=I31,"DIASOL", "DIANOSOL")</f>
        <v>DIANOSOL</v>
      </c>
      <c r="AA31" s="98" t="s">
        <v>862</v>
      </c>
      <c r="AB31" s="98"/>
      <c r="AC31" s="185" t="str">
        <f>IF(H31=$M$1,"SI","NO")</f>
        <v>NO</v>
      </c>
      <c r="AD31" s="185"/>
      <c r="AE31" s="182"/>
      <c r="AF31" s="182"/>
      <c r="AG31" s="182" t="str">
        <f>IF(COUNTIF(C31,"*preso*")&gt;0,"SI","NO")</f>
        <v>NO</v>
      </c>
      <c r="AH31" s="265">
        <f>NroOrden(N31)</f>
        <v>0</v>
      </c>
      <c r="AI31" s="182"/>
      <c r="AJ31" s="48" t="str">
        <f ca="1">IF(OR(Y31="NO",Y31="LIMBO"),"IMP","NOIMP")</f>
        <v>NOIMP</v>
      </c>
      <c r="AK31" s="5"/>
    </row>
    <row r="32" spans="1:37" ht="102" hidden="1">
      <c r="A32" s="182">
        <v>202</v>
      </c>
      <c r="B32" s="183" t="s">
        <v>1093</v>
      </c>
      <c r="C32" s="210" t="s">
        <v>501</v>
      </c>
      <c r="D32" s="182" t="s">
        <v>1094</v>
      </c>
      <c r="E32" s="182" t="s">
        <v>383</v>
      </c>
      <c r="F32" s="184">
        <v>45114</v>
      </c>
      <c r="G32" s="182" t="s">
        <v>1065</v>
      </c>
      <c r="H32" s="98" t="s">
        <v>1649</v>
      </c>
      <c r="I32" s="99">
        <v>45198</v>
      </c>
      <c r="J32" s="99" t="s">
        <v>309</v>
      </c>
      <c r="K32" s="182" t="s">
        <v>365</v>
      </c>
      <c r="L32" s="194"/>
      <c r="M32" s="99" t="s">
        <v>332</v>
      </c>
      <c r="N32" s="98" t="s">
        <v>353</v>
      </c>
      <c r="O32" s="98" t="s">
        <v>2304</v>
      </c>
      <c r="P32" s="98" t="s">
        <v>1821</v>
      </c>
      <c r="Q32" s="182" t="s">
        <v>111</v>
      </c>
      <c r="R32" s="194"/>
      <c r="S32" s="98" t="s">
        <v>374</v>
      </c>
      <c r="T32" s="182" t="s">
        <v>1095</v>
      </c>
      <c r="U32" s="182" t="s">
        <v>1096</v>
      </c>
      <c r="V32" s="98" t="s">
        <v>100</v>
      </c>
      <c r="W32" s="98" t="s">
        <v>387</v>
      </c>
      <c r="X32" s="98" t="s">
        <v>111</v>
      </c>
      <c r="Y32" s="163" t="str">
        <f ca="1">IF(I32&lt;&gt;"",IF(I32&lt;=TODAY(),IF(OR(N32="REPROGRAMADA",N32="SUSPENDIDA",N32="EXCLUSION",N32="COLEGIADO"),"NO HECHA",IF(N32=" ","SINRESULTADO","SI")),"NO"),IF(N32="EXCLUSION","NO HECHA","LIMBO"))</f>
        <v>NO HECHA</v>
      </c>
      <c r="Z32" s="98" t="str">
        <f>IF($Z$1=I32,"DIASOL", "DIANOSOL")</f>
        <v>DIANOSOL</v>
      </c>
      <c r="AA32" s="98" t="s">
        <v>894</v>
      </c>
      <c r="AB32" s="98"/>
      <c r="AC32" s="185" t="str">
        <f>IF(H32=$M$1,"SI","NO")</f>
        <v>NO</v>
      </c>
      <c r="AD32" s="185"/>
      <c r="AE32" s="182">
        <v>45114</v>
      </c>
      <c r="AF32" s="98" t="s">
        <v>2195</v>
      </c>
      <c r="AG32" s="182" t="str">
        <f>IF(COUNTIF(C32,"*preso*")&gt;0,"SI","NO")</f>
        <v>SI</v>
      </c>
      <c r="AH32" s="253">
        <f>NroOrden(N32)</f>
        <v>0</v>
      </c>
      <c r="AI32" s="182"/>
      <c r="AJ32" s="48" t="str">
        <f ca="1">IF(OR(Y32="NO",Y32="LIMBO"),"IMP","NOIMP")</f>
        <v>NOIMP</v>
      </c>
      <c r="AK32" s="5"/>
    </row>
    <row r="33" spans="1:37" ht="76.5" hidden="1">
      <c r="A33" s="182">
        <v>216</v>
      </c>
      <c r="B33" s="99" t="s">
        <v>1674</v>
      </c>
      <c r="C33" s="210"/>
      <c r="D33" s="98" t="s">
        <v>1503</v>
      </c>
      <c r="E33" s="98" t="s">
        <v>1504</v>
      </c>
      <c r="F33" s="98" t="s">
        <v>1506</v>
      </c>
      <c r="G33" s="98"/>
      <c r="H33" s="98"/>
      <c r="I33" s="183">
        <v>45209</v>
      </c>
      <c r="J33" s="99" t="s">
        <v>1567</v>
      </c>
      <c r="K33" s="98" t="s">
        <v>1675</v>
      </c>
      <c r="L33" s="194" t="s">
        <v>1664</v>
      </c>
      <c r="M33" s="99" t="s">
        <v>332</v>
      </c>
      <c r="N33" s="98" t="s">
        <v>353</v>
      </c>
      <c r="O33" s="98" t="s">
        <v>2303</v>
      </c>
      <c r="P33" s="98" t="s">
        <v>2140</v>
      </c>
      <c r="Q33" s="182" t="s">
        <v>111</v>
      </c>
      <c r="R33" s="194"/>
      <c r="S33" s="98"/>
      <c r="T33" s="182"/>
      <c r="U33" s="182"/>
      <c r="V33" s="98" t="s">
        <v>191</v>
      </c>
      <c r="W33" s="98" t="s">
        <v>117</v>
      </c>
      <c r="X33" s="98" t="s">
        <v>111</v>
      </c>
      <c r="Y33" s="163" t="str">
        <f ca="1">IF(I33&lt;&gt;"",IF(I33&lt;=TODAY(),IF(OR(N33="REPROGRAMADA",N33="SUSPENDIDA",N33="EXCLUSION",N33="COLEGIADO"),"NO HECHA",IF(N33=" ","SINRESULTADO","SI")),"NO"),IF(N33="EXCLUSION","NO HECHA","LIMBO"))</f>
        <v>NO HECHA</v>
      </c>
      <c r="Z33" s="98" t="str">
        <f>IF($Z$1=I33,"DIASOL", "DIANOSOL")</f>
        <v>DIANOSOL</v>
      </c>
      <c r="AA33" s="98" t="s">
        <v>240</v>
      </c>
      <c r="AB33" s="98" t="s">
        <v>1505</v>
      </c>
      <c r="AC33" s="185" t="str">
        <f>IF(H33=$M$1,"SI","NO")</f>
        <v>NO</v>
      </c>
      <c r="AD33" s="185"/>
      <c r="AE33" s="184">
        <v>45161</v>
      </c>
      <c r="AF33" s="98" t="s">
        <v>2195</v>
      </c>
      <c r="AG33" s="182" t="str">
        <f>IF(COUNTIF(C33,"*preso*")&gt;0,"SI","NO")</f>
        <v>NO</v>
      </c>
      <c r="AH33" s="265">
        <f>NroOrden(N33)</f>
        <v>0</v>
      </c>
      <c r="AI33" s="182"/>
      <c r="AJ33" s="48" t="str">
        <f ca="1">IF(OR(Y33="NO",Y33="LIMBO"),"IMP","NOIMP")</f>
        <v>NOIMP</v>
      </c>
      <c r="AK33" s="5"/>
    </row>
    <row r="34" spans="1:37" ht="61.5" hidden="1" customHeight="1">
      <c r="A34" s="226">
        <v>273</v>
      </c>
      <c r="B34" s="227" t="s">
        <v>1796</v>
      </c>
      <c r="C34" s="228"/>
      <c r="D34" s="226" t="s">
        <v>1797</v>
      </c>
      <c r="E34" s="226" t="s">
        <v>672</v>
      </c>
      <c r="F34" s="229">
        <v>45190</v>
      </c>
      <c r="G34" s="226"/>
      <c r="H34" s="226"/>
      <c r="I34" s="227">
        <v>45211</v>
      </c>
      <c r="J34" s="227" t="s">
        <v>282</v>
      </c>
      <c r="K34" s="226" t="s">
        <v>1679</v>
      </c>
      <c r="L34" s="268" t="s">
        <v>1663</v>
      </c>
      <c r="M34" s="227" t="s">
        <v>332</v>
      </c>
      <c r="N34" s="226" t="s">
        <v>353</v>
      </c>
      <c r="O34" s="226" t="s">
        <v>2303</v>
      </c>
      <c r="P34" s="226" t="s">
        <v>960</v>
      </c>
      <c r="Q34" s="226"/>
      <c r="R34" s="268"/>
      <c r="S34" s="226"/>
      <c r="T34" s="226"/>
      <c r="U34" s="226"/>
      <c r="V34" s="226" t="s">
        <v>339</v>
      </c>
      <c r="W34" s="226" t="s">
        <v>269</v>
      </c>
      <c r="X34" s="226" t="s">
        <v>111</v>
      </c>
      <c r="Y34" s="226" t="str">
        <f ca="1">IF(I34&lt;&gt;"",IF(I34&lt;=TODAY(),IF(OR(N34="REPROGRAMADA",N34="SUSPENDIDA",N34="EXCLUSION",N34="COLEGIADO"),"NO HECHA",IF(N34=" ","SINRESULTADO","SI")),"NO"),IF(N34="EXCLUSION","NO HECHA","LIMBO"))</f>
        <v>NO HECHA</v>
      </c>
      <c r="Z34" s="226" t="str">
        <f>IF($Z$1=I34,"DIASOL", "DIANOSOL")</f>
        <v>DIANOSOL</v>
      </c>
      <c r="AA34" s="226" t="s">
        <v>240</v>
      </c>
      <c r="AB34" s="226" t="s">
        <v>1798</v>
      </c>
      <c r="AC34" s="226" t="str">
        <f>IF(H34=$M$1,"SI","NO")</f>
        <v>NO</v>
      </c>
      <c r="AD34" s="226"/>
      <c r="AE34" s="229">
        <v>45190</v>
      </c>
      <c r="AF34" s="226" t="s">
        <v>2195</v>
      </c>
      <c r="AG34" s="226" t="str">
        <f>IF(COUNTIF(C34,"*preso*")&gt;0,"SI","NO")</f>
        <v>NO</v>
      </c>
      <c r="AH34" s="265">
        <f>NroOrden(N34)</f>
        <v>0</v>
      </c>
      <c r="AI34" s="226"/>
      <c r="AJ34" s="48" t="str">
        <f ca="1">IF(OR(Y34="NO",Y34="LIMBO"),"IMP","NOIMP")</f>
        <v>NOIMP</v>
      </c>
      <c r="AK34" s="5"/>
    </row>
    <row r="35" spans="1:37" ht="81" hidden="1" customHeight="1">
      <c r="A35" s="182">
        <v>213</v>
      </c>
      <c r="B35" s="99" t="s">
        <v>1489</v>
      </c>
      <c r="C35" s="210"/>
      <c r="D35" s="98" t="s">
        <v>1490</v>
      </c>
      <c r="E35" s="98" t="s">
        <v>1491</v>
      </c>
      <c r="F35" s="182"/>
      <c r="G35" s="98"/>
      <c r="H35" s="98"/>
      <c r="I35" s="183">
        <v>45211</v>
      </c>
      <c r="J35" s="99" t="s">
        <v>1672</v>
      </c>
      <c r="K35" s="98" t="s">
        <v>1673</v>
      </c>
      <c r="L35" s="194" t="s">
        <v>1664</v>
      </c>
      <c r="M35" s="99" t="s">
        <v>332</v>
      </c>
      <c r="N35" s="98" t="s">
        <v>353</v>
      </c>
      <c r="O35" s="98" t="s">
        <v>2355</v>
      </c>
      <c r="P35" s="98" t="s">
        <v>2203</v>
      </c>
      <c r="Q35" s="182" t="s">
        <v>111</v>
      </c>
      <c r="R35" s="194"/>
      <c r="S35" s="98"/>
      <c r="T35" s="182"/>
      <c r="U35" s="182"/>
      <c r="V35" s="98" t="s">
        <v>1280</v>
      </c>
      <c r="W35" s="98" t="s">
        <v>116</v>
      </c>
      <c r="X35" s="98" t="s">
        <v>111</v>
      </c>
      <c r="Y35" s="163" t="str">
        <f ca="1">IF(I35&lt;&gt;"",IF(I35&lt;=TODAY(),IF(OR(N35="REPROGRAMADA",N35="SUSPENDIDA",N35="EXCLUSION",N35="COLEGIADO"),"NO HECHA",IF(N35=" ","SINRESULTADO","SI")),"NO"),IF(N35="EXCLUSION","NO HECHA","LIMBO"))</f>
        <v>NO HECHA</v>
      </c>
      <c r="Z35" s="98" t="str">
        <f>IF($Z$1=I35,"DIASOL", "DIANOSOL")</f>
        <v>DIANOSOL</v>
      </c>
      <c r="AA35" s="98" t="s">
        <v>240</v>
      </c>
      <c r="AB35" s="98" t="s">
        <v>1492</v>
      </c>
      <c r="AC35" s="185" t="str">
        <f>IF(H35=$M$1,"SI","NO")</f>
        <v>NO</v>
      </c>
      <c r="AD35" s="185"/>
      <c r="AE35" s="184">
        <v>45155</v>
      </c>
      <c r="AF35" s="98" t="s">
        <v>2202</v>
      </c>
      <c r="AG35" s="182" t="str">
        <f>IF(COUNTIF(C35,"*preso*")&gt;0,"SI","NO")</f>
        <v>NO</v>
      </c>
      <c r="AH35" s="265">
        <f>NroOrden(N35)</f>
        <v>0</v>
      </c>
      <c r="AI35" s="182"/>
      <c r="AJ35" s="283" t="str">
        <f ca="1">IF(OR(Y35="NO",Y35="LIMBO"),"IMP","NOIMP")</f>
        <v>NOIMP</v>
      </c>
      <c r="AK35" s="5"/>
    </row>
    <row r="36" spans="1:37" ht="106.5" hidden="1" customHeight="1">
      <c r="A36" s="226">
        <v>221</v>
      </c>
      <c r="B36" s="227" t="s">
        <v>1551</v>
      </c>
      <c r="C36" s="228"/>
      <c r="D36" s="226" t="s">
        <v>1552</v>
      </c>
      <c r="E36" s="226" t="s">
        <v>1553</v>
      </c>
      <c r="F36" s="226" t="s">
        <v>1555</v>
      </c>
      <c r="G36" s="226"/>
      <c r="H36" s="226"/>
      <c r="I36" s="227">
        <v>45216</v>
      </c>
      <c r="J36" s="227" t="s">
        <v>282</v>
      </c>
      <c r="K36" s="226" t="s">
        <v>363</v>
      </c>
      <c r="L36" s="194" t="s">
        <v>1663</v>
      </c>
      <c r="M36" s="227" t="s">
        <v>328</v>
      </c>
      <c r="N36" s="226" t="s">
        <v>353</v>
      </c>
      <c r="O36" s="226" t="s">
        <v>2303</v>
      </c>
      <c r="P36" s="226" t="s">
        <v>2176</v>
      </c>
      <c r="Q36" s="226" t="s">
        <v>111</v>
      </c>
      <c r="R36" s="268"/>
      <c r="S36" s="226"/>
      <c r="T36" s="226"/>
      <c r="U36" s="226"/>
      <c r="V36" s="226" t="s">
        <v>184</v>
      </c>
      <c r="W36" s="226" t="s">
        <v>133</v>
      </c>
      <c r="X36" s="226" t="s">
        <v>111</v>
      </c>
      <c r="Y36" s="226" t="str">
        <f ca="1">IF(I36&lt;&gt;"",IF(I36&lt;=TODAY(),IF(OR(N36="REPROGRAMADA",N36="SUSPENDIDA",N36="EXCLUSION",N36="COLEGIADO"),"NO HECHA",IF(N36=" ","SINRESULTADO","SI")),"NO"),IF(N36="EXCLUSION","NO HECHA","LIMBO"))</f>
        <v>NO HECHA</v>
      </c>
      <c r="Z36" s="226" t="str">
        <f>IF($Z$1=I36,"DIASOL", "DIANOSOL")</f>
        <v>DIANOSOL</v>
      </c>
      <c r="AA36" s="226" t="s">
        <v>240</v>
      </c>
      <c r="AB36" s="226" t="s">
        <v>1554</v>
      </c>
      <c r="AC36" s="226" t="str">
        <f>IF(H36=$M$1,"SI","NO")</f>
        <v>NO</v>
      </c>
      <c r="AD36" s="226"/>
      <c r="AE36" s="229">
        <v>45163</v>
      </c>
      <c r="AF36" s="226"/>
      <c r="AG36" s="226" t="str">
        <f>IF(COUNTIF(C36,"*preso*")&gt;0,"SI","NO")</f>
        <v>NO</v>
      </c>
      <c r="AH36" s="265">
        <f>NroOrden(N36)</f>
        <v>0</v>
      </c>
      <c r="AI36" s="226"/>
      <c r="AJ36" s="283" t="str">
        <f ca="1">IF(OR(Y36="NO",Y36="LIMBO"),"IMP","NOIMP")</f>
        <v>NOIMP</v>
      </c>
      <c r="AK36" s="5"/>
    </row>
    <row r="37" spans="1:37" ht="59.25" hidden="1" customHeight="1">
      <c r="A37" s="226">
        <v>267</v>
      </c>
      <c r="B37" s="227" t="s">
        <v>1884</v>
      </c>
      <c r="C37" s="228"/>
      <c r="D37" s="226" t="s">
        <v>1776</v>
      </c>
      <c r="E37" s="226" t="s">
        <v>1777</v>
      </c>
      <c r="F37" s="229">
        <v>45189</v>
      </c>
      <c r="G37" s="226"/>
      <c r="H37" s="226"/>
      <c r="I37" s="227">
        <v>45218</v>
      </c>
      <c r="J37" s="227" t="s">
        <v>282</v>
      </c>
      <c r="K37" s="226" t="s">
        <v>362</v>
      </c>
      <c r="L37" s="268" t="s">
        <v>1664</v>
      </c>
      <c r="M37" s="227" t="s">
        <v>330</v>
      </c>
      <c r="N37" s="226" t="s">
        <v>353</v>
      </c>
      <c r="O37" s="226" t="s">
        <v>2303</v>
      </c>
      <c r="P37" s="226" t="s">
        <v>2207</v>
      </c>
      <c r="Q37" s="226"/>
      <c r="R37" s="268"/>
      <c r="S37" s="226"/>
      <c r="T37" s="226"/>
      <c r="U37" s="226"/>
      <c r="V37" s="226" t="s">
        <v>345</v>
      </c>
      <c r="W37" s="226" t="s">
        <v>132</v>
      </c>
      <c r="X37" s="226" t="s">
        <v>111</v>
      </c>
      <c r="Y37" s="226" t="str">
        <f ca="1">IF(I37&lt;&gt;"",IF(I37&lt;=TODAY(),IF(OR(N37="REPROGRAMADA",N37="SUSPENDIDA",N37="EXCLUSION",N37="COLEGIADO"),"NO HECHA",IF(N37=" ","SINRESULTADO","SI")),"NO"),IF(N37="EXCLUSION","NO HECHA","LIMBO"))</f>
        <v>NO HECHA</v>
      </c>
      <c r="Z37" s="226" t="str">
        <f>IF($Z$1=I37,"DIASOL", "DIANOSOL")</f>
        <v>DIANOSOL</v>
      </c>
      <c r="AA37" s="226" t="s">
        <v>240</v>
      </c>
      <c r="AB37" s="226" t="s">
        <v>1778</v>
      </c>
      <c r="AC37" s="226" t="str">
        <f>IF(H37=$M$1,"SI","NO")</f>
        <v>NO</v>
      </c>
      <c r="AD37" s="226"/>
      <c r="AE37" s="229">
        <v>45177</v>
      </c>
      <c r="AF37" s="226"/>
      <c r="AG37" s="226" t="str">
        <f>IF(COUNTIF(C37,"*preso*")&gt;0,"SI","NO")</f>
        <v>NO</v>
      </c>
      <c r="AH37" s="265">
        <f>NroOrden(N37)</f>
        <v>0</v>
      </c>
      <c r="AI37" s="226"/>
      <c r="AJ37" s="283" t="str">
        <f ca="1">IF(OR(Y37="NO",Y37="LIMBO"),"IMP","NOIMP")</f>
        <v>NOIMP</v>
      </c>
      <c r="AK37" s="5"/>
    </row>
    <row r="38" spans="1:37" ht="96.75" hidden="1" customHeight="1">
      <c r="A38" s="226">
        <v>269</v>
      </c>
      <c r="B38" s="227" t="s">
        <v>1783</v>
      </c>
      <c r="C38" s="228"/>
      <c r="D38" s="226" t="s">
        <v>1784</v>
      </c>
      <c r="E38" s="226" t="s">
        <v>1785</v>
      </c>
      <c r="F38" s="229">
        <v>45188</v>
      </c>
      <c r="G38" s="226"/>
      <c r="H38" s="226"/>
      <c r="I38" s="227">
        <v>45218</v>
      </c>
      <c r="J38" s="227" t="s">
        <v>1182</v>
      </c>
      <c r="K38" s="226" t="s">
        <v>362</v>
      </c>
      <c r="L38" s="268" t="s">
        <v>1663</v>
      </c>
      <c r="M38" s="227" t="s">
        <v>330</v>
      </c>
      <c r="N38" s="226" t="s">
        <v>353</v>
      </c>
      <c r="O38" s="226" t="s">
        <v>2303</v>
      </c>
      <c r="P38" s="226" t="s">
        <v>2208</v>
      </c>
      <c r="Q38" s="226"/>
      <c r="R38" s="268"/>
      <c r="S38" s="226"/>
      <c r="T38" s="226"/>
      <c r="U38" s="226"/>
      <c r="V38" s="226" t="s">
        <v>100</v>
      </c>
      <c r="W38" s="226" t="s">
        <v>535</v>
      </c>
      <c r="X38" s="226" t="s">
        <v>111</v>
      </c>
      <c r="Y38" s="197" t="str">
        <f ca="1">IF(I38&lt;&gt;"",IF(I38&lt;=TODAY(),IF(OR(N38="REPROGRAMADA",N38="SUSPENDIDA",N38="EXCLUSION",N38="COLEGIADO"),"NO HECHA",IF(N38=" ","SINRESULTADO","SI")),"NO"),IF(N38="EXCLUSION","NO HECHA","LIMBO"))</f>
        <v>NO HECHA</v>
      </c>
      <c r="Z38" s="197" t="str">
        <f>IF($Z$1=I38,"DIASOL", "DIANOSOL")</f>
        <v>DIANOSOL</v>
      </c>
      <c r="AA38" s="226" t="s">
        <v>240</v>
      </c>
      <c r="AB38" s="226" t="s">
        <v>1762</v>
      </c>
      <c r="AC38" s="197" t="str">
        <f>IF(H38=$M$1,"SI","NO")</f>
        <v>NO</v>
      </c>
      <c r="AD38" s="197"/>
      <c r="AE38" s="229">
        <v>45188</v>
      </c>
      <c r="AF38" s="226"/>
      <c r="AG38" s="197" t="str">
        <f>IF(COUNTIF(C38,"*preso*")&gt;0,"SI","NO")</f>
        <v>NO</v>
      </c>
      <c r="AH38" s="253">
        <f>NroOrden(N38)</f>
        <v>0</v>
      </c>
      <c r="AI38" s="226" t="s">
        <v>2193</v>
      </c>
      <c r="AJ38" s="48" t="str">
        <f ca="1">IF(OR(Y38="NO",Y38="LIMBO"),"IMP","NOIMP")</f>
        <v>NOIMP</v>
      </c>
      <c r="AK38" s="5"/>
    </row>
    <row r="39" spans="1:37" ht="69" hidden="1" customHeight="1">
      <c r="A39" s="226">
        <v>250</v>
      </c>
      <c r="B39" s="227" t="s">
        <v>1702</v>
      </c>
      <c r="C39" s="228"/>
      <c r="D39" s="226" t="s">
        <v>1704</v>
      </c>
      <c r="E39" s="226" t="s">
        <v>1703</v>
      </c>
      <c r="F39" s="229">
        <v>45176</v>
      </c>
      <c r="G39" s="226"/>
      <c r="H39" s="226"/>
      <c r="I39" s="227">
        <v>45223</v>
      </c>
      <c r="J39" s="227" t="s">
        <v>396</v>
      </c>
      <c r="K39" s="226" t="s">
        <v>1679</v>
      </c>
      <c r="L39" s="268" t="s">
        <v>1663</v>
      </c>
      <c r="M39" s="227" t="s">
        <v>331</v>
      </c>
      <c r="N39" s="226" t="s">
        <v>353</v>
      </c>
      <c r="O39" s="226" t="s">
        <v>2303</v>
      </c>
      <c r="P39" s="226"/>
      <c r="Q39" s="226"/>
      <c r="R39" s="268"/>
      <c r="S39" s="226"/>
      <c r="T39" s="226"/>
      <c r="U39" s="226"/>
      <c r="V39" s="226" t="s">
        <v>337</v>
      </c>
      <c r="W39" s="226" t="s">
        <v>111</v>
      </c>
      <c r="X39" s="226" t="s">
        <v>111</v>
      </c>
      <c r="Y39" s="226" t="str">
        <f ca="1">IF(I39&lt;&gt;"",IF(I39&lt;=TODAY(),IF(OR(N39="REPROGRAMADA",N39="SUSPENDIDA",N39="EXCLUSION",N39="COLEGIADO"),"NO HECHA",IF(N39=" ","SINRESULTADO","SI")),"NO"),IF(N39="EXCLUSION","NO HECHA","LIMBO"))</f>
        <v>NO HECHA</v>
      </c>
      <c r="Z39" s="226" t="str">
        <f>IF($Z$1=I39,"DIASOL", "DIANOSOL")</f>
        <v>DIANOSOL</v>
      </c>
      <c r="AA39" s="226" t="s">
        <v>240</v>
      </c>
      <c r="AB39" s="226" t="s">
        <v>1705</v>
      </c>
      <c r="AC39" s="226" t="str">
        <f>IF(H39=$M$1,"SI","NO")</f>
        <v>NO</v>
      </c>
      <c r="AD39" s="226"/>
      <c r="AE39" s="229">
        <v>45167</v>
      </c>
      <c r="AF39" s="226"/>
      <c r="AG39" s="226" t="str">
        <f>IF(COUNTIF(C39,"*preso*")&gt;0,"SI","NO")</f>
        <v>NO</v>
      </c>
      <c r="AH39" s="265">
        <f>NroOrden(N39)</f>
        <v>0</v>
      </c>
      <c r="AI39" s="226"/>
      <c r="AJ39" s="283" t="str">
        <f ca="1">IF(OR(Y39="NO",Y39="LIMBO"),"IMP","NOIMP")</f>
        <v>NOIMP</v>
      </c>
      <c r="AK39" s="5"/>
    </row>
    <row r="40" spans="1:37" ht="102" hidden="1" customHeight="1">
      <c r="A40" s="226">
        <v>295</v>
      </c>
      <c r="B40" s="227" t="s">
        <v>1897</v>
      </c>
      <c r="C40" s="228" t="s">
        <v>1477</v>
      </c>
      <c r="D40" s="226" t="s">
        <v>1898</v>
      </c>
      <c r="E40" s="226" t="s">
        <v>1899</v>
      </c>
      <c r="F40" s="229">
        <v>45194</v>
      </c>
      <c r="G40" s="226"/>
      <c r="H40" s="226"/>
      <c r="I40" s="227">
        <v>45224</v>
      </c>
      <c r="J40" s="227" t="s">
        <v>396</v>
      </c>
      <c r="K40" s="226" t="s">
        <v>1839</v>
      </c>
      <c r="L40" s="268" t="s">
        <v>1664</v>
      </c>
      <c r="M40" s="227" t="s">
        <v>1761</v>
      </c>
      <c r="N40" s="226" t="s">
        <v>353</v>
      </c>
      <c r="O40" s="226" t="s">
        <v>2359</v>
      </c>
      <c r="P40" s="226" t="s">
        <v>2321</v>
      </c>
      <c r="Q40" s="226"/>
      <c r="R40" s="268"/>
      <c r="S40" s="226" t="s">
        <v>1900</v>
      </c>
      <c r="T40" s="226" t="s">
        <v>1901</v>
      </c>
      <c r="U40" s="226" t="s">
        <v>1902</v>
      </c>
      <c r="V40" s="226" t="s">
        <v>186</v>
      </c>
      <c r="W40" s="226" t="s">
        <v>1464</v>
      </c>
      <c r="X40" s="226" t="s">
        <v>111</v>
      </c>
      <c r="Y40" s="226" t="str">
        <f ca="1">IF(I40&lt;&gt;"",IF(I40&lt;=TODAY(),IF(OR(N40="REPROGRAMADA",N40="SUSPENDIDA",N40="EXCLUSION",N40="COLEGIADO"),"NO HECHA",IF(N40=" ","SINRESULTADO","SI")),"NO"),IF(N40="EXCLUSION","NO HECHA","LIMBO"))</f>
        <v>NO HECHA</v>
      </c>
      <c r="Z40" s="226" t="str">
        <f>IF($Z$1=I40,"DIASOL", "DIANOSOL")</f>
        <v>DIANOSOL</v>
      </c>
      <c r="AA40" s="226" t="s">
        <v>240</v>
      </c>
      <c r="AB40" s="226" t="s">
        <v>1903</v>
      </c>
      <c r="AC40" s="226" t="str">
        <f>IF(H40=$M$1,"SI","NO")</f>
        <v>NO</v>
      </c>
      <c r="AD40" s="226"/>
      <c r="AE40" s="226"/>
      <c r="AF40" s="226"/>
      <c r="AG40" s="226" t="str">
        <f>IF(COUNTIF(C40,"*preso*")&gt;0,"SI","NO")</f>
        <v>SI</v>
      </c>
      <c r="AH40" s="265">
        <f>NroOrden(N40)</f>
        <v>0</v>
      </c>
      <c r="AI40" s="226"/>
      <c r="AJ40" s="283" t="str">
        <f ca="1">IF(OR(Y40="NO",Y40="LIMBO"),"IMP","NOIMP")</f>
        <v>NOIMP</v>
      </c>
      <c r="AK40" s="5"/>
    </row>
    <row r="41" spans="1:37" ht="61.5" hidden="1" customHeight="1">
      <c r="A41" s="182">
        <v>188</v>
      </c>
      <c r="B41" s="99" t="s">
        <v>1363</v>
      </c>
      <c r="C41" s="210"/>
      <c r="D41" s="182" t="s">
        <v>1364</v>
      </c>
      <c r="E41" s="98" t="s">
        <v>1365</v>
      </c>
      <c r="F41" s="184">
        <v>45141</v>
      </c>
      <c r="G41" s="98"/>
      <c r="H41" s="98" t="s">
        <v>1643</v>
      </c>
      <c r="I41" s="183">
        <v>45225</v>
      </c>
      <c r="J41" s="99" t="s">
        <v>282</v>
      </c>
      <c r="K41" s="98" t="s">
        <v>1838</v>
      </c>
      <c r="L41" s="194" t="s">
        <v>1664</v>
      </c>
      <c r="M41" s="99" t="s">
        <v>330</v>
      </c>
      <c r="N41" s="98" t="s">
        <v>353</v>
      </c>
      <c r="O41" s="98" t="s">
        <v>2303</v>
      </c>
      <c r="P41" s="98" t="s">
        <v>2319</v>
      </c>
      <c r="Q41" s="98" t="s">
        <v>111</v>
      </c>
      <c r="R41" s="194"/>
      <c r="S41" s="98"/>
      <c r="T41" s="182"/>
      <c r="U41" s="182"/>
      <c r="V41" s="98" t="s">
        <v>339</v>
      </c>
      <c r="W41" s="98" t="s">
        <v>141</v>
      </c>
      <c r="X41" s="98" t="s">
        <v>111</v>
      </c>
      <c r="Y41" s="163" t="str">
        <f ca="1">IF(I41&lt;&gt;"",IF(I41&lt;=TODAY(),IF(OR(N41="REPROGRAMADA",N41="SUSPENDIDA",N41="EXCLUSION",N41="COLEGIADO"),"NO HECHA",IF(N41=" ","SINRESULTADO","SI")),"NO"),IF(N41="EXCLUSION","NO HECHA","LIMBO"))</f>
        <v>NO HECHA</v>
      </c>
      <c r="Z41" s="98" t="str">
        <f>IF($Z$1=I41,"DIASOL", "DIANOSOL")</f>
        <v>DIANOSOL</v>
      </c>
      <c r="AA41" s="98" t="s">
        <v>240</v>
      </c>
      <c r="AB41" s="310" t="s">
        <v>1366</v>
      </c>
      <c r="AC41" s="98" t="str">
        <f>IF(H41=$M$1,"SI","NO")</f>
        <v>NO</v>
      </c>
      <c r="AD41" s="185"/>
      <c r="AE41" s="182"/>
      <c r="AF41" s="182"/>
      <c r="AG41" s="98" t="str">
        <f>IF(COUNTIF(C41,"*preso*")&gt;0,"SI","NO")</f>
        <v>NO</v>
      </c>
      <c r="AH41" s="265">
        <f>NroOrden(N41)</f>
        <v>0</v>
      </c>
      <c r="AI41" s="182"/>
      <c r="AJ41" s="283" t="str">
        <f ca="1">IF(OR(Y41="NO",Y41="LIMBO"),"IMP","NOIMP")</f>
        <v>NOIMP</v>
      </c>
      <c r="AK41" s="5"/>
    </row>
    <row r="42" spans="1:37" ht="25.5" hidden="1">
      <c r="A42" s="226">
        <v>234</v>
      </c>
      <c r="B42" s="227" t="s">
        <v>1616</v>
      </c>
      <c r="C42" s="228"/>
      <c r="D42" s="226" t="s">
        <v>1617</v>
      </c>
      <c r="E42" s="226" t="s">
        <v>886</v>
      </c>
      <c r="F42" s="229">
        <v>45173</v>
      </c>
      <c r="G42" s="226"/>
      <c r="H42" s="226"/>
      <c r="I42" s="227">
        <v>45226</v>
      </c>
      <c r="J42" s="227" t="s">
        <v>309</v>
      </c>
      <c r="K42" s="226" t="s">
        <v>1679</v>
      </c>
      <c r="L42" s="194" t="s">
        <v>1663</v>
      </c>
      <c r="M42" s="227" t="s">
        <v>332</v>
      </c>
      <c r="N42" s="226" t="s">
        <v>353</v>
      </c>
      <c r="O42" s="226" t="s">
        <v>2303</v>
      </c>
      <c r="P42" s="226"/>
      <c r="Q42" s="226" t="s">
        <v>111</v>
      </c>
      <c r="R42" s="268"/>
      <c r="S42" s="226"/>
      <c r="T42" s="226"/>
      <c r="U42" s="226"/>
      <c r="V42" s="226" t="s">
        <v>191</v>
      </c>
      <c r="W42" s="226" t="s">
        <v>169</v>
      </c>
      <c r="X42" s="226" t="s">
        <v>111</v>
      </c>
      <c r="Y42" s="226" t="str">
        <f ca="1">IF(I42&lt;&gt;"",IF(I42&lt;=TODAY(),IF(OR(N42="REPROGRAMADA",N42="SUSPENDIDA",N42="EXCLUSION",N42="COLEGIADO"),"NO HECHA",IF(N42=" ","SINRESULTADO","SI")),"NO"),IF(N42="EXCLUSION","NO HECHA","LIMBO"))</f>
        <v>NO HECHA</v>
      </c>
      <c r="Z42" s="226" t="str">
        <f>IF($Z$1=I42,"DIASOL", "DIANOSOL")</f>
        <v>DIANOSOL</v>
      </c>
      <c r="AA42" s="226" t="s">
        <v>240</v>
      </c>
      <c r="AB42" s="226" t="s">
        <v>1618</v>
      </c>
      <c r="AC42" s="226" t="str">
        <f>IF(H42=$M$1,"SI","NO")</f>
        <v>NO</v>
      </c>
      <c r="AD42" s="226"/>
      <c r="AE42" s="229">
        <v>45170</v>
      </c>
      <c r="AF42" s="226"/>
      <c r="AG42" s="226" t="str">
        <f>IF(COUNTIF(C42,"*preso*")&gt;0,"SI","NO")</f>
        <v>NO</v>
      </c>
      <c r="AH42" s="265">
        <f>NroOrden(N42)</f>
        <v>0</v>
      </c>
      <c r="AI42" s="226"/>
      <c r="AJ42" s="283" t="str">
        <f ca="1">IF(OR(Y42="NO",Y42="LIMBO"),"IMP","NOIMP")</f>
        <v>NOIMP</v>
      </c>
      <c r="AK42" s="5"/>
    </row>
    <row r="43" spans="1:37" ht="94.5" hidden="1" customHeight="1">
      <c r="A43" s="226">
        <v>271</v>
      </c>
      <c r="B43" s="227" t="s">
        <v>1790</v>
      </c>
      <c r="C43" s="228"/>
      <c r="D43" s="226" t="s">
        <v>1789</v>
      </c>
      <c r="E43" s="226" t="s">
        <v>1791</v>
      </c>
      <c r="F43" s="229">
        <v>45181</v>
      </c>
      <c r="G43" s="226"/>
      <c r="H43" s="226"/>
      <c r="I43" s="227">
        <v>45229</v>
      </c>
      <c r="J43" s="227" t="s">
        <v>1182</v>
      </c>
      <c r="K43" s="226" t="s">
        <v>1839</v>
      </c>
      <c r="L43" s="268" t="s">
        <v>1663</v>
      </c>
      <c r="M43" s="227" t="s">
        <v>332</v>
      </c>
      <c r="N43" s="226" t="s">
        <v>353</v>
      </c>
      <c r="O43" s="226" t="s">
        <v>2303</v>
      </c>
      <c r="P43" s="226"/>
      <c r="Q43" s="226"/>
      <c r="R43" s="268"/>
      <c r="S43" s="226"/>
      <c r="T43" s="226"/>
      <c r="U43" s="226"/>
      <c r="V43" s="226" t="s">
        <v>343</v>
      </c>
      <c r="W43" s="226" t="s">
        <v>1257</v>
      </c>
      <c r="X43" s="226" t="s">
        <v>111</v>
      </c>
      <c r="Y43" s="226" t="str">
        <f ca="1">IF(I43&lt;&gt;"",IF(I43&lt;=TODAY(),IF(OR(N43="REPROGRAMADA",N43="SUSPENDIDA",N43="EXCLUSION",N43="COLEGIADO"),"NO HECHA",IF(N43=" ","SINRESULTADO","SI")),"NO"),IF(N43="EXCLUSION","NO HECHA","LIMBO"))</f>
        <v>NO HECHA</v>
      </c>
      <c r="Z43" s="226" t="str">
        <f>IF($Z$1=I43,"DIASOL", "DIANOSOL")</f>
        <v>DIANOSOL</v>
      </c>
      <c r="AA43" s="226" t="s">
        <v>240</v>
      </c>
      <c r="AB43" s="226" t="s">
        <v>1792</v>
      </c>
      <c r="AC43" s="226" t="str">
        <f>IF(H43=$M$1,"SI","NO")</f>
        <v>NO</v>
      </c>
      <c r="AD43" s="226"/>
      <c r="AE43" s="229">
        <v>45174</v>
      </c>
      <c r="AF43" s="226"/>
      <c r="AG43" s="226" t="str">
        <f>IF(COUNTIF(C43,"*preso*")&gt;0,"SI","NO")</f>
        <v>NO</v>
      </c>
      <c r="AH43" s="265">
        <f>NroOrden(N43)</f>
        <v>0</v>
      </c>
      <c r="AI43" s="226"/>
      <c r="AJ43" s="283" t="str">
        <f ca="1">IF(OR(Y43="NO",Y43="LIMBO"),"IMP","NOIMP")</f>
        <v>NOIMP</v>
      </c>
      <c r="AK43" s="5"/>
    </row>
    <row r="44" spans="1:37" ht="67.5" hidden="1" customHeight="1">
      <c r="A44" s="226">
        <v>315</v>
      </c>
      <c r="B44" s="227" t="s">
        <v>1980</v>
      </c>
      <c r="C44" s="228"/>
      <c r="D44" s="226" t="s">
        <v>1982</v>
      </c>
      <c r="E44" s="226" t="s">
        <v>1985</v>
      </c>
      <c r="F44" s="229">
        <v>45202</v>
      </c>
      <c r="G44" s="226"/>
      <c r="H44" s="226" t="s">
        <v>1643</v>
      </c>
      <c r="I44" s="227">
        <v>45229</v>
      </c>
      <c r="J44" s="227" t="s">
        <v>396</v>
      </c>
      <c r="K44" s="226" t="s">
        <v>2148</v>
      </c>
      <c r="L44" s="268" t="s">
        <v>1663</v>
      </c>
      <c r="M44" s="227" t="s">
        <v>1818</v>
      </c>
      <c r="N44" s="226" t="s">
        <v>353</v>
      </c>
      <c r="O44" s="226" t="s">
        <v>2360</v>
      </c>
      <c r="P44" s="226" t="s">
        <v>2351</v>
      </c>
      <c r="Q44" s="226"/>
      <c r="R44" s="268"/>
      <c r="S44" s="226"/>
      <c r="T44" s="226"/>
      <c r="U44" s="226"/>
      <c r="V44" s="226" t="s">
        <v>192</v>
      </c>
      <c r="W44" s="226" t="s">
        <v>111</v>
      </c>
      <c r="X44" s="226" t="s">
        <v>111</v>
      </c>
      <c r="Y44" s="226" t="str">
        <f ca="1">IF(I44&lt;&gt;"",IF(I44&lt;=TODAY(),IF(OR(N44="REPROGRAMADA",N44="SUSPENDIDA",N44="EXCLUSION",N44="COLEGIADO"),"NO HECHA",IF(N44=" ","SINRESULTADO","SI")),"NO"),IF(N44="EXCLUSION","NO HECHA","LIMBO"))</f>
        <v>NO HECHA</v>
      </c>
      <c r="Z44" s="226" t="str">
        <f>IF($Z$1=I44,"DIASOL", "DIANOSOL")</f>
        <v>DIANOSOL</v>
      </c>
      <c r="AA44" s="226" t="s">
        <v>240</v>
      </c>
      <c r="AB44" s="226" t="s">
        <v>1986</v>
      </c>
      <c r="AC44" s="226" t="str">
        <f>IF(H44=$M$1,"SI","NO")</f>
        <v>NO</v>
      </c>
      <c r="AD44" s="226"/>
      <c r="AE44" s="229">
        <v>45202</v>
      </c>
      <c r="AF44" s="226"/>
      <c r="AG44" s="226" t="str">
        <f>IF(COUNTIF(C44,"*preso*")&gt;0,"SI","NO")</f>
        <v>NO</v>
      </c>
      <c r="AH44" s="265">
        <f>NroOrden(N44)</f>
        <v>0</v>
      </c>
      <c r="AI44" s="226"/>
      <c r="AJ44" s="283" t="str">
        <f ca="1">IF(OR(Y44="NO",Y44="LIMBO"),"IMP","NOIMP")</f>
        <v>NOIMP</v>
      </c>
      <c r="AK44" s="5"/>
    </row>
    <row r="45" spans="1:37" ht="38.25" hidden="1">
      <c r="A45" s="226">
        <v>222</v>
      </c>
      <c r="B45" s="227" t="s">
        <v>1556</v>
      </c>
      <c r="C45" s="228"/>
      <c r="D45" s="226" t="s">
        <v>1557</v>
      </c>
      <c r="E45" s="226" t="s">
        <v>1558</v>
      </c>
      <c r="F45" s="229">
        <v>45169</v>
      </c>
      <c r="G45" s="226"/>
      <c r="H45" s="226" t="s">
        <v>1646</v>
      </c>
      <c r="I45" s="227">
        <v>45231</v>
      </c>
      <c r="J45" s="227" t="s">
        <v>961</v>
      </c>
      <c r="K45" s="226" t="s">
        <v>1679</v>
      </c>
      <c r="L45" s="194" t="s">
        <v>1663</v>
      </c>
      <c r="M45" s="227" t="s">
        <v>331</v>
      </c>
      <c r="N45" s="226" t="s">
        <v>353</v>
      </c>
      <c r="O45" s="292"/>
      <c r="P45" s="226"/>
      <c r="Q45" s="226" t="s">
        <v>111</v>
      </c>
      <c r="R45" s="268"/>
      <c r="S45" s="226"/>
      <c r="T45" s="226"/>
      <c r="U45" s="226"/>
      <c r="V45" s="226" t="s">
        <v>343</v>
      </c>
      <c r="W45" s="226" t="s">
        <v>269</v>
      </c>
      <c r="X45" s="226" t="s">
        <v>111</v>
      </c>
      <c r="Y45" s="226" t="str">
        <f ca="1">IF(I45&lt;&gt;"",IF(I45&lt;=TODAY(),IF(OR(N45="REPROGRAMADA",N45="SUSPENDIDA",N45="EXCLUSION",N45="COLEGIADO"),"NO HECHA",IF(N45=" ","SINRESULTADO","SI")),"NO"),IF(N45="EXCLUSION","NO HECHA","LIMBO"))</f>
        <v>NO HECHA</v>
      </c>
      <c r="Z45" s="226" t="str">
        <f>IF($Z$1=I45,"DIASOL", "DIANOSOL")</f>
        <v>DIANOSOL</v>
      </c>
      <c r="AA45" s="226" t="s">
        <v>240</v>
      </c>
      <c r="AB45" s="226" t="s">
        <v>1559</v>
      </c>
      <c r="AC45" s="226" t="str">
        <f>IF(H45=$M$1,"SI","NO")</f>
        <v>NO</v>
      </c>
      <c r="AD45" s="226"/>
      <c r="AE45" s="229">
        <v>45167</v>
      </c>
      <c r="AF45" s="226"/>
      <c r="AG45" s="226" t="str">
        <f>IF(COUNTIF(C45,"*preso*")&gt;0,"SI","NO")</f>
        <v>NO</v>
      </c>
      <c r="AH45" s="265">
        <f>NroOrden(N45)</f>
        <v>0</v>
      </c>
      <c r="AI45" s="226"/>
      <c r="AJ45" s="283" t="str">
        <f ca="1">IF(OR(Y45="NO",Y45="LIMBO"),"IMP","NOIMP")</f>
        <v>NOIMP</v>
      </c>
      <c r="AK45" s="5"/>
    </row>
    <row r="46" spans="1:37" ht="25.5" hidden="1">
      <c r="A46" s="160">
        <v>184</v>
      </c>
      <c r="B46" s="161" t="s">
        <v>830</v>
      </c>
      <c r="C46" s="211"/>
      <c r="D46" s="160" t="s">
        <v>1321</v>
      </c>
      <c r="E46" s="160" t="s">
        <v>832</v>
      </c>
      <c r="F46" s="266">
        <v>45026</v>
      </c>
      <c r="G46" s="160" t="s">
        <v>1322</v>
      </c>
      <c r="H46" s="160" t="s">
        <v>1643</v>
      </c>
      <c r="I46" s="161">
        <v>45190</v>
      </c>
      <c r="J46" s="161" t="s">
        <v>14</v>
      </c>
      <c r="K46" s="160" t="s">
        <v>362</v>
      </c>
      <c r="L46" s="186"/>
      <c r="M46" s="161" t="s">
        <v>330</v>
      </c>
      <c r="N46" s="160" t="s">
        <v>2047</v>
      </c>
      <c r="O46" s="160" t="s">
        <v>2051</v>
      </c>
      <c r="P46" s="160"/>
      <c r="Q46" s="160" t="s">
        <v>111</v>
      </c>
      <c r="R46" s="186"/>
      <c r="S46" s="160"/>
      <c r="T46" s="160"/>
      <c r="U46" s="160"/>
      <c r="V46" s="160" t="s">
        <v>182</v>
      </c>
      <c r="W46" s="160" t="s">
        <v>116</v>
      </c>
      <c r="X46" s="160" t="s">
        <v>111</v>
      </c>
      <c r="Y46" s="160" t="str">
        <f ca="1">IF(I46&lt;&gt;"",IF(I46&lt;=TODAY(),IF(OR(N46="REPROGRAMADA",N46="SUSPENDIDA",N46="EXCLUSION",N46="COLEGIADO"),"NO HECHA",IF(N46=" ","SINRESULTADO","SI")),"NO"),IF(N46="EXCLUSION","NO HECHA","LIMBO"))</f>
        <v>SI</v>
      </c>
      <c r="Z46" s="160" t="str">
        <f>IF($Z$1=I46,"DIASOL", "DIANOSOL")</f>
        <v>DIANOSOL</v>
      </c>
      <c r="AA46" s="160" t="s">
        <v>240</v>
      </c>
      <c r="AB46" s="160" t="s">
        <v>835</v>
      </c>
      <c r="AC46" s="160" t="str">
        <f>IF(H46=$M$1,"SI","NO")</f>
        <v>NO</v>
      </c>
      <c r="AD46" s="160"/>
      <c r="AE46" s="160"/>
      <c r="AF46" s="160"/>
      <c r="AG46" s="160" t="str">
        <f>IF(COUNTIF(C46,"*preso*")&gt;0,"SI","NO")</f>
        <v>NO</v>
      </c>
      <c r="AH46" s="264">
        <f>NroOrden(N46)</f>
        <v>1</v>
      </c>
      <c r="AI46" s="160"/>
      <c r="AJ46" s="48" t="str">
        <f ca="1">IF(OR(Y46="NO",Y46="LIMBO"),"IMP","NOIMP")</f>
        <v>NOIMP</v>
      </c>
      <c r="AK46" s="5"/>
    </row>
    <row r="47" spans="1:37" ht="84.75" hidden="1" customHeight="1">
      <c r="A47" s="259">
        <v>249</v>
      </c>
      <c r="B47" s="260" t="s">
        <v>1701</v>
      </c>
      <c r="C47" s="261"/>
      <c r="D47" s="259" t="s">
        <v>1699</v>
      </c>
      <c r="E47" s="259" t="s">
        <v>1698</v>
      </c>
      <c r="F47" s="262">
        <v>45195</v>
      </c>
      <c r="G47" s="259"/>
      <c r="H47" s="259" t="s">
        <v>1649</v>
      </c>
      <c r="I47" s="260">
        <v>45210</v>
      </c>
      <c r="J47" s="260" t="s">
        <v>396</v>
      </c>
      <c r="K47" s="259" t="s">
        <v>1679</v>
      </c>
      <c r="L47" s="306" t="s">
        <v>1664</v>
      </c>
      <c r="M47" s="260" t="s">
        <v>332</v>
      </c>
      <c r="N47" s="259" t="s">
        <v>361</v>
      </c>
      <c r="O47" s="259" t="s">
        <v>2049</v>
      </c>
      <c r="P47" s="259" t="s">
        <v>2142</v>
      </c>
      <c r="Q47" s="259"/>
      <c r="R47" s="306"/>
      <c r="S47" s="259"/>
      <c r="T47" s="259"/>
      <c r="U47" s="259"/>
      <c r="V47" s="259" t="s">
        <v>181</v>
      </c>
      <c r="W47" s="259" t="s">
        <v>117</v>
      </c>
      <c r="X47" s="259" t="s">
        <v>111</v>
      </c>
      <c r="Y47" s="259" t="str">
        <f ca="1">IF(I47&lt;&gt;"",IF(I47&lt;=TODAY(),IF(OR(N47="REPROGRAMADA",N47="SUSPENDIDA",N47="EXCLUSION",N47="COLEGIADO"),"NO HECHA",IF(N47=" ","SINRESULTADO","SI")),"NO"),IF(N47="EXCLUSION","NO HECHA","LIMBO"))</f>
        <v>NO HECHA</v>
      </c>
      <c r="Z47" s="259" t="str">
        <f>IF($Z$1=I47,"DIASOL", "DIANOSOL")</f>
        <v>DIANOSOL</v>
      </c>
      <c r="AA47" s="259" t="s">
        <v>240</v>
      </c>
      <c r="AB47" s="259" t="s">
        <v>1700</v>
      </c>
      <c r="AC47" s="259" t="str">
        <f>IF(H47=$M$1,"SI","NO")</f>
        <v>NO</v>
      </c>
      <c r="AD47" s="259"/>
      <c r="AE47" s="262">
        <v>45195</v>
      </c>
      <c r="AF47" s="262">
        <v>45218</v>
      </c>
      <c r="AG47" s="259" t="str">
        <f>IF(COUNTIF(C47,"*preso*")&gt;0,"SI","NO")</f>
        <v>NO</v>
      </c>
      <c r="AH47" s="263">
        <f>NroOrden(N47)</f>
        <v>1</v>
      </c>
      <c r="AI47" s="259"/>
      <c r="AJ47" s="48" t="str">
        <f ca="1">IF(OR(Y47="NO",Y47="LIMBO"),"IMP","NOIMP")</f>
        <v>NOIMP</v>
      </c>
      <c r="AK47" s="5"/>
    </row>
    <row r="48" spans="1:37" ht="51" hidden="1">
      <c r="A48" s="136">
        <v>11</v>
      </c>
      <c r="B48" s="137" t="s">
        <v>443</v>
      </c>
      <c r="C48" s="207"/>
      <c r="D48" s="136" t="s">
        <v>444</v>
      </c>
      <c r="E48" s="136" t="s">
        <v>445</v>
      </c>
      <c r="F48" s="140"/>
      <c r="G48" s="136"/>
      <c r="H48" s="136" t="s">
        <v>111</v>
      </c>
      <c r="I48" s="137"/>
      <c r="J48" s="136"/>
      <c r="K48" s="138" t="s">
        <v>111</v>
      </c>
      <c r="L48" s="190"/>
      <c r="M48" s="137" t="s">
        <v>329</v>
      </c>
      <c r="N48" s="136" t="s">
        <v>361</v>
      </c>
      <c r="O48" s="136"/>
      <c r="P48" s="138" t="s">
        <v>446</v>
      </c>
      <c r="Q48" s="138" t="s">
        <v>111</v>
      </c>
      <c r="R48" s="190"/>
      <c r="S48" s="136"/>
      <c r="T48" s="138"/>
      <c r="U48" s="138"/>
      <c r="V48" s="136" t="s">
        <v>111</v>
      </c>
      <c r="W48" s="136" t="s">
        <v>111</v>
      </c>
      <c r="X48" s="136" t="s">
        <v>111</v>
      </c>
      <c r="Y48" s="195" t="str">
        <f ca="1">IF(I48&lt;&gt;"",IF(I48&lt;=TODAY(),IF(OR(N48="REPROGRAMADA",N48="SUSPENDIDA",N48="EXCLUSION",N48="COLEGIADO"),"NO HECHA",IF(N48=" ","SINRESULTADO","SI")),"NO"),IF(N48="EXCLUSION","NO HECHA","LIMBO"))</f>
        <v>NO HECHA</v>
      </c>
      <c r="Z48" s="136" t="str">
        <f>IF($Z$1=I48,"DIASOL", "DIANOSOL")</f>
        <v>DIANOSOL</v>
      </c>
      <c r="AA48" s="136" t="s">
        <v>240</v>
      </c>
      <c r="AB48" s="136"/>
      <c r="AC48" s="139" t="str">
        <f>IF(H48=$M$1,"SI","NO")</f>
        <v>NO</v>
      </c>
      <c r="AD48" s="139"/>
      <c r="AE48" s="138"/>
      <c r="AF48" s="138"/>
      <c r="AG48" s="138" t="str">
        <f>IF(COUNTIF(C48,"*preso*")&gt;0,"SI","NO")</f>
        <v>NO</v>
      </c>
      <c r="AH48" s="253">
        <f>NroOrden(N48)</f>
        <v>1</v>
      </c>
      <c r="AI48" s="138" t="s">
        <v>447</v>
      </c>
      <c r="AJ48" s="48" t="str">
        <f ca="1">IF(OR(Y48="NO",Y48="LIMBO"),"IMP","NOIMP")</f>
        <v>NOIMP</v>
      </c>
      <c r="AK48" s="5"/>
    </row>
    <row r="49" spans="1:37" ht="51" hidden="1">
      <c r="A49" s="136">
        <v>15</v>
      </c>
      <c r="B49" s="137" t="s">
        <v>466</v>
      </c>
      <c r="C49" s="208"/>
      <c r="D49" s="136" t="s">
        <v>467</v>
      </c>
      <c r="E49" s="136" t="s">
        <v>468</v>
      </c>
      <c r="F49" s="140">
        <v>44985</v>
      </c>
      <c r="G49" s="136"/>
      <c r="H49" s="136" t="s">
        <v>111</v>
      </c>
      <c r="I49" s="137"/>
      <c r="J49" s="136"/>
      <c r="K49" s="138" t="s">
        <v>111</v>
      </c>
      <c r="L49" s="190"/>
      <c r="M49" s="137" t="s">
        <v>111</v>
      </c>
      <c r="N49" s="136" t="s">
        <v>361</v>
      </c>
      <c r="O49" s="136"/>
      <c r="P49" s="138" t="s">
        <v>469</v>
      </c>
      <c r="Q49" s="138" t="s">
        <v>111</v>
      </c>
      <c r="R49" s="190"/>
      <c r="S49" s="136"/>
      <c r="T49" s="138"/>
      <c r="U49" s="138"/>
      <c r="V49" s="136" t="s">
        <v>111</v>
      </c>
      <c r="W49" s="136" t="s">
        <v>111</v>
      </c>
      <c r="X49" s="136" t="s">
        <v>111</v>
      </c>
      <c r="Y49" s="195" t="str">
        <f ca="1">IF(I49&lt;&gt;"",IF(I49&lt;=TODAY(),IF(OR(N49="REPROGRAMADA",N49="SUSPENDIDA",N49="EXCLUSION",N49="COLEGIADO"),"NO HECHA",IF(N49=" ","SINRESULTADO","SI")),"NO"),IF(N49="EXCLUSION","NO HECHA","LIMBO"))</f>
        <v>NO HECHA</v>
      </c>
      <c r="Z49" s="136" t="str">
        <f>IF($Z$1=I49,"DIASOL", "DIANOSOL")</f>
        <v>DIANOSOL</v>
      </c>
      <c r="AA49" s="136" t="s">
        <v>240</v>
      </c>
      <c r="AB49" s="136"/>
      <c r="AC49" s="139" t="str">
        <f>IF(H49=$M$1,"SI","NO")</f>
        <v>NO</v>
      </c>
      <c r="AD49" s="139"/>
      <c r="AE49" s="138"/>
      <c r="AF49" s="138"/>
      <c r="AG49" s="138" t="str">
        <f>IF(COUNTIF(C49,"*preso*")&gt;0,"SI","NO")</f>
        <v>NO</v>
      </c>
      <c r="AH49" s="253">
        <f>NroOrden(N49)</f>
        <v>1</v>
      </c>
      <c r="AI49" s="138" t="s">
        <v>470</v>
      </c>
      <c r="AJ49" s="48" t="str">
        <f ca="1">IF(OR(Y49="NO",Y49="LIMBO"),"IMP","NOIMP")</f>
        <v>NOIMP</v>
      </c>
      <c r="AK49" s="5"/>
    </row>
    <row r="50" spans="1:37" ht="306" hidden="1">
      <c r="A50" s="136">
        <v>24</v>
      </c>
      <c r="B50" s="137" t="s">
        <v>525</v>
      </c>
      <c r="C50" s="208" t="s">
        <v>501</v>
      </c>
      <c r="D50" s="136" t="s">
        <v>526</v>
      </c>
      <c r="E50" s="136" t="s">
        <v>527</v>
      </c>
      <c r="F50" s="140">
        <v>44993</v>
      </c>
      <c r="G50" s="136"/>
      <c r="H50" s="136" t="s">
        <v>111</v>
      </c>
      <c r="I50" s="137"/>
      <c r="J50" s="136"/>
      <c r="K50" s="138" t="s">
        <v>111</v>
      </c>
      <c r="L50" s="190"/>
      <c r="M50" s="137" t="s">
        <v>329</v>
      </c>
      <c r="N50" s="136" t="s">
        <v>361</v>
      </c>
      <c r="O50" s="136"/>
      <c r="P50" s="146" t="s">
        <v>528</v>
      </c>
      <c r="Q50" s="138" t="s">
        <v>111</v>
      </c>
      <c r="R50" s="190"/>
      <c r="S50" s="136" t="s">
        <v>374</v>
      </c>
      <c r="T50" s="140">
        <v>44933</v>
      </c>
      <c r="U50" s="136" t="s">
        <v>476</v>
      </c>
      <c r="V50" s="136" t="s">
        <v>193</v>
      </c>
      <c r="W50" s="136" t="s">
        <v>141</v>
      </c>
      <c r="X50" s="136" t="s">
        <v>111</v>
      </c>
      <c r="Y50" s="195" t="str">
        <f ca="1">IF(I50&lt;&gt;"",IF(I50&lt;=TODAY(),IF(OR(N50="REPROGRAMADA",N50="SUSPENDIDA",N50="EXCLUSION",N50="COLEGIADO"),"NO HECHA",IF(N50=" ","SINRESULTADO","SI")),"NO"),IF(N50="EXCLUSION","NO HECHA","LIMBO"))</f>
        <v>NO HECHA</v>
      </c>
      <c r="Z50" s="136" t="str">
        <f>IF($Z$1=I50,"DIASOL", "DIANOSOL")</f>
        <v>DIANOSOL</v>
      </c>
      <c r="AA50" s="136" t="s">
        <v>240</v>
      </c>
      <c r="AB50" s="136" t="s">
        <v>529</v>
      </c>
      <c r="AC50" s="139" t="str">
        <f>IF(H50=$M$1,"SI","NO")</f>
        <v>NO</v>
      </c>
      <c r="AD50" s="139"/>
      <c r="AE50" s="138"/>
      <c r="AF50" s="140">
        <v>45006</v>
      </c>
      <c r="AG50" s="138" t="str">
        <f>IF(COUNTIF(C50,"*preso*")&gt;0,"SI","NO")</f>
        <v>SI</v>
      </c>
      <c r="AH50" s="253">
        <f>NroOrden(N50)</f>
        <v>1</v>
      </c>
      <c r="AI50" s="138" t="s">
        <v>530</v>
      </c>
      <c r="AJ50" s="48" t="str">
        <f ca="1">IF(OR(Y50="NO",Y50="LIMBO"),"IMP","NOIMP")</f>
        <v>NOIMP</v>
      </c>
      <c r="AK50" s="5"/>
    </row>
    <row r="51" spans="1:37" ht="127.5" hidden="1">
      <c r="A51" s="136">
        <v>29</v>
      </c>
      <c r="B51" s="137" t="s">
        <v>558</v>
      </c>
      <c r="C51" s="208" t="s">
        <v>501</v>
      </c>
      <c r="D51" s="136" t="s">
        <v>559</v>
      </c>
      <c r="E51" s="136" t="s">
        <v>560</v>
      </c>
      <c r="F51" s="147">
        <v>45035</v>
      </c>
      <c r="G51" s="136"/>
      <c r="H51" s="136" t="s">
        <v>111</v>
      </c>
      <c r="I51" s="137"/>
      <c r="J51" s="136"/>
      <c r="K51" s="138" t="s">
        <v>111</v>
      </c>
      <c r="L51" s="190"/>
      <c r="M51" s="137" t="s">
        <v>329</v>
      </c>
      <c r="N51" s="136" t="s">
        <v>361</v>
      </c>
      <c r="O51" s="136"/>
      <c r="P51" s="146" t="s">
        <v>561</v>
      </c>
      <c r="Q51" s="138" t="s">
        <v>111</v>
      </c>
      <c r="R51" s="190"/>
      <c r="S51" s="136"/>
      <c r="T51" s="138"/>
      <c r="U51" s="138"/>
      <c r="V51" s="136" t="s">
        <v>186</v>
      </c>
      <c r="W51" s="136" t="s">
        <v>132</v>
      </c>
      <c r="X51" s="136" t="s">
        <v>111</v>
      </c>
      <c r="Y51" s="195" t="str">
        <f ca="1">IF(I51&lt;&gt;"",IF(I51&lt;=TODAY(),IF(OR(N51="REPROGRAMADA",N51="SUSPENDIDA",N51="EXCLUSION",N51="COLEGIADO"),"NO HECHA",IF(N51=" ","SINRESULTADO","SI")),"NO"),IF(N51="EXCLUSION","NO HECHA","LIMBO"))</f>
        <v>NO HECHA</v>
      </c>
      <c r="Z51" s="136" t="str">
        <f>IF($Z$1=I51,"DIASOL", "DIANOSOL")</f>
        <v>DIANOSOL</v>
      </c>
      <c r="AA51" s="136" t="s">
        <v>240</v>
      </c>
      <c r="AB51" s="136"/>
      <c r="AC51" s="139" t="str">
        <f>IF(H51=$M$1,"SI","NO")</f>
        <v>NO</v>
      </c>
      <c r="AD51" s="139"/>
      <c r="AE51" s="138"/>
      <c r="AF51" s="140">
        <v>45035</v>
      </c>
      <c r="AG51" s="138" t="str">
        <f>IF(COUNTIF(C51,"*preso*")&gt;0,"SI","NO")</f>
        <v>SI</v>
      </c>
      <c r="AH51" s="253">
        <f>NroOrden(N51)</f>
        <v>1</v>
      </c>
      <c r="AI51" s="138" t="s">
        <v>562</v>
      </c>
      <c r="AJ51" s="48" t="str">
        <f ca="1">IF(OR(Y51="NO",Y51="LIMBO"),"IMP","NOIMP")</f>
        <v>NOIMP</v>
      </c>
      <c r="AK51" s="5"/>
    </row>
    <row r="52" spans="1:37" ht="39.75" hidden="1" customHeight="1">
      <c r="A52" s="136">
        <v>33</v>
      </c>
      <c r="B52" s="137" t="s">
        <v>575</v>
      </c>
      <c r="C52" s="208" t="s">
        <v>501</v>
      </c>
      <c r="D52" s="136" t="s">
        <v>576</v>
      </c>
      <c r="E52" s="136" t="s">
        <v>577</v>
      </c>
      <c r="F52" s="140">
        <v>45095</v>
      </c>
      <c r="G52" s="148" t="s">
        <v>578</v>
      </c>
      <c r="H52" s="136" t="s">
        <v>111</v>
      </c>
      <c r="I52" s="137"/>
      <c r="J52" s="136"/>
      <c r="K52" s="138" t="s">
        <v>111</v>
      </c>
      <c r="L52" s="190"/>
      <c r="M52" s="137" t="s">
        <v>329</v>
      </c>
      <c r="N52" s="136" t="s">
        <v>361</v>
      </c>
      <c r="O52" s="136"/>
      <c r="P52" s="138" t="s">
        <v>579</v>
      </c>
      <c r="Q52" s="138" t="s">
        <v>111</v>
      </c>
      <c r="R52" s="190"/>
      <c r="S52" s="136"/>
      <c r="T52" s="138"/>
      <c r="U52" s="138"/>
      <c r="V52" s="136" t="s">
        <v>111</v>
      </c>
      <c r="W52" s="136" t="s">
        <v>111</v>
      </c>
      <c r="X52" s="136" t="s">
        <v>111</v>
      </c>
      <c r="Y52" s="195" t="str">
        <f ca="1">IF(I52&lt;&gt;"",IF(I52&lt;=TODAY(),IF(OR(N52="REPROGRAMADA",N52="SUSPENDIDA",N52="EXCLUSION",N52="COLEGIADO"),"NO HECHA",IF(N52=" ","SINRESULTADO","SI")),"NO"),IF(N52="EXCLUSION","NO HECHA","LIMBO"))</f>
        <v>NO HECHA</v>
      </c>
      <c r="Z52" s="136" t="str">
        <f>IF($Z$1=I52,"DIASOL", "DIANOSOL")</f>
        <v>DIANOSOL</v>
      </c>
      <c r="AA52" s="136" t="s">
        <v>240</v>
      </c>
      <c r="AB52" s="136"/>
      <c r="AC52" s="139" t="str">
        <f>IF(H52=$M$1,"SI","NO")</f>
        <v>NO</v>
      </c>
      <c r="AD52" s="139"/>
      <c r="AE52" s="138"/>
      <c r="AF52" s="140">
        <v>45041</v>
      </c>
      <c r="AG52" s="138" t="str">
        <f>IF(COUNTIF(C52,"*preso*")&gt;0,"SI","NO")</f>
        <v>SI</v>
      </c>
      <c r="AH52" s="253">
        <f>NroOrden(N52)</f>
        <v>1</v>
      </c>
      <c r="AI52" s="138" t="s">
        <v>580</v>
      </c>
      <c r="AJ52" s="48" t="str">
        <f ca="1">IF(OR(Y52="NO",Y52="LIMBO"),"IMP","NOIMP")</f>
        <v>NOIMP</v>
      </c>
      <c r="AK52" s="5"/>
    </row>
    <row r="53" spans="1:37" ht="50.25" hidden="1" customHeight="1">
      <c r="A53" s="136">
        <v>38</v>
      </c>
      <c r="B53" s="137" t="s">
        <v>595</v>
      </c>
      <c r="C53" s="208" t="s">
        <v>501</v>
      </c>
      <c r="D53" s="136" t="s">
        <v>596</v>
      </c>
      <c r="E53" s="136" t="s">
        <v>369</v>
      </c>
      <c r="F53" s="140">
        <v>45040</v>
      </c>
      <c r="G53" s="136"/>
      <c r="H53" s="136" t="s">
        <v>111</v>
      </c>
      <c r="I53" s="137"/>
      <c r="J53" s="136"/>
      <c r="K53" s="138" t="s">
        <v>111</v>
      </c>
      <c r="L53" s="190"/>
      <c r="M53" s="137" t="s">
        <v>328</v>
      </c>
      <c r="N53" s="136" t="s">
        <v>361</v>
      </c>
      <c r="O53" s="136"/>
      <c r="P53" s="138" t="s">
        <v>597</v>
      </c>
      <c r="Q53" s="138" t="s">
        <v>111</v>
      </c>
      <c r="R53" s="190"/>
      <c r="S53" s="136"/>
      <c r="T53" s="138"/>
      <c r="U53" s="138"/>
      <c r="V53" s="136" t="s">
        <v>111</v>
      </c>
      <c r="W53" s="136" t="s">
        <v>111</v>
      </c>
      <c r="X53" s="136" t="s">
        <v>111</v>
      </c>
      <c r="Y53" s="195" t="str">
        <f ca="1">IF(I53&lt;&gt;"",IF(I53&lt;=TODAY(),IF(OR(N53="REPROGRAMADA",N53="SUSPENDIDA",N53="EXCLUSION",N53="COLEGIADO"),"NO HECHA",IF(N53=" ","SINRESULTADO","SI")),"NO"),IF(N53="EXCLUSION","NO HECHA","LIMBO"))</f>
        <v>NO HECHA</v>
      </c>
      <c r="Z53" s="136" t="str">
        <f>IF($Z$1=I53,"DIASOL", "DIANOSOL")</f>
        <v>DIANOSOL</v>
      </c>
      <c r="AA53" s="136" t="s">
        <v>240</v>
      </c>
      <c r="AB53" s="136"/>
      <c r="AC53" s="139" t="str">
        <f>IF(H53=$M$1,"SI","NO")</f>
        <v>NO</v>
      </c>
      <c r="AD53" s="139"/>
      <c r="AE53" s="138"/>
      <c r="AF53" s="140">
        <v>45040</v>
      </c>
      <c r="AG53" s="138" t="str">
        <f>IF(COUNTIF(C53,"*preso*")&gt;0,"SI","NO")</f>
        <v>SI</v>
      </c>
      <c r="AH53" s="253">
        <f>NroOrden(N53)</f>
        <v>1</v>
      </c>
      <c r="AI53" s="138" t="s">
        <v>598</v>
      </c>
      <c r="AJ53" s="48" t="str">
        <f ca="1">IF(OR(Y53="NO",Y53="LIMBO"),"IMP","NOIMP")</f>
        <v>NOIMP</v>
      </c>
      <c r="AK53" s="5"/>
    </row>
    <row r="54" spans="1:37" ht="51" hidden="1">
      <c r="A54" s="136">
        <v>69</v>
      </c>
      <c r="B54" s="137" t="s">
        <v>775</v>
      </c>
      <c r="C54" s="208"/>
      <c r="D54" s="136" t="s">
        <v>776</v>
      </c>
      <c r="E54" s="136"/>
      <c r="F54" s="140"/>
      <c r="G54" s="136"/>
      <c r="H54" s="136" t="s">
        <v>111</v>
      </c>
      <c r="I54" s="137"/>
      <c r="J54" s="136"/>
      <c r="K54" s="138" t="s">
        <v>111</v>
      </c>
      <c r="L54" s="190"/>
      <c r="M54" s="137" t="s">
        <v>329</v>
      </c>
      <c r="N54" s="136" t="s">
        <v>361</v>
      </c>
      <c r="O54" s="136"/>
      <c r="P54" s="138"/>
      <c r="Q54" s="138" t="s">
        <v>111</v>
      </c>
      <c r="R54" s="190"/>
      <c r="S54" s="136"/>
      <c r="T54" s="138"/>
      <c r="U54" s="138"/>
      <c r="V54" s="136" t="s">
        <v>111</v>
      </c>
      <c r="W54" s="136" t="s">
        <v>111</v>
      </c>
      <c r="X54" s="136" t="s">
        <v>111</v>
      </c>
      <c r="Y54" s="195" t="str">
        <f ca="1">IF(I54&lt;&gt;"",IF(I54&lt;=TODAY(),IF(OR(N54="REPROGRAMADA",N54="SUSPENDIDA",N54="EXCLUSION",N54="COLEGIADO"),"NO HECHA",IF(N54=" ","SINRESULTADO","SI")),"NO"),IF(N54="EXCLUSION","NO HECHA","LIMBO"))</f>
        <v>NO HECHA</v>
      </c>
      <c r="Z54" s="136" t="str">
        <f>IF($Z$1=I54,"DIASOL", "DIANOSOL")</f>
        <v>DIANOSOL</v>
      </c>
      <c r="AA54" s="136" t="s">
        <v>240</v>
      </c>
      <c r="AB54" s="136"/>
      <c r="AC54" s="139" t="str">
        <f>IF(H54=$M$1,"SI","NO")</f>
        <v>NO</v>
      </c>
      <c r="AD54" s="139"/>
      <c r="AE54" s="138"/>
      <c r="AF54" s="140">
        <v>45068</v>
      </c>
      <c r="AG54" s="138" t="str">
        <f>IF(COUNTIF(C54,"*preso*")&gt;0,"SI","NO")</f>
        <v>NO</v>
      </c>
      <c r="AH54" s="253">
        <f>NroOrden(N54)</f>
        <v>1</v>
      </c>
      <c r="AI54" s="138" t="s">
        <v>777</v>
      </c>
      <c r="AJ54" s="48" t="str">
        <f ca="1">IF(OR(Y54="NO",Y54="LIMBO"),"IMP","NOIMP")</f>
        <v>NOIMP</v>
      </c>
      <c r="AK54" s="5"/>
    </row>
    <row r="55" spans="1:37" ht="76.5" hidden="1">
      <c r="A55" s="136">
        <v>328</v>
      </c>
      <c r="B55" s="137" t="s">
        <v>413</v>
      </c>
      <c r="C55" s="207" t="s">
        <v>414</v>
      </c>
      <c r="D55" s="136" t="s">
        <v>415</v>
      </c>
      <c r="E55" s="136" t="s">
        <v>416</v>
      </c>
      <c r="F55" s="140">
        <v>44974</v>
      </c>
      <c r="G55" s="136" t="s">
        <v>417</v>
      </c>
      <c r="H55" s="136"/>
      <c r="I55" s="137"/>
      <c r="J55" s="136"/>
      <c r="K55" s="138" t="s">
        <v>111</v>
      </c>
      <c r="L55" s="251"/>
      <c r="M55" s="137" t="s">
        <v>328</v>
      </c>
      <c r="N55" s="136" t="s">
        <v>361</v>
      </c>
      <c r="O55" s="136"/>
      <c r="P55" s="138" t="s">
        <v>418</v>
      </c>
      <c r="Q55" s="138" t="s">
        <v>111</v>
      </c>
      <c r="R55" s="251"/>
      <c r="S55" s="136"/>
      <c r="T55" s="138"/>
      <c r="U55" s="138"/>
      <c r="V55" s="136" t="s">
        <v>111</v>
      </c>
      <c r="W55" s="136" t="s">
        <v>111</v>
      </c>
      <c r="X55" s="136" t="s">
        <v>111</v>
      </c>
      <c r="Y55" s="195" t="str">
        <f ca="1">IF(I55&lt;&gt;"",IF(I55&lt;=TODAY(),IF(OR(N55="REPROGRAMADA",N55="SUSPENDIDA",N55="EXCLUSION",N55="COLEGIADO"),"NO HECHA",IF(N55=" ","SINRESULTADO","SI")),"NO"),IF(N55="EXCLUSION","NO HECHA","LIMBO"))</f>
        <v>NO HECHA</v>
      </c>
      <c r="Z55" s="136" t="str">
        <f>IF($Z$1=I55,"DIASOL", "DIANOSOL")</f>
        <v>DIANOSOL</v>
      </c>
      <c r="AA55" s="136" t="s">
        <v>240</v>
      </c>
      <c r="AB55" s="136"/>
      <c r="AC55" s="139" t="str">
        <f>IF(H55=$M$1,"SI","NO")</f>
        <v>NO</v>
      </c>
      <c r="AD55" s="139"/>
      <c r="AE55" s="138"/>
      <c r="AF55" s="140">
        <v>44994</v>
      </c>
      <c r="AG55" s="138" t="str">
        <f>IF(COUNTIF(C55,"*preso*")&gt;0,"SI","NO")</f>
        <v>NO</v>
      </c>
      <c r="AH55" s="253">
        <f>NroOrden(N55)</f>
        <v>1</v>
      </c>
      <c r="AI55" s="138" t="s">
        <v>418</v>
      </c>
      <c r="AJ55" s="48" t="str">
        <f ca="1">IF(OR(Y55="NO",Y55="LIMBO"),"IMP","NOIMP")</f>
        <v>NOIMP</v>
      </c>
      <c r="AK55" s="5"/>
    </row>
    <row r="56" spans="1:37" ht="25.5" hidden="1">
      <c r="A56" s="160">
        <v>297</v>
      </c>
      <c r="B56" s="161" t="s">
        <v>1907</v>
      </c>
      <c r="C56" s="211"/>
      <c r="D56" s="160" t="s">
        <v>1908</v>
      </c>
      <c r="E56" s="160" t="s">
        <v>1909</v>
      </c>
      <c r="F56" s="266">
        <v>45197</v>
      </c>
      <c r="G56" s="160" t="s">
        <v>1848</v>
      </c>
      <c r="H56" s="160" t="s">
        <v>1649</v>
      </c>
      <c r="I56" s="161">
        <v>45231</v>
      </c>
      <c r="J56" s="161" t="s">
        <v>282</v>
      </c>
      <c r="K56" s="160" t="s">
        <v>2132</v>
      </c>
      <c r="L56" s="186" t="s">
        <v>1664</v>
      </c>
      <c r="M56" s="161" t="s">
        <v>1818</v>
      </c>
      <c r="N56" s="160" t="s">
        <v>1652</v>
      </c>
      <c r="O56" s="160" t="s">
        <v>2049</v>
      </c>
      <c r="P56" s="160"/>
      <c r="Q56" s="160"/>
      <c r="R56" s="186"/>
      <c r="S56" s="160"/>
      <c r="T56" s="160"/>
      <c r="U56" s="160"/>
      <c r="V56" s="160" t="s">
        <v>193</v>
      </c>
      <c r="W56" s="160" t="s">
        <v>133</v>
      </c>
      <c r="X56" s="160" t="s">
        <v>111</v>
      </c>
      <c r="Y56" s="160" t="str">
        <f ca="1">IF(I56&lt;&gt;"",IF(I56&lt;=TODAY(),IF(OR(N56="REPROGRAMADA",N56="SUSPENDIDA",N56="EXCLUSION",N56="COLEGIADO"),"NO HECHA",IF(N56=" ","SINRESULTADO","SI")),"NO"),IF(N56="EXCLUSION","NO HECHA","LIMBO"))</f>
        <v>SI</v>
      </c>
      <c r="Z56" s="160" t="str">
        <f>IF($Z$1=I56,"DIASOL", "DIANOSOL")</f>
        <v>DIANOSOL</v>
      </c>
      <c r="AA56" s="160" t="s">
        <v>240</v>
      </c>
      <c r="AB56" s="160" t="s">
        <v>1910</v>
      </c>
      <c r="AC56" s="160" t="str">
        <f>IF(H56=$M$1,"SI","NO")</f>
        <v>NO</v>
      </c>
      <c r="AD56" s="160"/>
      <c r="AE56" s="266">
        <v>45197</v>
      </c>
      <c r="AF56" s="160"/>
      <c r="AG56" s="160" t="str">
        <f>IF(COUNTIF(C56,"*preso*")&gt;0,"SI","NO")</f>
        <v>NO</v>
      </c>
      <c r="AH56" s="264">
        <f>NroOrden(N56)</f>
        <v>3</v>
      </c>
      <c r="AI56" s="160"/>
      <c r="AJ56" s="186" t="str">
        <f ca="1">IF(OR(Y56="NO",Y56="LIMBO"),"IMP","NOIMP")</f>
        <v>NOIMP</v>
      </c>
      <c r="AK56" s="5"/>
    </row>
    <row r="57" spans="1:37" ht="72.75" hidden="1" customHeight="1">
      <c r="A57" s="136">
        <v>183</v>
      </c>
      <c r="B57" s="137" t="s">
        <v>1317</v>
      </c>
      <c r="C57" s="207"/>
      <c r="D57" s="136" t="s">
        <v>1318</v>
      </c>
      <c r="E57" s="136" t="s">
        <v>1319</v>
      </c>
      <c r="F57" s="147">
        <v>45146</v>
      </c>
      <c r="G57" s="136" t="s">
        <v>1213</v>
      </c>
      <c r="H57" s="136" t="s">
        <v>1646</v>
      </c>
      <c r="I57" s="137">
        <v>45173</v>
      </c>
      <c r="J57" s="137" t="s">
        <v>961</v>
      </c>
      <c r="K57" s="136" t="s">
        <v>403</v>
      </c>
      <c r="L57" s="251"/>
      <c r="M57" s="137" t="s">
        <v>333</v>
      </c>
      <c r="N57" s="136" t="s">
        <v>2046</v>
      </c>
      <c r="O57" s="136" t="s">
        <v>2049</v>
      </c>
      <c r="P57" s="136" t="s">
        <v>1637</v>
      </c>
      <c r="Q57" s="136" t="s">
        <v>111</v>
      </c>
      <c r="R57" s="251"/>
      <c r="S57" s="136"/>
      <c r="T57" s="136"/>
      <c r="U57" s="136"/>
      <c r="V57" s="136" t="s">
        <v>343</v>
      </c>
      <c r="W57" s="136" t="s">
        <v>202</v>
      </c>
      <c r="X57" s="136" t="s">
        <v>111</v>
      </c>
      <c r="Y57" s="160" t="str">
        <f ca="1">IF(I57&lt;&gt;"",IF(I57&lt;=TODAY(),IF(OR(N57="REPROGRAMADA",N57="SUSPENDIDA",N57="EXCLUSION",N57="COLEGIADO"),"NO HECHA",IF(N57=" ","SINRESULTADO","SI")),"NO"),IF(N57="EXCLUSION","NO HECHA","LIMBO"))</f>
        <v>SI</v>
      </c>
      <c r="Z57" s="149" t="str">
        <f>IF($Z$1=I57,"DIASOL", "DIANOSOL")</f>
        <v>DIANOSOL</v>
      </c>
      <c r="AA57" s="136" t="s">
        <v>240</v>
      </c>
      <c r="AB57" s="136" t="s">
        <v>1320</v>
      </c>
      <c r="AC57" s="151" t="str">
        <f>IF(H57=$M$1,"SI","NO")</f>
        <v>NO</v>
      </c>
      <c r="AD57" s="151"/>
      <c r="AE57" s="147">
        <v>45118</v>
      </c>
      <c r="AF57" s="147">
        <v>45180</v>
      </c>
      <c r="AG57" s="84" t="str">
        <f>IF(COUNTIF(C57,"*preso*")&gt;0,"SI","NO")</f>
        <v>NO</v>
      </c>
      <c r="AH57" s="253">
        <f>NroOrden(N57)</f>
        <v>4</v>
      </c>
      <c r="AI57" s="136"/>
      <c r="AJ57" s="48" t="str">
        <f ca="1">IF(OR(Y57="NO",Y57="LIMBO"),"IMP","NOIMP")</f>
        <v>NOIMP</v>
      </c>
      <c r="AK57" s="5"/>
    </row>
    <row r="58" spans="1:37" ht="306" hidden="1">
      <c r="A58" s="160">
        <v>179</v>
      </c>
      <c r="B58" s="161" t="s">
        <v>1291</v>
      </c>
      <c r="C58" s="211" t="s">
        <v>501</v>
      </c>
      <c r="D58" s="160" t="s">
        <v>1292</v>
      </c>
      <c r="E58" s="160" t="s">
        <v>1293</v>
      </c>
      <c r="F58" s="266">
        <v>45147</v>
      </c>
      <c r="G58" s="160" t="s">
        <v>1294</v>
      </c>
      <c r="H58" s="160" t="s">
        <v>1646</v>
      </c>
      <c r="I58" s="161">
        <v>45177</v>
      </c>
      <c r="J58" s="161" t="s">
        <v>396</v>
      </c>
      <c r="K58" s="160" t="s">
        <v>363</v>
      </c>
      <c r="L58" s="255"/>
      <c r="M58" s="161" t="s">
        <v>328</v>
      </c>
      <c r="N58" s="160" t="s">
        <v>2046</v>
      </c>
      <c r="O58" s="160" t="s">
        <v>2049</v>
      </c>
      <c r="P58" s="160" t="s">
        <v>2091</v>
      </c>
      <c r="Q58" s="160" t="s">
        <v>111</v>
      </c>
      <c r="R58" s="186"/>
      <c r="S58" s="160" t="s">
        <v>374</v>
      </c>
      <c r="T58" s="160" t="s">
        <v>1654</v>
      </c>
      <c r="U58" s="160" t="s">
        <v>1297</v>
      </c>
      <c r="V58" s="160" t="s">
        <v>1129</v>
      </c>
      <c r="W58" s="160" t="s">
        <v>1295</v>
      </c>
      <c r="X58" s="160" t="s">
        <v>111</v>
      </c>
      <c r="Y58" s="160" t="str">
        <f ca="1">IF(I58&lt;&gt;"",IF(I58&lt;=TODAY(),IF(OR(N58="REPROGRAMADA",N58="SUSPENDIDA",N58="EXCLUSION",N58="COLEGIADO"),"NO HECHA",IF(N58=" ","SINRESULTADO","SI")),"NO"),IF(N58="EXCLUSION","NO HECHA","LIMBO"))</f>
        <v>SI</v>
      </c>
      <c r="Z58" s="160" t="str">
        <f>IF($Z$1=I58,"DIASOL", "DIANOSOL")</f>
        <v>DIANOSOL</v>
      </c>
      <c r="AA58" s="160"/>
      <c r="AB58" s="160" t="s">
        <v>1296</v>
      </c>
      <c r="AC58" s="160" t="str">
        <f>IF(H58=$M$1,"SI","NO")</f>
        <v>NO</v>
      </c>
      <c r="AD58" s="160"/>
      <c r="AE58" s="266">
        <v>45142</v>
      </c>
      <c r="AF58" s="266">
        <v>45188</v>
      </c>
      <c r="AG58" s="160" t="str">
        <f>IF(COUNTIF(C58,"*preso*")&gt;0,"SI","NO")</f>
        <v>SI</v>
      </c>
      <c r="AH58" s="253">
        <f>NroOrden(N58)</f>
        <v>4</v>
      </c>
      <c r="AI58" s="160" t="s">
        <v>1655</v>
      </c>
      <c r="AJ58" s="48" t="str">
        <f ca="1">IF(OR(Y58="NO",Y58="LIMBO"),"IMP","NOIMP")</f>
        <v>NOIMP</v>
      </c>
      <c r="AK58" s="5"/>
    </row>
    <row r="59" spans="1:37" ht="60" hidden="1" customHeight="1">
      <c r="A59" s="160">
        <v>150</v>
      </c>
      <c r="B59" s="161" t="s">
        <v>1140</v>
      </c>
      <c r="C59" s="211"/>
      <c r="D59" s="160" t="s">
        <v>1141</v>
      </c>
      <c r="E59" s="160" t="s">
        <v>1142</v>
      </c>
      <c r="F59" s="160"/>
      <c r="G59" s="160" t="s">
        <v>1143</v>
      </c>
      <c r="H59" s="160" t="s">
        <v>1643</v>
      </c>
      <c r="I59" s="161">
        <v>45198</v>
      </c>
      <c r="J59" s="161" t="s">
        <v>396</v>
      </c>
      <c r="K59" s="160" t="s">
        <v>362</v>
      </c>
      <c r="L59" s="186"/>
      <c r="M59" s="161" t="s">
        <v>330</v>
      </c>
      <c r="N59" s="160" t="s">
        <v>2046</v>
      </c>
      <c r="O59" s="160" t="s">
        <v>2051</v>
      </c>
      <c r="P59" s="160" t="s">
        <v>2137</v>
      </c>
      <c r="Q59" s="160" t="s">
        <v>111</v>
      </c>
      <c r="R59" s="186"/>
      <c r="S59" s="160"/>
      <c r="T59" s="160"/>
      <c r="U59" s="160"/>
      <c r="V59" s="160" t="s">
        <v>184</v>
      </c>
      <c r="W59" s="160" t="s">
        <v>117</v>
      </c>
      <c r="X59" s="160" t="s">
        <v>111</v>
      </c>
      <c r="Y59" s="160" t="str">
        <f ca="1">IF(I59&lt;&gt;"",IF(I59&lt;=TODAY(),IF(OR(N59="REPROGRAMADA",N59="SUSPENDIDA",N59="EXCLUSION",N59="COLEGIADO"),"NO HECHA",IF(N59=" ","SINRESULTADO","SI")),"NO"),IF(N59="EXCLUSION","NO HECHA","LIMBO"))</f>
        <v>SI</v>
      </c>
      <c r="Z59" s="160" t="str">
        <f>IF($Z$1=I59,"DIASOL", "DIANOSOL")</f>
        <v>DIANOSOL</v>
      </c>
      <c r="AA59" s="160" t="s">
        <v>240</v>
      </c>
      <c r="AB59" s="160" t="s">
        <v>1144</v>
      </c>
      <c r="AC59" s="160" t="str">
        <f>IF(H59=$M$1,"SI","NO")</f>
        <v>NO</v>
      </c>
      <c r="AD59" s="160"/>
      <c r="AE59" s="266">
        <v>45107</v>
      </c>
      <c r="AF59" s="266">
        <v>45188</v>
      </c>
      <c r="AG59" s="160" t="str">
        <f>IF(COUNTIF(C59,"*preso*")&gt;0,"SI","NO")</f>
        <v>NO</v>
      </c>
      <c r="AH59" s="264">
        <f>NroOrden(N59)</f>
        <v>4</v>
      </c>
      <c r="AI59" s="160" t="s">
        <v>1660</v>
      </c>
      <c r="AJ59" s="48" t="str">
        <f ca="1">IF(OR(Y59="NO",Y59="LIMBO"),"IMP","NOIMP")</f>
        <v>NOIMP</v>
      </c>
      <c r="AK59" s="5"/>
    </row>
    <row r="60" spans="1:37" ht="145.5" hidden="1" customHeight="1">
      <c r="A60" s="259">
        <v>244</v>
      </c>
      <c r="B60" s="260" t="s">
        <v>1049</v>
      </c>
      <c r="C60" s="261"/>
      <c r="D60" s="259" t="s">
        <v>1050</v>
      </c>
      <c r="E60" s="259" t="s">
        <v>1051</v>
      </c>
      <c r="F60" s="262"/>
      <c r="G60" s="259" t="s">
        <v>1337</v>
      </c>
      <c r="H60" s="259" t="s">
        <v>1642</v>
      </c>
      <c r="I60" s="260">
        <v>45201</v>
      </c>
      <c r="J60" s="260" t="s">
        <v>1670</v>
      </c>
      <c r="K60" s="259" t="s">
        <v>1671</v>
      </c>
      <c r="L60" s="306" t="s">
        <v>1663</v>
      </c>
      <c r="M60" s="260" t="s">
        <v>332</v>
      </c>
      <c r="N60" s="259" t="s">
        <v>2046</v>
      </c>
      <c r="O60" s="259" t="s">
        <v>2051</v>
      </c>
      <c r="P60" s="259"/>
      <c r="Q60" s="259"/>
      <c r="R60" s="306"/>
      <c r="S60" s="259"/>
      <c r="T60" s="259"/>
      <c r="U60" s="259"/>
      <c r="V60" s="259" t="s">
        <v>347</v>
      </c>
      <c r="W60" s="259" t="s">
        <v>180</v>
      </c>
      <c r="X60" s="259" t="s">
        <v>1052</v>
      </c>
      <c r="Y60" s="197" t="str">
        <f ca="1">IF(I60&lt;&gt;"",IF(I60&lt;=TODAY(),IF(OR(N60="REPROGRAMADA",N60="SUSPENDIDA",N60="EXCLUSION",N60="COLEGIADO"),"NO HECHA",IF(N60=" ","SINRESULTADO","SI")),"NO"),IF(N60="EXCLUSION","NO HECHA","LIMBO"))</f>
        <v>SI</v>
      </c>
      <c r="Z60" s="197" t="str">
        <f>IF($Z$1=I60,"DIASOL", "DIANOSOL")</f>
        <v>DIANOSOL</v>
      </c>
      <c r="AA60" s="259" t="s">
        <v>240</v>
      </c>
      <c r="AB60" s="259" t="s">
        <v>1053</v>
      </c>
      <c r="AC60" s="197" t="str">
        <f>IF(H60=$M$1,"SI","NO")</f>
        <v>NO</v>
      </c>
      <c r="AD60" s="197"/>
      <c r="AE60" s="262">
        <v>45098</v>
      </c>
      <c r="AF60" s="262">
        <v>45196</v>
      </c>
      <c r="AG60" s="197" t="str">
        <f>IF(COUNTIF(C60,"*preso*")&gt;0,"SI","NO")</f>
        <v>NO</v>
      </c>
      <c r="AH60" s="253">
        <f>NroOrden(N60)</f>
        <v>4</v>
      </c>
      <c r="AI60" s="259" t="s">
        <v>2197</v>
      </c>
      <c r="AJ60" s="48" t="str">
        <f ca="1">IF(OR(Y60="NO",Y60="LIMBO"),"IMP","NOIMP")</f>
        <v>NOIMP</v>
      </c>
      <c r="AK60" s="5"/>
    </row>
    <row r="61" spans="1:37" ht="25.5" hidden="1">
      <c r="A61" s="259">
        <v>230</v>
      </c>
      <c r="B61" s="260" t="s">
        <v>1587</v>
      </c>
      <c r="C61" s="261"/>
      <c r="D61" s="259" t="s">
        <v>1588</v>
      </c>
      <c r="E61" s="259" t="s">
        <v>1589</v>
      </c>
      <c r="F61" s="262">
        <v>45170</v>
      </c>
      <c r="G61" s="259" t="s">
        <v>1580</v>
      </c>
      <c r="H61" s="259" t="s">
        <v>1645</v>
      </c>
      <c r="I61" s="260">
        <v>45209</v>
      </c>
      <c r="J61" s="260" t="s">
        <v>2011</v>
      </c>
      <c r="K61" s="259" t="s">
        <v>1679</v>
      </c>
      <c r="L61" s="190" t="s">
        <v>1664</v>
      </c>
      <c r="M61" s="260" t="s">
        <v>332</v>
      </c>
      <c r="N61" s="259" t="s">
        <v>2046</v>
      </c>
      <c r="O61" s="259" t="s">
        <v>2051</v>
      </c>
      <c r="P61" s="259" t="s">
        <v>2070</v>
      </c>
      <c r="Q61" s="259" t="s">
        <v>111</v>
      </c>
      <c r="R61" s="306"/>
      <c r="S61" s="259"/>
      <c r="T61" s="259"/>
      <c r="U61" s="259"/>
      <c r="V61" s="259" t="s">
        <v>337</v>
      </c>
      <c r="W61" s="259" t="s">
        <v>134</v>
      </c>
      <c r="X61" s="259" t="s">
        <v>111</v>
      </c>
      <c r="Y61" s="259" t="str">
        <f ca="1">IF(I61&lt;&gt;"",IF(I61&lt;=TODAY(),IF(OR(N61="REPROGRAMADA",N61="SUSPENDIDA",N61="EXCLUSION",N61="COLEGIADO"),"NO HECHA",IF(N61=" ","SINRESULTADO","SI")),"NO"),IF(N61="EXCLUSION","NO HECHA","LIMBO"))</f>
        <v>SI</v>
      </c>
      <c r="Z61" s="259" t="str">
        <f>IF($Z$1=I61,"DIASOL", "DIANOSOL")</f>
        <v>DIANOSOL</v>
      </c>
      <c r="AA61" s="259" t="s">
        <v>240</v>
      </c>
      <c r="AB61" s="259" t="s">
        <v>1590</v>
      </c>
      <c r="AC61" s="259" t="str">
        <f>IF(H61=$M$1,"SI","NO")</f>
        <v>NO</v>
      </c>
      <c r="AD61" s="259"/>
      <c r="AE61" s="262">
        <v>45168</v>
      </c>
      <c r="AF61" s="262">
        <v>45209</v>
      </c>
      <c r="AG61" s="259" t="str">
        <f>IF(COUNTIF(C61,"*preso*")&gt;0,"SI","NO")</f>
        <v>NO</v>
      </c>
      <c r="AH61" s="263">
        <f>NroOrden(N61)</f>
        <v>4</v>
      </c>
      <c r="AI61" s="259"/>
      <c r="AJ61" s="48" t="str">
        <f ca="1">IF(OR(Y61="NO",Y61="LIMBO"),"IMP","NOIMP")</f>
        <v>NOIMP</v>
      </c>
      <c r="AK61" s="5"/>
    </row>
    <row r="62" spans="1:37" ht="51" hidden="1">
      <c r="A62" s="138">
        <v>152</v>
      </c>
      <c r="B62" s="137" t="s">
        <v>1149</v>
      </c>
      <c r="C62" s="207"/>
      <c r="D62" s="138" t="s">
        <v>1150</v>
      </c>
      <c r="E62" s="136" t="s">
        <v>1151</v>
      </c>
      <c r="F62" s="140">
        <v>45112</v>
      </c>
      <c r="G62" s="136" t="s">
        <v>1005</v>
      </c>
      <c r="H62" s="136" t="s">
        <v>1646</v>
      </c>
      <c r="I62" s="217">
        <v>45209</v>
      </c>
      <c r="J62" s="137" t="s">
        <v>282</v>
      </c>
      <c r="K62" s="138" t="s">
        <v>363</v>
      </c>
      <c r="L62" s="190" t="s">
        <v>1663</v>
      </c>
      <c r="M62" s="137" t="s">
        <v>329</v>
      </c>
      <c r="N62" s="136" t="s">
        <v>2046</v>
      </c>
      <c r="O62" s="136" t="s">
        <v>2051</v>
      </c>
      <c r="P62" s="136" t="s">
        <v>2179</v>
      </c>
      <c r="Q62" s="138" t="s">
        <v>111</v>
      </c>
      <c r="R62" s="309"/>
      <c r="S62" s="136"/>
      <c r="T62" s="138"/>
      <c r="U62" s="138"/>
      <c r="V62" s="136" t="s">
        <v>193</v>
      </c>
      <c r="W62" s="136" t="s">
        <v>134</v>
      </c>
      <c r="X62" s="136" t="s">
        <v>111</v>
      </c>
      <c r="Y62" s="195" t="str">
        <f ca="1">IF(I62&lt;&gt;"",IF(I62&lt;=TODAY(),IF(OR(N62="REPROGRAMADA",N62="SUSPENDIDA",N62="EXCLUSION",N62="COLEGIADO"),"NO HECHA",IF(N62=" ","SINRESULTADO","SI")),"NO"),IF(N62="EXCLUSION","NO HECHA","LIMBO"))</f>
        <v>SI</v>
      </c>
      <c r="Z62" s="136" t="str">
        <f>IF($Z$1=I62,"DIASOL", "DIANOSOL")</f>
        <v>DIANOSOL</v>
      </c>
      <c r="AA62" s="136" t="s">
        <v>240</v>
      </c>
      <c r="AB62" s="136" t="s">
        <v>1152</v>
      </c>
      <c r="AC62" s="139" t="str">
        <f>IF(H62=$M$1,"SI","NO")</f>
        <v>NO</v>
      </c>
      <c r="AD62" s="139"/>
      <c r="AE62" s="147">
        <v>45111</v>
      </c>
      <c r="AF62" s="140">
        <v>45204</v>
      </c>
      <c r="AG62" s="138" t="str">
        <f>IF(COUNTIF(C62,"*preso*")&gt;0,"SI","NO")</f>
        <v>NO</v>
      </c>
      <c r="AH62" s="253">
        <f>NroOrden(N62)</f>
        <v>4</v>
      </c>
      <c r="AI62" s="136"/>
      <c r="AJ62" s="48" t="str">
        <f ca="1">IF(OR(Y62="NO",Y62="LIMBO"),"IMP","NOIMP")</f>
        <v>NOIMP</v>
      </c>
      <c r="AK62" s="5"/>
    </row>
    <row r="63" spans="1:37" ht="85.5" hidden="1" customHeight="1">
      <c r="A63" s="138">
        <v>206</v>
      </c>
      <c r="B63" s="217" t="s">
        <v>944</v>
      </c>
      <c r="C63" s="207"/>
      <c r="D63" s="138" t="s">
        <v>945</v>
      </c>
      <c r="E63" s="138" t="s">
        <v>946</v>
      </c>
      <c r="F63" s="140"/>
      <c r="G63" s="138" t="s">
        <v>941</v>
      </c>
      <c r="H63" s="136" t="s">
        <v>1646</v>
      </c>
      <c r="I63" s="137">
        <v>45216</v>
      </c>
      <c r="J63" s="137" t="s">
        <v>1449</v>
      </c>
      <c r="K63" s="138" t="s">
        <v>362</v>
      </c>
      <c r="L63" s="190" t="s">
        <v>1664</v>
      </c>
      <c r="M63" s="137" t="s">
        <v>329</v>
      </c>
      <c r="N63" s="136" t="s">
        <v>2046</v>
      </c>
      <c r="O63" s="136" t="s">
        <v>2051</v>
      </c>
      <c r="P63" s="138"/>
      <c r="Q63" s="138" t="s">
        <v>111</v>
      </c>
      <c r="R63" s="190"/>
      <c r="S63" s="136"/>
      <c r="T63" s="138"/>
      <c r="U63" s="138"/>
      <c r="V63" s="136" t="s">
        <v>947</v>
      </c>
      <c r="W63" s="136" t="s">
        <v>948</v>
      </c>
      <c r="X63" s="136" t="s">
        <v>111</v>
      </c>
      <c r="Y63" s="195" t="str">
        <f ca="1">IF(I63&lt;&gt;"",IF(I63&lt;=TODAY(),IF(OR(N63="REPROGRAMADA",N63="SUSPENDIDA",N63="EXCLUSION",N63="COLEGIADO"),"NO HECHA",IF(N63=" ","SINRESULTADO","SI")),"NO"),IF(N63="EXCLUSION","NO HECHA","LIMBO"))</f>
        <v>SI</v>
      </c>
      <c r="Z63" s="136" t="str">
        <f>IF($Z$1=I63,"DIASOL", "DIANOSOL")</f>
        <v>DIANOSOL</v>
      </c>
      <c r="AA63" s="136" t="s">
        <v>240</v>
      </c>
      <c r="AB63" s="136" t="s">
        <v>949</v>
      </c>
      <c r="AC63" s="139" t="str">
        <f>IF(H63=$M$1,"SI","NO")</f>
        <v>NO</v>
      </c>
      <c r="AD63" s="139"/>
      <c r="AE63" s="138"/>
      <c r="AF63" s="138"/>
      <c r="AG63" s="138" t="str">
        <f>IF(COUNTIF(C63,"*preso*")&gt;0,"SI","NO")</f>
        <v>NO</v>
      </c>
      <c r="AH63" s="263">
        <f>NroOrden(N63)</f>
        <v>4</v>
      </c>
      <c r="AI63" s="138"/>
      <c r="AJ63" s="48" t="str">
        <f ca="1">IF(OR(Y63="NO",Y63="LIMBO"),"IMP","NOIMP")</f>
        <v>NOIMP</v>
      </c>
      <c r="AK63" s="5"/>
    </row>
    <row r="64" spans="1:37" ht="127.5" hidden="1">
      <c r="A64" s="138">
        <v>139</v>
      </c>
      <c r="B64" s="137" t="s">
        <v>1082</v>
      </c>
      <c r="C64" s="207" t="s">
        <v>501</v>
      </c>
      <c r="D64" s="138" t="s">
        <v>1083</v>
      </c>
      <c r="E64" s="136" t="s">
        <v>1084</v>
      </c>
      <c r="F64" s="140">
        <v>45114</v>
      </c>
      <c r="G64" s="138" t="s">
        <v>1065</v>
      </c>
      <c r="H64" s="136" t="s">
        <v>111</v>
      </c>
      <c r="I64" s="217"/>
      <c r="J64" s="217"/>
      <c r="K64" s="138" t="s">
        <v>111</v>
      </c>
      <c r="L64" s="190"/>
      <c r="M64" s="137" t="s">
        <v>111</v>
      </c>
      <c r="N64" s="136" t="s">
        <v>2046</v>
      </c>
      <c r="O64" s="136"/>
      <c r="P64" s="136" t="s">
        <v>1576</v>
      </c>
      <c r="Q64" s="138" t="s">
        <v>111</v>
      </c>
      <c r="R64" s="190"/>
      <c r="S64" s="136" t="s">
        <v>374</v>
      </c>
      <c r="T64" s="136" t="s">
        <v>1086</v>
      </c>
      <c r="U64" s="136" t="s">
        <v>1087</v>
      </c>
      <c r="V64" s="136" t="s">
        <v>192</v>
      </c>
      <c r="W64" s="136" t="s">
        <v>140</v>
      </c>
      <c r="X64" s="136" t="s">
        <v>111</v>
      </c>
      <c r="Y64" s="195" t="str">
        <f ca="1">IF(I64&lt;&gt;"",IF(I64&lt;=TODAY(),IF(OR(N64="REPROGRAMADA",N64="SUSPENDIDA",N64="EXCLUSION",N64="COLEGIADO"),"NO HECHA",IF(N64=" ","SINRESULTADO","SI")),"NO"),IF(N64="EXCLUSION","NO HECHA","LIMBO"))</f>
        <v>LIMBO</v>
      </c>
      <c r="Z64" s="136" t="str">
        <f>IF($Z$1=I64,"DIASOL", "DIANOSOL")</f>
        <v>DIANOSOL</v>
      </c>
      <c r="AA64" s="136" t="s">
        <v>240</v>
      </c>
      <c r="AB64" s="136" t="s">
        <v>1085</v>
      </c>
      <c r="AC64" s="139" t="str">
        <f>IF(H64=$M$1,"SI","NO")</f>
        <v>NO</v>
      </c>
      <c r="AD64" s="139"/>
      <c r="AE64" s="138"/>
      <c r="AF64" s="138"/>
      <c r="AG64" s="138" t="str">
        <f>IF(COUNTIF(C64,"*preso*")&gt;0,"SI","NO")</f>
        <v>SI</v>
      </c>
      <c r="AH64" s="253">
        <f>NroOrden(N64)</f>
        <v>4</v>
      </c>
      <c r="AI64" s="138"/>
      <c r="AJ64" s="48" t="str">
        <f ca="1">IF(OR(Y64="NO",Y64="LIMBO"),"IMP","NOIMP")</f>
        <v>IMP</v>
      </c>
      <c r="AK64" s="5"/>
    </row>
    <row r="65" spans="1:37" ht="78" hidden="1" customHeight="1">
      <c r="A65" s="138">
        <v>194</v>
      </c>
      <c r="B65" s="137" t="s">
        <v>1385</v>
      </c>
      <c r="C65" s="207" t="s">
        <v>501</v>
      </c>
      <c r="D65" s="136" t="s">
        <v>1387</v>
      </c>
      <c r="E65" s="136" t="s">
        <v>1386</v>
      </c>
      <c r="F65" s="140">
        <v>45154</v>
      </c>
      <c r="G65" s="136" t="s">
        <v>1388</v>
      </c>
      <c r="H65" s="136" t="s">
        <v>111</v>
      </c>
      <c r="I65" s="217"/>
      <c r="J65" s="217"/>
      <c r="K65" s="138" t="s">
        <v>111</v>
      </c>
      <c r="L65" s="190"/>
      <c r="M65" s="137" t="s">
        <v>332</v>
      </c>
      <c r="N65" s="136" t="s">
        <v>2045</v>
      </c>
      <c r="O65" s="136" t="s">
        <v>2051</v>
      </c>
      <c r="P65" s="136" t="s">
        <v>1575</v>
      </c>
      <c r="Q65" s="138" t="s">
        <v>111</v>
      </c>
      <c r="R65" s="190"/>
      <c r="S65" s="136" t="s">
        <v>1390</v>
      </c>
      <c r="T65" s="138"/>
      <c r="U65" s="138"/>
      <c r="V65" s="136" t="s">
        <v>189</v>
      </c>
      <c r="W65" s="136" t="s">
        <v>133</v>
      </c>
      <c r="X65" s="136" t="s">
        <v>111</v>
      </c>
      <c r="Y65" s="195" t="str">
        <f ca="1">IF(I65&lt;&gt;"",IF(I65&lt;=TODAY(),IF(OR(N65="REPROGRAMADA",N65="SUSPENDIDA",N65="EXCLUSION",N65="COLEGIADO"),"NO HECHA",IF(N65=" ","SINRESULTADO","SI")),"NO"),IF(N65="EXCLUSION","NO HECHA","LIMBO"))</f>
        <v>LIMBO</v>
      </c>
      <c r="Z65" s="136" t="str">
        <f>IF($Z$1=I65,"DIASOL", "DIANOSOL")</f>
        <v>DIANOSOL</v>
      </c>
      <c r="AA65" s="136" t="s">
        <v>240</v>
      </c>
      <c r="AB65" s="136" t="s">
        <v>1389</v>
      </c>
      <c r="AC65" s="139" t="str">
        <f>IF(H65=$M$1,"SI","NO")</f>
        <v>NO</v>
      </c>
      <c r="AD65" s="139"/>
      <c r="AE65" s="140">
        <v>45148</v>
      </c>
      <c r="AF65" s="138"/>
      <c r="AG65" s="138" t="str">
        <f>IF(COUNTIF(C65,"*preso*")&gt;0,"SI","NO")</f>
        <v>SI</v>
      </c>
      <c r="AH65" s="253">
        <f>NroOrden(N65)</f>
        <v>4</v>
      </c>
      <c r="AI65" s="138"/>
      <c r="AJ65" s="48" t="str">
        <f ca="1">IF(OR(Y65="NO",Y65="LIMBO"),"IMP","NOIMP")</f>
        <v>IMP</v>
      </c>
      <c r="AK65" s="5"/>
    </row>
    <row r="66" spans="1:37" ht="25.5" hidden="1">
      <c r="A66" s="259">
        <v>283</v>
      </c>
      <c r="B66" s="260" t="s">
        <v>1844</v>
      </c>
      <c r="C66" s="261"/>
      <c r="D66" s="259" t="s">
        <v>1845</v>
      </c>
      <c r="E66" s="259" t="s">
        <v>1846</v>
      </c>
      <c r="F66" s="262">
        <v>45189</v>
      </c>
      <c r="G66" s="259" t="s">
        <v>1848</v>
      </c>
      <c r="H66" s="259" t="s">
        <v>111</v>
      </c>
      <c r="I66" s="260"/>
      <c r="J66" s="260"/>
      <c r="K66" s="259" t="s">
        <v>111</v>
      </c>
      <c r="L66" s="306" t="s">
        <v>111</v>
      </c>
      <c r="M66" s="260" t="s">
        <v>2173</v>
      </c>
      <c r="N66" s="259" t="s">
        <v>2045</v>
      </c>
      <c r="O66" s="259" t="s">
        <v>2051</v>
      </c>
      <c r="P66" s="259"/>
      <c r="Q66" s="259"/>
      <c r="R66" s="306"/>
      <c r="S66" s="259"/>
      <c r="T66" s="259"/>
      <c r="U66" s="259"/>
      <c r="V66" s="259" t="s">
        <v>339</v>
      </c>
      <c r="W66" s="259" t="s">
        <v>135</v>
      </c>
      <c r="X66" s="259" t="s">
        <v>111</v>
      </c>
      <c r="Y66" s="259" t="str">
        <f ca="1">IF(I66&lt;&gt;"",IF(I66&lt;=TODAY(),IF(OR(N66="REPROGRAMADA",N66="SUSPENDIDA",N66="EXCLUSION",N66="COLEGIADO"),"NO HECHA",IF(N66=" ","SINRESULTADO","SI")),"NO"),IF(N66="EXCLUSION","NO HECHA","LIMBO"))</f>
        <v>LIMBO</v>
      </c>
      <c r="Z66" s="259" t="str">
        <f>IF($Z$1=I66,"DIASOL", "DIANOSOL")</f>
        <v>DIANOSOL</v>
      </c>
      <c r="AA66" s="259" t="s">
        <v>240</v>
      </c>
      <c r="AB66" s="259" t="s">
        <v>1847</v>
      </c>
      <c r="AC66" s="259" t="str">
        <f>IF(H66=$M$1,"SI","NO")</f>
        <v>NO</v>
      </c>
      <c r="AD66" s="259"/>
      <c r="AE66" s="262">
        <v>45135</v>
      </c>
      <c r="AF66" s="259"/>
      <c r="AG66" s="259" t="str">
        <f>IF(COUNTIF(C66,"*preso*")&gt;0,"SI","NO")</f>
        <v>NO</v>
      </c>
      <c r="AH66" s="263">
        <f>NroOrden(N66)</f>
        <v>4</v>
      </c>
      <c r="AI66" s="259"/>
      <c r="AJ66" s="251" t="str">
        <f ca="1">IF(OR(Y66="NO",Y66="LIMBO"),"IMP","NOIMP")</f>
        <v>IMP</v>
      </c>
      <c r="AK66" s="5"/>
    </row>
    <row r="67" spans="1:37" ht="63.75" hidden="1">
      <c r="A67" s="160">
        <v>39</v>
      </c>
      <c r="B67" s="161" t="s">
        <v>599</v>
      </c>
      <c r="C67" s="212"/>
      <c r="D67" s="160" t="s">
        <v>600</v>
      </c>
      <c r="E67" s="160" t="s">
        <v>601</v>
      </c>
      <c r="F67" s="266">
        <v>44991</v>
      </c>
      <c r="G67" s="160" t="s">
        <v>602</v>
      </c>
      <c r="H67" s="160" t="s">
        <v>1646</v>
      </c>
      <c r="I67" s="161">
        <v>45058</v>
      </c>
      <c r="J67" s="164">
        <v>0.375</v>
      </c>
      <c r="K67" s="160" t="s">
        <v>363</v>
      </c>
      <c r="L67" s="255"/>
      <c r="M67" s="161" t="s">
        <v>329</v>
      </c>
      <c r="N67" s="160" t="s">
        <v>358</v>
      </c>
      <c r="O67" s="160"/>
      <c r="P67" s="160" t="s">
        <v>603</v>
      </c>
      <c r="Q67" s="160" t="s">
        <v>111</v>
      </c>
      <c r="R67" s="255"/>
      <c r="S67" s="160"/>
      <c r="T67" s="160"/>
      <c r="U67" s="160"/>
      <c r="V67" s="160" t="s">
        <v>186</v>
      </c>
      <c r="W67" s="160" t="s">
        <v>604</v>
      </c>
      <c r="X67" s="160" t="s">
        <v>434</v>
      </c>
      <c r="Y67" s="160" t="str">
        <f ca="1">IF(I67&lt;&gt;"",IF(I67&lt;=TODAY(),IF(OR(N67="REPROGRAMADA",N67="SUSPENDIDA",N67="EXCLUSION",N67="COLEGIADO"),"NO HECHA",IF(N67=" ","SINRESULTADO","SI")),"NO"),IF(N67="EXCLUSION","NO HECHA","LIMBO"))</f>
        <v>SI</v>
      </c>
      <c r="Z67" s="160" t="str">
        <f>IF($Z$1=I67,"DIASOL", "DIANOSOL")</f>
        <v>DIANOSOL</v>
      </c>
      <c r="AA67" s="160" t="s">
        <v>240</v>
      </c>
      <c r="AB67" s="160" t="s">
        <v>606</v>
      </c>
      <c r="AC67" s="160" t="str">
        <f>IF(H67=$M$1,"SI","NO")</f>
        <v>NO</v>
      </c>
      <c r="AD67" s="160"/>
      <c r="AE67" s="160"/>
      <c r="AF67" s="266">
        <v>45064</v>
      </c>
      <c r="AG67" s="160" t="str">
        <f>IF(COUNTIF(C67,"*preso*")&gt;0,"SI","NO")</f>
        <v>NO</v>
      </c>
      <c r="AH67" s="253">
        <f>NroOrden(N67)</f>
        <v>25</v>
      </c>
      <c r="AI67" s="160" t="s">
        <v>607</v>
      </c>
      <c r="AJ67" s="48" t="str">
        <f ca="1">IF(OR(Y67="NO",Y67="LIMBO"),"IMP","NOIMP")</f>
        <v>NOIMP</v>
      </c>
      <c r="AK67" s="5"/>
    </row>
    <row r="68" spans="1:37" ht="38.25" hidden="1">
      <c r="A68" s="160">
        <v>98</v>
      </c>
      <c r="B68" s="161" t="s">
        <v>486</v>
      </c>
      <c r="C68" s="212"/>
      <c r="D68" s="160" t="s">
        <v>487</v>
      </c>
      <c r="E68" s="160" t="s">
        <v>488</v>
      </c>
      <c r="F68" s="266">
        <v>45086</v>
      </c>
      <c r="G68" s="160" t="s">
        <v>489</v>
      </c>
      <c r="H68" s="160" t="s">
        <v>111</v>
      </c>
      <c r="I68" s="161">
        <v>45131</v>
      </c>
      <c r="J68" s="164">
        <v>0.39583333333333331</v>
      </c>
      <c r="K68" s="160" t="s">
        <v>365</v>
      </c>
      <c r="L68" s="255"/>
      <c r="M68" s="161" t="s">
        <v>332</v>
      </c>
      <c r="N68" s="160" t="s">
        <v>358</v>
      </c>
      <c r="O68" s="160" t="s">
        <v>2049</v>
      </c>
      <c r="P68" s="160" t="s">
        <v>938</v>
      </c>
      <c r="Q68" s="160" t="s">
        <v>111</v>
      </c>
      <c r="R68" s="255"/>
      <c r="S68" s="160"/>
      <c r="T68" s="160"/>
      <c r="U68" s="160"/>
      <c r="V68" s="160" t="s">
        <v>182</v>
      </c>
      <c r="W68" s="160" t="s">
        <v>490</v>
      </c>
      <c r="X68" s="160" t="s">
        <v>111</v>
      </c>
      <c r="Y68" s="160" t="str">
        <f ca="1">IF(I68&lt;&gt;"",IF(I68&lt;=TODAY(),IF(OR(N68="REPROGRAMADA",N68="SUSPENDIDA",N68="EXCLUSION",N68="COLEGIADO"),"NO HECHA",IF(N68=" ","SINRESULTADO","SI")),"NO"),IF(N68="EXCLUSION","NO HECHA","LIMBO"))</f>
        <v>SI</v>
      </c>
      <c r="Z68" s="160" t="str">
        <f>IF($Z$1=I68,"DIASOL", "DIANOSOL")</f>
        <v>DIANOSOL</v>
      </c>
      <c r="AA68" s="160" t="s">
        <v>240</v>
      </c>
      <c r="AB68" s="160" t="s">
        <v>491</v>
      </c>
      <c r="AC68" s="160" t="str">
        <f>IF(H68=$M$1,"SI","NO")</f>
        <v>NO</v>
      </c>
      <c r="AD68" s="160"/>
      <c r="AE68" s="160"/>
      <c r="AF68" s="160"/>
      <c r="AG68" s="160" t="str">
        <f>IF(COUNTIF(C68,"*preso*")&gt;0,"SI","NO")</f>
        <v>NO</v>
      </c>
      <c r="AH68" s="253">
        <f>NroOrden(N68)</f>
        <v>25</v>
      </c>
      <c r="AI68" s="160"/>
      <c r="AJ68" s="48" t="str">
        <f ca="1">IF(OR(Y68="NO",Y68="LIMBO"),"IMP","NOIMP")</f>
        <v>NOIMP</v>
      </c>
      <c r="AK68" s="5"/>
    </row>
    <row r="69" spans="1:37" ht="38.25" hidden="1">
      <c r="A69" s="160">
        <v>68</v>
      </c>
      <c r="B69" s="161" t="s">
        <v>770</v>
      </c>
      <c r="C69" s="212"/>
      <c r="D69" s="160" t="s">
        <v>771</v>
      </c>
      <c r="E69" s="160" t="s">
        <v>772</v>
      </c>
      <c r="F69" s="266">
        <v>45093</v>
      </c>
      <c r="G69" s="160" t="s">
        <v>773</v>
      </c>
      <c r="H69" s="160" t="s">
        <v>1643</v>
      </c>
      <c r="I69" s="161">
        <v>45140</v>
      </c>
      <c r="J69" s="164">
        <v>0.5</v>
      </c>
      <c r="K69" s="160" t="s">
        <v>365</v>
      </c>
      <c r="L69" s="255"/>
      <c r="M69" s="161" t="s">
        <v>331</v>
      </c>
      <c r="N69" s="160" t="s">
        <v>358</v>
      </c>
      <c r="O69" s="160" t="s">
        <v>2049</v>
      </c>
      <c r="P69" s="160" t="s">
        <v>1343</v>
      </c>
      <c r="Q69" s="160" t="s">
        <v>111</v>
      </c>
      <c r="R69" s="255"/>
      <c r="S69" s="160"/>
      <c r="T69" s="160"/>
      <c r="U69" s="160"/>
      <c r="V69" s="160" t="s">
        <v>185</v>
      </c>
      <c r="W69" s="160" t="s">
        <v>118</v>
      </c>
      <c r="X69" s="160" t="s">
        <v>111</v>
      </c>
      <c r="Y69" s="160" t="str">
        <f ca="1">IF(I69&lt;&gt;"",IF(I69&lt;=TODAY(),IF(OR(N69="REPROGRAMADA",N69="SUSPENDIDA",N69="EXCLUSION",N69="COLEGIADO"),"NO HECHA",IF(N69=" ","SINRESULTADO","SI")),"NO"),IF(N69="EXCLUSION","NO HECHA","LIMBO"))</f>
        <v>SI</v>
      </c>
      <c r="Z69" s="160" t="str">
        <f>IF($Z$1=I69,"DIASOL", "DIANOSOL")</f>
        <v>DIANOSOL</v>
      </c>
      <c r="AA69" s="160" t="s">
        <v>240</v>
      </c>
      <c r="AB69" s="160" t="s">
        <v>774</v>
      </c>
      <c r="AC69" s="160" t="str">
        <f>IF(H69=$M$1,"SI","NO")</f>
        <v>NO</v>
      </c>
      <c r="AD69" s="160"/>
      <c r="AE69" s="160"/>
      <c r="AF69" s="266">
        <v>45140</v>
      </c>
      <c r="AG69" s="160" t="str">
        <f>IF(COUNTIF(C69,"*preso*")&gt;0,"SI","NO")</f>
        <v>NO</v>
      </c>
      <c r="AH69" s="253">
        <f>NroOrden(N69)</f>
        <v>25</v>
      </c>
      <c r="AI69" s="160" t="s">
        <v>1344</v>
      </c>
      <c r="AJ69" s="48" t="str">
        <f ca="1">IF(OR(Y69="NO",Y69="LIMBO"),"IMP","NOIMP")</f>
        <v>NOIMP</v>
      </c>
      <c r="AK69" s="5"/>
    </row>
    <row r="70" spans="1:37" ht="67.5" hidden="1" customHeight="1">
      <c r="A70" s="160">
        <v>113</v>
      </c>
      <c r="B70" s="161" t="s">
        <v>962</v>
      </c>
      <c r="C70" s="211"/>
      <c r="D70" s="160" t="s">
        <v>1429</v>
      </c>
      <c r="E70" s="160" t="s">
        <v>573</v>
      </c>
      <c r="F70" s="266">
        <v>45104</v>
      </c>
      <c r="G70" s="160" t="s">
        <v>925</v>
      </c>
      <c r="H70" s="160" t="s">
        <v>1649</v>
      </c>
      <c r="I70" s="161">
        <v>45167</v>
      </c>
      <c r="J70" s="161" t="s">
        <v>1275</v>
      </c>
      <c r="K70" s="160" t="s">
        <v>362</v>
      </c>
      <c r="L70" s="186"/>
      <c r="M70" s="161" t="s">
        <v>329</v>
      </c>
      <c r="N70" s="160" t="s">
        <v>358</v>
      </c>
      <c r="O70" s="160" t="s">
        <v>2051</v>
      </c>
      <c r="P70" s="160" t="s">
        <v>2352</v>
      </c>
      <c r="Q70" s="160" t="s">
        <v>111</v>
      </c>
      <c r="R70" s="186"/>
      <c r="S70" s="160"/>
      <c r="T70" s="160"/>
      <c r="U70" s="160"/>
      <c r="V70" s="160" t="s">
        <v>345</v>
      </c>
      <c r="W70" s="160" t="s">
        <v>141</v>
      </c>
      <c r="X70" s="160" t="s">
        <v>111</v>
      </c>
      <c r="Y70" s="191" t="str">
        <f ca="1">IF(I70&lt;&gt;"",IF(I70&lt;=TODAY(),IF(OR(N70="REPROGRAMADA",N70="SUSPENDIDA",N70="EXCLUSION",N70="COLEGIADO"),"NO HECHA",IF(N70=" ","SINRESULTADO","SI")),"NO"),IF(N70="EXCLUSION","NO HECHA","LIMBO"))</f>
        <v>SI</v>
      </c>
      <c r="Z70" s="142" t="str">
        <f>IF($Z$1=I70,"DIASOL", "DIANOSOL")</f>
        <v>DIANOSOL</v>
      </c>
      <c r="AA70" s="160" t="s">
        <v>240</v>
      </c>
      <c r="AB70" s="160"/>
      <c r="AC70" s="145" t="str">
        <f>IF(H70=$M$1,"SI","NO")</f>
        <v>NO</v>
      </c>
      <c r="AD70" s="145"/>
      <c r="AE70" s="160"/>
      <c r="AF70" s="266">
        <v>45222</v>
      </c>
      <c r="AG70" s="144" t="str">
        <f>IF(COUNTIF(C70,"*preso*")&gt;0,"SI","NO")</f>
        <v>NO</v>
      </c>
      <c r="AH70" s="269">
        <f>NroOrden(N70)</f>
        <v>25</v>
      </c>
      <c r="AI70" s="160"/>
      <c r="AJ70" s="48" t="str">
        <f ca="1">IF(OR(Y70="NO",Y70="LIMBO"),"IMP","NOIMP")</f>
        <v>NOIMP</v>
      </c>
      <c r="AK70" s="5"/>
    </row>
    <row r="71" spans="1:37" ht="25.5" hidden="1">
      <c r="A71" s="160">
        <v>207</v>
      </c>
      <c r="B71" s="161" t="s">
        <v>927</v>
      </c>
      <c r="C71" s="211"/>
      <c r="D71" s="160" t="s">
        <v>928</v>
      </c>
      <c r="E71" s="160" t="s">
        <v>590</v>
      </c>
      <c r="F71" s="266">
        <v>45068</v>
      </c>
      <c r="G71" s="160" t="s">
        <v>929</v>
      </c>
      <c r="H71" s="160" t="s">
        <v>1646</v>
      </c>
      <c r="I71" s="161">
        <v>45195</v>
      </c>
      <c r="J71" s="161" t="s">
        <v>282</v>
      </c>
      <c r="K71" s="160" t="s">
        <v>363</v>
      </c>
      <c r="L71" s="186"/>
      <c r="M71" s="161" t="s">
        <v>329</v>
      </c>
      <c r="N71" s="160" t="s">
        <v>358</v>
      </c>
      <c r="O71" s="160" t="s">
        <v>2049</v>
      </c>
      <c r="P71" s="160"/>
      <c r="Q71" s="160" t="s">
        <v>111</v>
      </c>
      <c r="R71" s="186"/>
      <c r="S71" s="160"/>
      <c r="T71" s="160"/>
      <c r="U71" s="160"/>
      <c r="V71" s="160" t="s">
        <v>346</v>
      </c>
      <c r="W71" s="160" t="s">
        <v>141</v>
      </c>
      <c r="X71" s="160" t="s">
        <v>111</v>
      </c>
      <c r="Y71" s="160" t="str">
        <f ca="1">IF(I71&lt;&gt;"",IF(I71&lt;=TODAY(),IF(OR(N71="REPROGRAMADA",N71="SUSPENDIDA",N71="EXCLUSION",N71="COLEGIADO"),"NO HECHA",IF(N71=" ","SINRESULTADO","SI")),"NO"),IF(N71="EXCLUSION","NO HECHA","LIMBO"))</f>
        <v>SI</v>
      </c>
      <c r="Z71" s="160" t="str">
        <f>IF($Z$1=I71,"DIASOL", "DIANOSOL")</f>
        <v>DIANOSOL</v>
      </c>
      <c r="AA71" s="160" t="s">
        <v>240</v>
      </c>
      <c r="AB71" s="160" t="s">
        <v>930</v>
      </c>
      <c r="AC71" s="160" t="str">
        <f>IF(H71=$M$1,"SI","NO")</f>
        <v>NO</v>
      </c>
      <c r="AD71" s="160"/>
      <c r="AE71" s="266">
        <v>45064</v>
      </c>
      <c r="AF71" s="266">
        <v>45205</v>
      </c>
      <c r="AG71" s="160" t="str">
        <f>IF(COUNTIF(C71,"*preso*")&gt;0,"SI","NO")</f>
        <v>NO</v>
      </c>
      <c r="AH71" s="264">
        <f>NroOrden(N71)</f>
        <v>25</v>
      </c>
      <c r="AI71" s="160"/>
      <c r="AJ71" s="48" t="str">
        <f ca="1">IF(OR(Y71="NO",Y71="LIMBO"),"IMP","NOIMP")</f>
        <v>NOIMP</v>
      </c>
      <c r="AK71" s="5"/>
    </row>
    <row r="72" spans="1:37" ht="25.5" hidden="1">
      <c r="A72" s="160">
        <v>259</v>
      </c>
      <c r="B72" s="161" t="s">
        <v>1746</v>
      </c>
      <c r="C72" s="211"/>
      <c r="D72" s="160" t="s">
        <v>1747</v>
      </c>
      <c r="E72" s="160" t="s">
        <v>1748</v>
      </c>
      <c r="F72" s="266">
        <v>45177</v>
      </c>
      <c r="G72" s="160" t="s">
        <v>1753</v>
      </c>
      <c r="H72" s="160" t="s">
        <v>1642</v>
      </c>
      <c r="I72" s="161">
        <v>45219</v>
      </c>
      <c r="J72" s="161" t="s">
        <v>1182</v>
      </c>
      <c r="K72" s="160" t="s">
        <v>363</v>
      </c>
      <c r="L72" s="186" t="s">
        <v>1664</v>
      </c>
      <c r="M72" s="161" t="s">
        <v>329</v>
      </c>
      <c r="N72" s="160" t="s">
        <v>358</v>
      </c>
      <c r="O72" s="160" t="s">
        <v>2049</v>
      </c>
      <c r="P72" s="160"/>
      <c r="Q72" s="160"/>
      <c r="R72" s="186"/>
      <c r="S72" s="160"/>
      <c r="T72" s="160"/>
      <c r="U72" s="160"/>
      <c r="V72" s="160" t="s">
        <v>191</v>
      </c>
      <c r="W72" s="160" t="s">
        <v>169</v>
      </c>
      <c r="X72" s="160" t="s">
        <v>111</v>
      </c>
      <c r="Y72" s="160" t="str">
        <f ca="1">IF(I72&lt;&gt;"",IF(I72&lt;=TODAY(),IF(OR(N72="REPROGRAMADA",N72="SUSPENDIDA",N72="EXCLUSION",N72="COLEGIADO"),"NO HECHA",IF(N72=" ","SINRESULTADO","SI")),"NO"),IF(N72="EXCLUSION","NO HECHA","LIMBO"))</f>
        <v>SI</v>
      </c>
      <c r="Z72" s="160" t="str">
        <f>IF($Z$1=I72,"DIASOL", "DIANOSOL")</f>
        <v>DIANOSOL</v>
      </c>
      <c r="AA72" s="160" t="s">
        <v>240</v>
      </c>
      <c r="AB72" s="160"/>
      <c r="AC72" s="160" t="str">
        <f>IF(H72=$M$1,"SI","NO")</f>
        <v>NO</v>
      </c>
      <c r="AD72" s="160"/>
      <c r="AE72" s="266">
        <v>45177</v>
      </c>
      <c r="AF72" s="160"/>
      <c r="AG72" s="160" t="str">
        <f>IF(COUNTIF(C72,"*preso*")&gt;0,"SI","NO")</f>
        <v>NO</v>
      </c>
      <c r="AH72" s="264">
        <f>NroOrden(N72)</f>
        <v>25</v>
      </c>
      <c r="AI72" s="160"/>
      <c r="AJ72" s="186" t="str">
        <f ca="1">IF(OR(Y72="NO",Y72="LIMBO"),"IMP","NOIMP")</f>
        <v>NOIMP</v>
      </c>
      <c r="AK72" s="5"/>
    </row>
    <row r="73" spans="1:37" ht="147" hidden="1" customHeight="1">
      <c r="A73" s="160">
        <v>321</v>
      </c>
      <c r="B73" s="161" t="s">
        <v>1371</v>
      </c>
      <c r="C73" s="211"/>
      <c r="D73" s="160" t="s">
        <v>1372</v>
      </c>
      <c r="E73" s="160" t="s">
        <v>1373</v>
      </c>
      <c r="F73" s="266">
        <v>45149</v>
      </c>
      <c r="G73" s="160" t="s">
        <v>1374</v>
      </c>
      <c r="H73" s="160" t="s">
        <v>1643</v>
      </c>
      <c r="I73" s="161">
        <v>45219</v>
      </c>
      <c r="J73" s="161" t="s">
        <v>309</v>
      </c>
      <c r="K73" s="160" t="s">
        <v>1667</v>
      </c>
      <c r="L73" s="186" t="s">
        <v>2009</v>
      </c>
      <c r="M73" s="161" t="s">
        <v>332</v>
      </c>
      <c r="N73" s="160" t="s">
        <v>358</v>
      </c>
      <c r="O73" s="160" t="s">
        <v>2051</v>
      </c>
      <c r="P73" s="160"/>
      <c r="Q73" s="160"/>
      <c r="R73" s="186"/>
      <c r="S73" s="160"/>
      <c r="T73" s="160"/>
      <c r="U73" s="160"/>
      <c r="V73" s="160" t="s">
        <v>1280</v>
      </c>
      <c r="W73" s="160" t="s">
        <v>116</v>
      </c>
      <c r="X73" s="160" t="s">
        <v>111</v>
      </c>
      <c r="Y73" s="160" t="str">
        <f ca="1">IF(I73&lt;&gt;"",IF(I73&lt;=TODAY(),IF(OR(N73="REPROGRAMADA",N73="SUSPENDIDA",N73="EXCLUSION",N73="COLEGIADO"),"NO HECHA",IF(N73=" ","SINRESULTADO","SI")),"NO"),IF(N73="EXCLUSION","NO HECHA","LIMBO"))</f>
        <v>SI</v>
      </c>
      <c r="Z73" s="160" t="str">
        <f>IF($Z$1=I73,"DIASOL", "DIANOSOL")</f>
        <v>DIANOSOL</v>
      </c>
      <c r="AA73" s="160" t="s">
        <v>240</v>
      </c>
      <c r="AB73" s="160" t="s">
        <v>1375</v>
      </c>
      <c r="AC73" s="160" t="str">
        <f>IF(H73=$M$1,"SI","NO")</f>
        <v>NO</v>
      </c>
      <c r="AD73" s="160"/>
      <c r="AE73" s="160"/>
      <c r="AF73" s="160"/>
      <c r="AG73" s="160" t="str">
        <f>IF(COUNTIF(C73,"*preso*")&gt;0,"SI","NO")</f>
        <v>NO</v>
      </c>
      <c r="AH73" s="264">
        <f>NroOrden(N73)</f>
        <v>25</v>
      </c>
      <c r="AI73" s="160"/>
      <c r="AJ73" s="186" t="str">
        <f ca="1">IF(OR(Y73="NO",Y73="LIMBO"),"IMP","NOIMP")</f>
        <v>NOIMP</v>
      </c>
      <c r="AK73" s="5"/>
    </row>
    <row r="74" spans="1:37" ht="55.5" hidden="1" customHeight="1">
      <c r="A74" s="160">
        <v>307</v>
      </c>
      <c r="B74" s="161" t="s">
        <v>910</v>
      </c>
      <c r="C74" s="211"/>
      <c r="D74" s="160" t="s">
        <v>911</v>
      </c>
      <c r="E74" s="160" t="s">
        <v>912</v>
      </c>
      <c r="F74" s="266">
        <v>45104</v>
      </c>
      <c r="G74" s="160" t="s">
        <v>913</v>
      </c>
      <c r="H74" s="160" t="s">
        <v>1643</v>
      </c>
      <c r="I74" s="161">
        <v>45223</v>
      </c>
      <c r="J74" s="161" t="s">
        <v>396</v>
      </c>
      <c r="K74" s="160" t="s">
        <v>362</v>
      </c>
      <c r="L74" s="186" t="s">
        <v>1664</v>
      </c>
      <c r="M74" s="161" t="s">
        <v>329</v>
      </c>
      <c r="N74" s="160" t="s">
        <v>358</v>
      </c>
      <c r="O74" s="160" t="s">
        <v>2049</v>
      </c>
      <c r="P74" s="160"/>
      <c r="Q74" s="160"/>
      <c r="R74" s="186"/>
      <c r="S74" s="160"/>
      <c r="T74" s="160"/>
      <c r="U74" s="160"/>
      <c r="V74" s="160" t="s">
        <v>194</v>
      </c>
      <c r="W74" s="160" t="s">
        <v>915</v>
      </c>
      <c r="X74" s="160" t="s">
        <v>111</v>
      </c>
      <c r="Y74" s="160" t="str">
        <f ca="1">IF(I74&lt;&gt;"",IF(I74&lt;=TODAY(),IF(OR(N74="REPROGRAMADA",N74="SUSPENDIDA",N74="EXCLUSION",N74="COLEGIADO"),"NO HECHA",IF(N74=" ","SINRESULTADO","SI")),"NO"),IF(N74="EXCLUSION","NO HECHA","LIMBO"))</f>
        <v>SI</v>
      </c>
      <c r="Z74" s="160" t="str">
        <f>IF($Z$1=I74,"DIASOL", "DIANOSOL")</f>
        <v>DIANOSOL</v>
      </c>
      <c r="AA74" s="160" t="s">
        <v>240</v>
      </c>
      <c r="AB74" s="160" t="s">
        <v>916</v>
      </c>
      <c r="AC74" s="160" t="str">
        <f>IF(H74=$M$1,"SI","NO")</f>
        <v>NO</v>
      </c>
      <c r="AD74" s="160"/>
      <c r="AE74" s="160"/>
      <c r="AF74" s="160"/>
      <c r="AG74" s="160" t="str">
        <f>IF(COUNTIF(C74,"*preso*")&gt;0,"SI","NO")</f>
        <v>NO</v>
      </c>
      <c r="AH74" s="264">
        <f>NroOrden(N74)</f>
        <v>25</v>
      </c>
      <c r="AI74" s="160"/>
      <c r="AJ74" s="186" t="str">
        <f ca="1">IF(OR(Y74="NO",Y74="LIMBO"),"IMP","NOIMP")</f>
        <v>NOIMP</v>
      </c>
      <c r="AK74" s="5"/>
    </row>
    <row r="75" spans="1:37" ht="102" hidden="1">
      <c r="A75" s="160">
        <v>1</v>
      </c>
      <c r="B75" s="161" t="s">
        <v>366</v>
      </c>
      <c r="C75" s="211" t="s">
        <v>367</v>
      </c>
      <c r="D75" s="160" t="s">
        <v>368</v>
      </c>
      <c r="E75" s="160" t="s">
        <v>369</v>
      </c>
      <c r="F75" s="266">
        <v>44999</v>
      </c>
      <c r="G75" s="160" t="s">
        <v>386</v>
      </c>
      <c r="H75" s="160" t="s">
        <v>1643</v>
      </c>
      <c r="I75" s="161">
        <v>45005</v>
      </c>
      <c r="J75" s="160" t="s">
        <v>15</v>
      </c>
      <c r="K75" s="160" t="s">
        <v>362</v>
      </c>
      <c r="L75" s="255"/>
      <c r="M75" s="161" t="s">
        <v>328</v>
      </c>
      <c r="N75" s="160" t="s">
        <v>356</v>
      </c>
      <c r="O75" s="160" t="s">
        <v>2049</v>
      </c>
      <c r="P75" s="160" t="s">
        <v>379</v>
      </c>
      <c r="Q75" s="254"/>
      <c r="R75" s="255"/>
      <c r="S75" s="164" t="s">
        <v>373</v>
      </c>
      <c r="T75" s="266">
        <v>44944</v>
      </c>
      <c r="U75" s="160"/>
      <c r="V75" s="160" t="s">
        <v>182</v>
      </c>
      <c r="W75" s="160" t="s">
        <v>370</v>
      </c>
      <c r="X75" s="160"/>
      <c r="Y75" s="160" t="str">
        <f ca="1">IF(I75&lt;&gt;"",IF(I75&lt;=TODAY(),IF(OR(N75="REPROGRAMADA",N75="SUSPENDIDA",N75="EXCLUSION",N75="COLEGIADO"),"NO HECHA",IF(N75=" ","SINRESULTADO","SI")),"NO"),IF(N75="EXCLUSION","NO HECHA","LIMBO"))</f>
        <v>SI</v>
      </c>
      <c r="Z75" s="160" t="str">
        <f>IF($Z$1=I75,"DIASOL", "DIANOSOL")</f>
        <v>DIANOSOL</v>
      </c>
      <c r="AA75" s="160"/>
      <c r="AB75" s="160" t="s">
        <v>371</v>
      </c>
      <c r="AC75" s="160" t="str">
        <f>IF(H75=$M$1,"SI","NO")</f>
        <v>NO</v>
      </c>
      <c r="AD75" s="160">
        <f>IF(I75="",0,MONTH(I75))</f>
        <v>3</v>
      </c>
      <c r="AE75" s="266"/>
      <c r="AF75" s="160"/>
      <c r="AG75" s="254" t="str">
        <f>IF(COUNTIF(C75,"*preso*")&gt;0,"SI","NO")</f>
        <v>SI</v>
      </c>
      <c r="AH75" s="253">
        <f>NroOrden(N75)</f>
        <v>50</v>
      </c>
      <c r="AI75" s="160" t="s">
        <v>380</v>
      </c>
      <c r="AJ75" s="48" t="str">
        <f ca="1">IF(OR(Y75="NO",Y75="LIMBO"),"IMP","NOIMP")</f>
        <v>NOIMP</v>
      </c>
      <c r="AK75" s="5"/>
    </row>
    <row r="76" spans="1:37" ht="76.5" hidden="1">
      <c r="A76" s="160">
        <v>2</v>
      </c>
      <c r="B76" s="161" t="s">
        <v>381</v>
      </c>
      <c r="C76" s="211" t="s">
        <v>367</v>
      </c>
      <c r="D76" s="160" t="s">
        <v>382</v>
      </c>
      <c r="E76" s="160" t="s">
        <v>383</v>
      </c>
      <c r="F76" s="266">
        <v>44999</v>
      </c>
      <c r="G76" s="160" t="s">
        <v>385</v>
      </c>
      <c r="H76" s="160" t="s">
        <v>1646</v>
      </c>
      <c r="I76" s="161">
        <v>45015</v>
      </c>
      <c r="J76" s="160" t="s">
        <v>14</v>
      </c>
      <c r="K76" s="160" t="s">
        <v>363</v>
      </c>
      <c r="L76" s="255"/>
      <c r="M76" s="161" t="s">
        <v>329</v>
      </c>
      <c r="N76" s="160" t="s">
        <v>356</v>
      </c>
      <c r="O76" s="160"/>
      <c r="P76" s="160" t="s">
        <v>389</v>
      </c>
      <c r="Q76" s="160" t="s">
        <v>111</v>
      </c>
      <c r="R76" s="255"/>
      <c r="S76" s="160" t="s">
        <v>374</v>
      </c>
      <c r="T76" s="160" t="s">
        <v>388</v>
      </c>
      <c r="U76" s="160" t="s">
        <v>377</v>
      </c>
      <c r="V76" s="160" t="s">
        <v>100</v>
      </c>
      <c r="W76" s="160" t="s">
        <v>387</v>
      </c>
      <c r="X76" s="160" t="s">
        <v>111</v>
      </c>
      <c r="Y76" s="160" t="str">
        <f ca="1">IF(I76&lt;&gt;"",IF(I76&lt;=TODAY(),IF(OR(N76="REPROGRAMADA",N76="SUSPENDIDA",N76="EXCLUSION",N76="COLEGIADO"),"NO HECHA",IF(N76=" ","SINRESULTADO","SI")),"NO"),IF(N76="EXCLUSION","NO HECHA","LIMBO"))</f>
        <v>SI</v>
      </c>
      <c r="Z76" s="160" t="str">
        <f>IF($Z$1=I76,"DIASOL", "DIANOSOL")</f>
        <v>DIANOSOL</v>
      </c>
      <c r="AA76" s="160" t="s">
        <v>240</v>
      </c>
      <c r="AB76" s="160"/>
      <c r="AC76" s="160" t="str">
        <f>IF(H76=$M$1,"SI","NO")</f>
        <v>NO</v>
      </c>
      <c r="AD76" s="160"/>
      <c r="AE76" s="160"/>
      <c r="AF76" s="160"/>
      <c r="AG76" s="160" t="str">
        <f>IF(COUNTIF(C76,"*preso*")&gt;0,"SI","NO")</f>
        <v>SI</v>
      </c>
      <c r="AH76" s="253">
        <f>NroOrden(N76)</f>
        <v>50</v>
      </c>
      <c r="AI76" s="160" t="s">
        <v>390</v>
      </c>
      <c r="AJ76" s="48" t="str">
        <f ca="1">IF(OR(Y76="NO",Y76="LIMBO"),"IMP","NOIMP")</f>
        <v>NOIMP</v>
      </c>
      <c r="AK76" s="5"/>
    </row>
    <row r="77" spans="1:37" ht="63.75" hidden="1">
      <c r="A77" s="160">
        <v>7</v>
      </c>
      <c r="B77" s="161" t="s">
        <v>419</v>
      </c>
      <c r="C77" s="211" t="s">
        <v>367</v>
      </c>
      <c r="D77" s="160" t="s">
        <v>420</v>
      </c>
      <c r="E77" s="160" t="s">
        <v>421</v>
      </c>
      <c r="F77" s="266">
        <v>44981</v>
      </c>
      <c r="G77" s="160" t="s">
        <v>422</v>
      </c>
      <c r="H77" s="160" t="s">
        <v>1643</v>
      </c>
      <c r="I77" s="161">
        <v>45035</v>
      </c>
      <c r="J77" s="164">
        <v>0.375</v>
      </c>
      <c r="K77" s="160" t="s">
        <v>362</v>
      </c>
      <c r="L77" s="255"/>
      <c r="M77" s="161" t="s">
        <v>330</v>
      </c>
      <c r="N77" s="160" t="s">
        <v>356</v>
      </c>
      <c r="O77" s="160"/>
      <c r="P77" s="160" t="s">
        <v>427</v>
      </c>
      <c r="Q77" s="160" t="s">
        <v>111</v>
      </c>
      <c r="R77" s="255"/>
      <c r="S77" s="160" t="s">
        <v>374</v>
      </c>
      <c r="T77" s="160" t="s">
        <v>425</v>
      </c>
      <c r="U77" s="160" t="s">
        <v>426</v>
      </c>
      <c r="V77" s="160" t="s">
        <v>190</v>
      </c>
      <c r="W77" s="160" t="s">
        <v>423</v>
      </c>
      <c r="X77" s="160" t="s">
        <v>111</v>
      </c>
      <c r="Y77" s="160" t="str">
        <f ca="1">IF(I77&lt;&gt;"",IF(I77&lt;=TODAY(),IF(OR(N77="REPROGRAMADA",N77="SUSPENDIDA",N77="EXCLUSION",N77="COLEGIADO"),"NO HECHA",IF(N77=" ","SINRESULTADO","SI")),"NO"),IF(N77="EXCLUSION","NO HECHA","LIMBO"))</f>
        <v>SI</v>
      </c>
      <c r="Z77" s="160" t="str">
        <f>IF($Z$1=I77,"DIASOL", "DIANOSOL")</f>
        <v>DIANOSOL</v>
      </c>
      <c r="AA77" s="160" t="s">
        <v>240</v>
      </c>
      <c r="AB77" s="160" t="s">
        <v>424</v>
      </c>
      <c r="AC77" s="160" t="str">
        <f>IF(H77=$M$1,"SI","NO")</f>
        <v>NO</v>
      </c>
      <c r="AD77" s="160"/>
      <c r="AE77" s="160"/>
      <c r="AF77" s="160"/>
      <c r="AG77" s="160" t="str">
        <f>IF(COUNTIF(C77,"*preso*")&gt;0,"SI","NO")</f>
        <v>SI</v>
      </c>
      <c r="AH77" s="253">
        <f>NroOrden(N77)</f>
        <v>50</v>
      </c>
      <c r="AI77" s="160" t="s">
        <v>428</v>
      </c>
      <c r="AJ77" s="48" t="str">
        <f ca="1">IF(OR(Y77="NO",Y77="LIMBO"),"IMP","NOIMP")</f>
        <v>NOIMP</v>
      </c>
      <c r="AK77" s="5"/>
    </row>
    <row r="78" spans="1:37" ht="51" hidden="1">
      <c r="A78" s="160">
        <v>46</v>
      </c>
      <c r="B78" s="161" t="s">
        <v>656</v>
      </c>
      <c r="C78" s="212"/>
      <c r="D78" s="160" t="s">
        <v>657</v>
      </c>
      <c r="E78" s="160" t="s">
        <v>658</v>
      </c>
      <c r="F78" s="266">
        <v>44974</v>
      </c>
      <c r="G78" s="160"/>
      <c r="H78" s="160" t="s">
        <v>111</v>
      </c>
      <c r="I78" s="161">
        <v>45036</v>
      </c>
      <c r="J78" s="164">
        <v>0.375</v>
      </c>
      <c r="K78" s="160" t="s">
        <v>362</v>
      </c>
      <c r="L78" s="186"/>
      <c r="M78" s="161" t="s">
        <v>330</v>
      </c>
      <c r="N78" s="160" t="s">
        <v>357</v>
      </c>
      <c r="O78" s="160" t="s">
        <v>2051</v>
      </c>
      <c r="P78" s="160" t="s">
        <v>659</v>
      </c>
      <c r="Q78" s="160" t="s">
        <v>111</v>
      </c>
      <c r="R78" s="186"/>
      <c r="S78" s="160"/>
      <c r="T78" s="160"/>
      <c r="U78" s="160"/>
      <c r="V78" s="160" t="s">
        <v>342</v>
      </c>
      <c r="W78" s="160" t="s">
        <v>660</v>
      </c>
      <c r="X78" s="160" t="s">
        <v>111</v>
      </c>
      <c r="Y78" s="160" t="str">
        <f ca="1">IF(I78&lt;&gt;"",IF(I78&lt;=TODAY(),IF(OR(N78="REPROGRAMADA",N78="SUSPENDIDA",N78="EXCLUSION",N78="COLEGIADO"),"NO HECHA",IF(N78=" ","SINRESULTADO","SI")),"NO"),IF(N78="EXCLUSION","NO HECHA","LIMBO"))</f>
        <v>SI</v>
      </c>
      <c r="Z78" s="160" t="str">
        <f>IF($Z$1=I78,"DIASOL", "DIANOSOL")</f>
        <v>DIANOSOL</v>
      </c>
      <c r="AA78" s="160" t="s">
        <v>240</v>
      </c>
      <c r="AB78" s="160" t="s">
        <v>661</v>
      </c>
      <c r="AC78" s="160" t="str">
        <f>IF(H78=$M$1,"SI","NO")</f>
        <v>NO</v>
      </c>
      <c r="AD78" s="160"/>
      <c r="AE78" s="160"/>
      <c r="AF78" s="160"/>
      <c r="AG78" s="160" t="str">
        <f>IF(COUNTIF(C78,"*preso*")&gt;0,"SI","NO")</f>
        <v>NO</v>
      </c>
      <c r="AH78" s="264">
        <f>NroOrden(N78)</f>
        <v>50</v>
      </c>
      <c r="AI78" s="160" t="s">
        <v>662</v>
      </c>
      <c r="AJ78" s="186" t="str">
        <f ca="1">IF(OR(Y78="NO",Y78="LIMBO"),"IMP","NOIMP")</f>
        <v>NOIMP</v>
      </c>
      <c r="AK78" s="5"/>
    </row>
    <row r="79" spans="1:37" ht="84" hidden="1" customHeight="1">
      <c r="A79" s="160">
        <v>16</v>
      </c>
      <c r="B79" s="161" t="s">
        <v>471</v>
      </c>
      <c r="C79" s="211" t="s">
        <v>367</v>
      </c>
      <c r="D79" s="160" t="s">
        <v>472</v>
      </c>
      <c r="E79" s="160" t="s">
        <v>473</v>
      </c>
      <c r="F79" s="266">
        <v>44993</v>
      </c>
      <c r="G79" s="160" t="s">
        <v>474</v>
      </c>
      <c r="H79" s="160" t="s">
        <v>326</v>
      </c>
      <c r="I79" s="161">
        <v>45037</v>
      </c>
      <c r="J79" s="160" t="s">
        <v>15</v>
      </c>
      <c r="K79" s="160" t="s">
        <v>362</v>
      </c>
      <c r="L79" s="255"/>
      <c r="M79" s="161" t="s">
        <v>330</v>
      </c>
      <c r="N79" s="160" t="s">
        <v>356</v>
      </c>
      <c r="O79" s="160"/>
      <c r="P79" s="160" t="s">
        <v>477</v>
      </c>
      <c r="Q79" s="160" t="s">
        <v>111</v>
      </c>
      <c r="R79" s="255"/>
      <c r="S79" s="160" t="s">
        <v>374</v>
      </c>
      <c r="T79" s="266">
        <v>44869</v>
      </c>
      <c r="U79" s="160" t="s">
        <v>476</v>
      </c>
      <c r="V79" s="160" t="s">
        <v>191</v>
      </c>
      <c r="W79" s="160" t="s">
        <v>119</v>
      </c>
      <c r="X79" s="160" t="s">
        <v>111</v>
      </c>
      <c r="Y79" s="160" t="str">
        <f ca="1">IF(I79&lt;&gt;"",IF(I79&lt;=TODAY(),IF(OR(N79="REPROGRAMADA",N79="SUSPENDIDA",N79="EXCLUSION",N79="COLEGIADO"),"NO HECHA",IF(N79=" ","SINRESULTADO","SI")),"NO"),IF(N79="EXCLUSION","NO HECHA","LIMBO"))</f>
        <v>SI</v>
      </c>
      <c r="Z79" s="160" t="str">
        <f>IF($Z$1=I79,"DIASOL", "DIANOSOL")</f>
        <v>DIANOSOL</v>
      </c>
      <c r="AA79" s="160" t="s">
        <v>240</v>
      </c>
      <c r="AB79" s="160"/>
      <c r="AC79" s="160" t="str">
        <f>IF(H79=$M$1,"SI","NO")</f>
        <v>NO</v>
      </c>
      <c r="AD79" s="160"/>
      <c r="AE79" s="160"/>
      <c r="AF79" s="160"/>
      <c r="AG79" s="160" t="str">
        <f>IF(COUNTIF(C79,"*preso*")&gt;0,"SI","NO")</f>
        <v>SI</v>
      </c>
      <c r="AH79" s="253">
        <f>NroOrden(N79)</f>
        <v>50</v>
      </c>
      <c r="AI79" s="160" t="s">
        <v>475</v>
      </c>
      <c r="AJ79" s="48" t="str">
        <f ca="1">IF(OR(Y79="NO",Y79="LIMBO"),"IMP","NOIMP")</f>
        <v>NOIMP</v>
      </c>
      <c r="AK79" s="5"/>
    </row>
    <row r="80" spans="1:37" ht="102" hidden="1">
      <c r="A80" s="160">
        <v>27</v>
      </c>
      <c r="B80" s="161" t="s">
        <v>547</v>
      </c>
      <c r="C80" s="211" t="s">
        <v>501</v>
      </c>
      <c r="D80" s="160" t="s">
        <v>548</v>
      </c>
      <c r="E80" s="160" t="s">
        <v>549</v>
      </c>
      <c r="F80" s="266">
        <v>45002</v>
      </c>
      <c r="G80" s="160" t="s">
        <v>550</v>
      </c>
      <c r="H80" s="160" t="s">
        <v>1646</v>
      </c>
      <c r="I80" s="161">
        <v>45040</v>
      </c>
      <c r="J80" s="164">
        <v>0.33333333333333331</v>
      </c>
      <c r="K80" s="160" t="s">
        <v>364</v>
      </c>
      <c r="L80" s="255"/>
      <c r="M80" s="161" t="s">
        <v>328</v>
      </c>
      <c r="N80" s="160" t="s">
        <v>355</v>
      </c>
      <c r="O80" s="160" t="s">
        <v>2049</v>
      </c>
      <c r="P80" s="160" t="s">
        <v>551</v>
      </c>
      <c r="Q80" s="160" t="s">
        <v>111</v>
      </c>
      <c r="R80" s="255"/>
      <c r="S80" s="160" t="s">
        <v>374</v>
      </c>
      <c r="T80" s="160" t="s">
        <v>553</v>
      </c>
      <c r="U80" s="160" t="s">
        <v>554</v>
      </c>
      <c r="V80" s="160" t="s">
        <v>342</v>
      </c>
      <c r="W80" s="160" t="s">
        <v>132</v>
      </c>
      <c r="X80" s="160" t="s">
        <v>111</v>
      </c>
      <c r="Y80" s="160" t="str">
        <f ca="1">IF(I80&lt;&gt;"",IF(I80&lt;=TODAY(),IF(OR(N80="REPROGRAMADA",N80="SUSPENDIDA",N80="EXCLUSION",N80="COLEGIADO"),"NO HECHA",IF(N80=" ","SINRESULTADO","SI")),"NO"),IF(N80="EXCLUSION","NO HECHA","LIMBO"))</f>
        <v>SI</v>
      </c>
      <c r="Z80" s="160" t="str">
        <f>IF($Z$1=I80,"DIASOL", "DIANOSOL")</f>
        <v>DIANOSOL</v>
      </c>
      <c r="AA80" s="160" t="s">
        <v>240</v>
      </c>
      <c r="AB80" s="160" t="s">
        <v>552</v>
      </c>
      <c r="AC80" s="160" t="str">
        <f>IF(H80=$M$1,"SI","NO")</f>
        <v>NO</v>
      </c>
      <c r="AD80" s="160"/>
      <c r="AE80" s="160"/>
      <c r="AF80" s="160"/>
      <c r="AG80" s="160" t="str">
        <f>IF(COUNTIF(C80,"*preso*")&gt;0,"SI","NO")</f>
        <v>SI</v>
      </c>
      <c r="AH80" s="253">
        <f>NroOrden(N80)</f>
        <v>50</v>
      </c>
      <c r="AI80" s="160" t="s">
        <v>555</v>
      </c>
      <c r="AJ80" s="48" t="str">
        <f ca="1">IF(OR(Y80="NO",Y80="LIMBO"),"IMP","NOIMP")</f>
        <v>NOIMP</v>
      </c>
      <c r="AK80" s="5"/>
    </row>
    <row r="81" spans="1:37" ht="114.75" hidden="1">
      <c r="A81" s="98">
        <v>41</v>
      </c>
      <c r="B81" s="99" t="s">
        <v>617</v>
      </c>
      <c r="C81" s="209" t="s">
        <v>619</v>
      </c>
      <c r="D81" s="98" t="s">
        <v>618</v>
      </c>
      <c r="E81" s="98" t="s">
        <v>620</v>
      </c>
      <c r="F81" s="153">
        <v>44994</v>
      </c>
      <c r="G81" s="98"/>
      <c r="H81" s="98" t="s">
        <v>111</v>
      </c>
      <c r="I81" s="99">
        <v>45040</v>
      </c>
      <c r="J81" s="141">
        <v>0.33333333333333331</v>
      </c>
      <c r="K81" s="98" t="s">
        <v>362</v>
      </c>
      <c r="L81" s="194"/>
      <c r="M81" s="99" t="s">
        <v>330</v>
      </c>
      <c r="N81" s="98" t="s">
        <v>360</v>
      </c>
      <c r="O81" s="98"/>
      <c r="P81" s="98" t="s">
        <v>621</v>
      </c>
      <c r="Q81" s="98" t="s">
        <v>111</v>
      </c>
      <c r="R81" s="194"/>
      <c r="S81" s="98" t="s">
        <v>626</v>
      </c>
      <c r="T81" s="98" t="s">
        <v>627</v>
      </c>
      <c r="U81" s="98" t="s">
        <v>628</v>
      </c>
      <c r="V81" s="98" t="s">
        <v>194</v>
      </c>
      <c r="W81" s="98" t="s">
        <v>622</v>
      </c>
      <c r="X81" s="98" t="s">
        <v>623</v>
      </c>
      <c r="Y81" s="163" t="str">
        <f ca="1">IF(I81&lt;&gt;"",IF(I81&lt;=TODAY(),IF(OR(N81="REPROGRAMADA",N81="SUSPENDIDA",N81="EXCLUSION",N81="COLEGIADO"),"NO HECHA",IF(N81=" ","SINRESULTADO","SI")),"NO"),IF(N81="EXCLUSION","NO HECHA","LIMBO"))</f>
        <v>NO HECHA</v>
      </c>
      <c r="Z81" s="98" t="str">
        <f>IF($Z$1=I81,"DIASOL", "DIANOSOL")</f>
        <v>DIANOSOL</v>
      </c>
      <c r="AA81" s="98" t="s">
        <v>624</v>
      </c>
      <c r="AB81" s="98" t="s">
        <v>625</v>
      </c>
      <c r="AC81" s="98" t="str">
        <f>IF(H81=$M$1,"SI","NO")</f>
        <v>NO</v>
      </c>
      <c r="AD81" s="98"/>
      <c r="AE81" s="98"/>
      <c r="AF81" s="153">
        <v>45040</v>
      </c>
      <c r="AG81" s="163" t="str">
        <f>IF(COUNTIF(C81,"*preso*")&gt;0,"SI","NO")</f>
        <v>SI</v>
      </c>
      <c r="AH81" s="253">
        <f>NroOrden(N81)</f>
        <v>50</v>
      </c>
      <c r="AI81" s="98" t="s">
        <v>629</v>
      </c>
      <c r="AJ81" s="48" t="str">
        <f ca="1">IF(OR(Y81="NO",Y81="LIMBO"),"IMP","NOIMP")</f>
        <v>NOIMP</v>
      </c>
      <c r="AK81" s="5"/>
    </row>
    <row r="82" spans="1:37" ht="89.25" hidden="1">
      <c r="A82" s="160">
        <v>20</v>
      </c>
      <c r="B82" s="161" t="s">
        <v>500</v>
      </c>
      <c r="C82" s="212" t="s">
        <v>501</v>
      </c>
      <c r="D82" s="160" t="s">
        <v>502</v>
      </c>
      <c r="E82" s="160" t="s">
        <v>503</v>
      </c>
      <c r="F82" s="266">
        <v>44957</v>
      </c>
      <c r="G82" s="160" t="s">
        <v>504</v>
      </c>
      <c r="H82" s="160" t="s">
        <v>1646</v>
      </c>
      <c r="I82" s="161">
        <v>45041</v>
      </c>
      <c r="J82" s="164">
        <v>0.54166666666666663</v>
      </c>
      <c r="K82" s="160" t="s">
        <v>363</v>
      </c>
      <c r="L82" s="255"/>
      <c r="M82" s="161" t="s">
        <v>329</v>
      </c>
      <c r="N82" s="160" t="s">
        <v>356</v>
      </c>
      <c r="O82" s="160"/>
      <c r="P82" s="160" t="s">
        <v>505</v>
      </c>
      <c r="Q82" s="160" t="s">
        <v>111</v>
      </c>
      <c r="R82" s="255"/>
      <c r="S82" s="160" t="s">
        <v>374</v>
      </c>
      <c r="T82" s="160" t="s">
        <v>506</v>
      </c>
      <c r="U82" s="160" t="s">
        <v>507</v>
      </c>
      <c r="V82" s="160" t="s">
        <v>344</v>
      </c>
      <c r="W82" s="160" t="s">
        <v>116</v>
      </c>
      <c r="X82" s="160" t="s">
        <v>111</v>
      </c>
      <c r="Y82" s="160" t="str">
        <f ca="1">IF(I82&lt;&gt;"",IF(I82&lt;=TODAY(),IF(OR(N82="REPROGRAMADA",N82="SUSPENDIDA",N82="EXCLUSION",N82="COLEGIADO"),"NO HECHA",IF(N82=" ","SINRESULTADO","SI")),"NO"),IF(N82="EXCLUSION","NO HECHA","LIMBO"))</f>
        <v>SI</v>
      </c>
      <c r="Z82" s="160" t="str">
        <f>IF($Z$1=I82,"DIASOL", "DIANOSOL")</f>
        <v>DIANOSOL</v>
      </c>
      <c r="AA82" s="160" t="s">
        <v>240</v>
      </c>
      <c r="AB82" s="160"/>
      <c r="AC82" s="160" t="str">
        <f>IF(H82=$M$1,"SI","NO")</f>
        <v>NO</v>
      </c>
      <c r="AD82" s="160"/>
      <c r="AE82" s="160"/>
      <c r="AF82" s="160"/>
      <c r="AG82" s="160" t="str">
        <f>IF(COUNTIF(C82,"*preso*")&gt;0,"SI","NO")</f>
        <v>SI</v>
      </c>
      <c r="AH82" s="253">
        <f>NroOrden(N82)</f>
        <v>50</v>
      </c>
      <c r="AI82" s="160" t="s">
        <v>508</v>
      </c>
      <c r="AJ82" s="48" t="str">
        <f ca="1">IF(OR(Y82="NO",Y82="LIMBO"),"IMP","NOIMP")</f>
        <v>NOIMP</v>
      </c>
      <c r="AK82" s="5"/>
    </row>
    <row r="83" spans="1:37" ht="127.5" hidden="1">
      <c r="A83" s="160">
        <v>25</v>
      </c>
      <c r="B83" s="161" t="s">
        <v>531</v>
      </c>
      <c r="C83" s="211"/>
      <c r="D83" s="160" t="s">
        <v>532</v>
      </c>
      <c r="E83" s="171" t="s">
        <v>533</v>
      </c>
      <c r="F83" s="266">
        <v>44998</v>
      </c>
      <c r="G83" s="160"/>
      <c r="H83" s="160" t="s">
        <v>1646</v>
      </c>
      <c r="I83" s="161">
        <v>45049</v>
      </c>
      <c r="J83" s="164">
        <v>0.45833333333333331</v>
      </c>
      <c r="K83" s="160" t="s">
        <v>364</v>
      </c>
      <c r="L83" s="255"/>
      <c r="M83" s="161" t="s">
        <v>328</v>
      </c>
      <c r="N83" s="160" t="s">
        <v>356</v>
      </c>
      <c r="O83" s="160" t="s">
        <v>2049</v>
      </c>
      <c r="P83" s="160" t="s">
        <v>534</v>
      </c>
      <c r="Q83" s="160" t="s">
        <v>111</v>
      </c>
      <c r="R83" s="255"/>
      <c r="S83" s="160" t="s">
        <v>537</v>
      </c>
      <c r="T83" s="160"/>
      <c r="U83" s="160"/>
      <c r="V83" s="160" t="s">
        <v>339</v>
      </c>
      <c r="W83" s="160" t="s">
        <v>535</v>
      </c>
      <c r="X83" s="160" t="s">
        <v>111</v>
      </c>
      <c r="Y83" s="160" t="str">
        <f ca="1">IF(I83&lt;&gt;"",IF(I83&lt;=TODAY(),IF(OR(N83="REPROGRAMADA",N83="SUSPENDIDA",N83="EXCLUSION",N83="COLEGIADO"),"NO HECHA",IF(N83=" ","SINRESULTADO","SI")),"NO"),IF(N83="EXCLUSION","NO HECHA","LIMBO"))</f>
        <v>SI</v>
      </c>
      <c r="Z83" s="160" t="str">
        <f>IF($Z$1=I83,"DIASOL", "DIANOSOL")</f>
        <v>DIANOSOL</v>
      </c>
      <c r="AA83" s="160" t="s">
        <v>240</v>
      </c>
      <c r="AB83" s="160" t="s">
        <v>536</v>
      </c>
      <c r="AC83" s="160" t="str">
        <f>IF(H83=$M$1,"SI","NO")</f>
        <v>NO</v>
      </c>
      <c r="AD83" s="160"/>
      <c r="AE83" s="160"/>
      <c r="AF83" s="160"/>
      <c r="AG83" s="160" t="str">
        <f>IF(COUNTIF(C83,"*preso*")&gt;0,"SI","NO")</f>
        <v>NO</v>
      </c>
      <c r="AH83" s="253">
        <f>NroOrden(N83)</f>
        <v>50</v>
      </c>
      <c r="AI83" s="160" t="s">
        <v>538</v>
      </c>
      <c r="AJ83" s="48" t="str">
        <f ca="1">IF(OR(Y83="NO",Y83="LIMBO"),"IMP","NOIMP")</f>
        <v>NOIMP</v>
      </c>
      <c r="AK83" s="5"/>
    </row>
    <row r="84" spans="1:37" ht="114.75" hidden="1">
      <c r="A84" s="160">
        <v>30</v>
      </c>
      <c r="B84" s="161" t="s">
        <v>563</v>
      </c>
      <c r="C84" s="212" t="s">
        <v>501</v>
      </c>
      <c r="D84" s="160" t="s">
        <v>564</v>
      </c>
      <c r="E84" s="171" t="s">
        <v>565</v>
      </c>
      <c r="F84" s="266">
        <v>45042</v>
      </c>
      <c r="G84" s="160" t="s">
        <v>566</v>
      </c>
      <c r="H84" s="160" t="s">
        <v>1643</v>
      </c>
      <c r="I84" s="161">
        <v>45056</v>
      </c>
      <c r="J84" s="164">
        <v>0.45833333333333331</v>
      </c>
      <c r="K84" s="160" t="s">
        <v>364</v>
      </c>
      <c r="L84" s="255"/>
      <c r="M84" s="161" t="s">
        <v>328</v>
      </c>
      <c r="N84" s="160" t="s">
        <v>357</v>
      </c>
      <c r="O84" s="160" t="s">
        <v>2049</v>
      </c>
      <c r="P84" s="160"/>
      <c r="Q84" s="160" t="s">
        <v>330</v>
      </c>
      <c r="R84" s="255"/>
      <c r="S84" s="160" t="s">
        <v>374</v>
      </c>
      <c r="T84" s="160" t="s">
        <v>569</v>
      </c>
      <c r="U84" s="160"/>
      <c r="V84" s="160" t="s">
        <v>268</v>
      </c>
      <c r="W84" s="160" t="s">
        <v>567</v>
      </c>
      <c r="X84" s="160"/>
      <c r="Y84" s="160" t="str">
        <f ca="1">IF(I84&lt;&gt;"",IF(I84&lt;=TODAY(),IF(OR(N84="REPROGRAMADA",N84="SUSPENDIDA",N84="EXCLUSION",N84="COLEGIADO"),"NO HECHA",IF(N84=" ","SINRESULTADO","SI")),"NO"),IF(N84="EXCLUSION","NO HECHA","LIMBO"))</f>
        <v>SI</v>
      </c>
      <c r="Z84" s="160" t="str">
        <f>IF($Z$1=I84,"DIASOL", "DIANOSOL")</f>
        <v>DIANOSOL</v>
      </c>
      <c r="AA84" s="160" t="s">
        <v>240</v>
      </c>
      <c r="AB84" s="160" t="s">
        <v>568</v>
      </c>
      <c r="AC84" s="160" t="str">
        <f>IF(H84=$M$1,"SI","NO")</f>
        <v>NO</v>
      </c>
      <c r="AD84" s="160"/>
      <c r="AE84" s="160"/>
      <c r="AF84" s="266">
        <v>45075</v>
      </c>
      <c r="AG84" s="160" t="str">
        <f>IF(COUNTIF(C84,"*preso*")&gt;0,"SI","NO")</f>
        <v>SI</v>
      </c>
      <c r="AH84" s="253">
        <f>NroOrden(N84)</f>
        <v>50</v>
      </c>
      <c r="AI84" s="160" t="s">
        <v>570</v>
      </c>
      <c r="AJ84" s="48" t="str">
        <f ca="1">IF(OR(Y84="NO",Y84="LIMBO"),"IMP","NOIMP")</f>
        <v>NOIMP</v>
      </c>
      <c r="AK84" s="5"/>
    </row>
    <row r="85" spans="1:37" ht="51" hidden="1">
      <c r="A85" s="160">
        <v>34</v>
      </c>
      <c r="B85" s="161" t="s">
        <v>581</v>
      </c>
      <c r="C85" s="212" t="s">
        <v>501</v>
      </c>
      <c r="D85" s="160" t="s">
        <v>582</v>
      </c>
      <c r="E85" s="160" t="s">
        <v>383</v>
      </c>
      <c r="F85" s="266">
        <v>45007</v>
      </c>
      <c r="G85" s="160" t="s">
        <v>583</v>
      </c>
      <c r="H85" s="160" t="s">
        <v>1643</v>
      </c>
      <c r="I85" s="161">
        <v>45057</v>
      </c>
      <c r="J85" s="164">
        <v>0.375</v>
      </c>
      <c r="K85" s="160" t="s">
        <v>362</v>
      </c>
      <c r="L85" s="255"/>
      <c r="M85" s="161" t="s">
        <v>330</v>
      </c>
      <c r="N85" s="160" t="s">
        <v>355</v>
      </c>
      <c r="O85" s="160"/>
      <c r="P85" s="160" t="s">
        <v>584</v>
      </c>
      <c r="Q85" s="160" t="s">
        <v>111</v>
      </c>
      <c r="R85" s="255"/>
      <c r="S85" s="160" t="s">
        <v>374</v>
      </c>
      <c r="T85" s="160" t="s">
        <v>586</v>
      </c>
      <c r="U85" s="160"/>
      <c r="V85" s="160" t="s">
        <v>100</v>
      </c>
      <c r="W85" s="160" t="s">
        <v>585</v>
      </c>
      <c r="X85" s="160" t="s">
        <v>111</v>
      </c>
      <c r="Y85" s="160" t="str">
        <f ca="1">IF(I85&lt;&gt;"",IF(I85&lt;=TODAY(),IF(OR(N85="REPROGRAMADA",N85="SUSPENDIDA",N85="EXCLUSION",N85="COLEGIADO"),"NO HECHA",IF(N85=" ","SINRESULTADO","SI")),"NO"),IF(N85="EXCLUSION","NO HECHA","LIMBO"))</f>
        <v>SI</v>
      </c>
      <c r="Z85" s="160" t="str">
        <f>IF($Z$1=I85,"DIASOL", "DIANOSOL")</f>
        <v>DIANOSOL</v>
      </c>
      <c r="AA85" s="160" t="s">
        <v>240</v>
      </c>
      <c r="AB85" s="160"/>
      <c r="AC85" s="160" t="str">
        <f>IF(H85=$M$1,"SI","NO")</f>
        <v>NO</v>
      </c>
      <c r="AD85" s="160"/>
      <c r="AE85" s="160"/>
      <c r="AF85" s="160"/>
      <c r="AG85" s="160" t="str">
        <f>IF(COUNTIF(C85,"*preso*")&gt;0,"SI","NO")</f>
        <v>SI</v>
      </c>
      <c r="AH85" s="253">
        <f>NroOrden(N85)</f>
        <v>50</v>
      </c>
      <c r="AI85" s="160"/>
      <c r="AJ85" s="48" t="str">
        <f ca="1">IF(OR(Y85="NO",Y85="LIMBO"),"IMP","NOIMP")</f>
        <v>NOIMP</v>
      </c>
      <c r="AK85" s="5"/>
    </row>
    <row r="86" spans="1:37" ht="114.75" hidden="1">
      <c r="A86" s="160">
        <v>42</v>
      </c>
      <c r="B86" s="161" t="s">
        <v>630</v>
      </c>
      <c r="C86" s="212"/>
      <c r="D86" s="160" t="s">
        <v>631</v>
      </c>
      <c r="E86" s="160" t="s">
        <v>632</v>
      </c>
      <c r="F86" s="266">
        <v>44981</v>
      </c>
      <c r="G86" s="160" t="s">
        <v>633</v>
      </c>
      <c r="H86" s="160" t="s">
        <v>1643</v>
      </c>
      <c r="I86" s="161">
        <v>45063</v>
      </c>
      <c r="J86" s="164">
        <v>0.375</v>
      </c>
      <c r="K86" s="160" t="s">
        <v>364</v>
      </c>
      <c r="L86" s="255"/>
      <c r="M86" s="161" t="s">
        <v>328</v>
      </c>
      <c r="N86" s="160" t="s">
        <v>357</v>
      </c>
      <c r="O86" s="160" t="s">
        <v>2049</v>
      </c>
      <c r="P86" s="160"/>
      <c r="Q86" s="160" t="s">
        <v>330</v>
      </c>
      <c r="R86" s="255"/>
      <c r="S86" s="160"/>
      <c r="T86" s="160"/>
      <c r="U86" s="160"/>
      <c r="V86" s="160" t="s">
        <v>194</v>
      </c>
      <c r="W86" s="160" t="s">
        <v>634</v>
      </c>
      <c r="X86" s="160" t="s">
        <v>111</v>
      </c>
      <c r="Y86" s="160" t="str">
        <f ca="1">IF(I86&lt;&gt;"",IF(I86&lt;=TODAY(),IF(OR(N86="REPROGRAMADA",N86="SUSPENDIDA",N86="EXCLUSION",N86="COLEGIADO"),"NO HECHA",IF(N86=" ","SINRESULTADO","SI")),"NO"),IF(N86="EXCLUSION","NO HECHA","LIMBO"))</f>
        <v>SI</v>
      </c>
      <c r="Z86" s="160" t="str">
        <f>IF($Z$1=I86,"DIASOL", "DIANOSOL")</f>
        <v>DIANOSOL</v>
      </c>
      <c r="AA86" s="160" t="s">
        <v>240</v>
      </c>
      <c r="AB86" s="160" t="s">
        <v>635</v>
      </c>
      <c r="AC86" s="160" t="str">
        <f>IF(H86=$M$1,"SI","NO")</f>
        <v>NO</v>
      </c>
      <c r="AD86" s="160"/>
      <c r="AE86" s="160"/>
      <c r="AF86" s="266">
        <v>45068</v>
      </c>
      <c r="AG86" s="160" t="str">
        <f>IF(COUNTIF(C86,"*preso*")&gt;0,"SI","NO")</f>
        <v>NO</v>
      </c>
      <c r="AH86" s="253">
        <f>NroOrden(N86)</f>
        <v>50</v>
      </c>
      <c r="AI86" s="160"/>
      <c r="AJ86" s="48" t="str">
        <f ca="1">IF(OR(Y86="NO",Y86="LIMBO"),"IMP","NOIMP")</f>
        <v>NOIMP</v>
      </c>
      <c r="AK86" s="5"/>
    </row>
    <row r="87" spans="1:37" ht="63.75" hidden="1">
      <c r="A87" s="160">
        <v>44</v>
      </c>
      <c r="B87" s="161" t="s">
        <v>641</v>
      </c>
      <c r="C87" s="212" t="s">
        <v>642</v>
      </c>
      <c r="D87" s="160" t="s">
        <v>643</v>
      </c>
      <c r="E87" s="160" t="s">
        <v>644</v>
      </c>
      <c r="F87" s="266">
        <v>45005</v>
      </c>
      <c r="G87" s="160" t="s">
        <v>645</v>
      </c>
      <c r="H87" s="160" t="s">
        <v>1643</v>
      </c>
      <c r="I87" s="161">
        <v>45064</v>
      </c>
      <c r="J87" s="164">
        <v>0.5</v>
      </c>
      <c r="K87" s="160" t="s">
        <v>364</v>
      </c>
      <c r="L87" s="255"/>
      <c r="M87" s="161" t="s">
        <v>328</v>
      </c>
      <c r="N87" s="160" t="s">
        <v>355</v>
      </c>
      <c r="O87" s="160" t="s">
        <v>2049</v>
      </c>
      <c r="P87" s="160" t="s">
        <v>646</v>
      </c>
      <c r="Q87" s="160" t="s">
        <v>111</v>
      </c>
      <c r="R87" s="255"/>
      <c r="S87" s="160" t="s">
        <v>374</v>
      </c>
      <c r="T87" s="266">
        <v>44980</v>
      </c>
      <c r="U87" s="160" t="s">
        <v>648</v>
      </c>
      <c r="V87" s="160" t="s">
        <v>340</v>
      </c>
      <c r="W87" s="160" t="s">
        <v>125</v>
      </c>
      <c r="X87" s="160" t="s">
        <v>434</v>
      </c>
      <c r="Y87" s="160" t="str">
        <f ca="1">IF(I87&lt;&gt;"",IF(I87&lt;=TODAY(),IF(OR(N87="REPROGRAMADA",N87="SUSPENDIDA",N87="EXCLUSION",N87="COLEGIADO"),"NO HECHA",IF(N87=" ","SINRESULTADO","SI")),"NO"),IF(N87="EXCLUSION","NO HECHA","LIMBO"))</f>
        <v>SI</v>
      </c>
      <c r="Z87" s="160" t="str">
        <f>IF($Z$1=I87,"DIASOL", "DIANOSOL")</f>
        <v>DIANOSOL</v>
      </c>
      <c r="AA87" s="160" t="s">
        <v>240</v>
      </c>
      <c r="AB87" s="160" t="s">
        <v>647</v>
      </c>
      <c r="AC87" s="160" t="str">
        <f>IF(H87=$M$1,"SI","NO")</f>
        <v>NO</v>
      </c>
      <c r="AD87" s="160"/>
      <c r="AE87" s="160"/>
      <c r="AF87" s="266">
        <v>45070</v>
      </c>
      <c r="AG87" s="160" t="str">
        <f>IF(COUNTIF(C87,"*preso*")&gt;0,"SI","NO")</f>
        <v>NO</v>
      </c>
      <c r="AH87" s="253">
        <f>NroOrden(N87)</f>
        <v>50</v>
      </c>
      <c r="AI87" s="160" t="s">
        <v>649</v>
      </c>
      <c r="AJ87" s="48" t="str">
        <f ca="1">IF(OR(Y87="NO",Y87="LIMBO"),"IMP","NOIMP")</f>
        <v>NOIMP</v>
      </c>
      <c r="AK87" s="5"/>
    </row>
    <row r="88" spans="1:37" ht="25.5" hidden="1">
      <c r="A88" s="160">
        <v>47</v>
      </c>
      <c r="B88" s="161" t="s">
        <v>663</v>
      </c>
      <c r="C88" s="212" t="s">
        <v>664</v>
      </c>
      <c r="D88" s="160" t="s">
        <v>665</v>
      </c>
      <c r="E88" s="160" t="s">
        <v>666</v>
      </c>
      <c r="F88" s="266">
        <v>45040</v>
      </c>
      <c r="G88" s="160" t="s">
        <v>667</v>
      </c>
      <c r="H88" s="160" t="s">
        <v>1646</v>
      </c>
      <c r="I88" s="161">
        <v>45065</v>
      </c>
      <c r="J88" s="164">
        <v>0.375</v>
      </c>
      <c r="K88" s="160" t="s">
        <v>363</v>
      </c>
      <c r="L88" s="255"/>
      <c r="M88" s="161" t="s">
        <v>329</v>
      </c>
      <c r="N88" s="160" t="s">
        <v>357</v>
      </c>
      <c r="O88" s="160" t="s">
        <v>2049</v>
      </c>
      <c r="P88" s="160"/>
      <c r="Q88" s="160" t="s">
        <v>328</v>
      </c>
      <c r="R88" s="255"/>
      <c r="S88" s="160"/>
      <c r="T88" s="160"/>
      <c r="U88" s="160"/>
      <c r="V88" s="160" t="s">
        <v>193</v>
      </c>
      <c r="W88" s="160" t="s">
        <v>116</v>
      </c>
      <c r="X88" s="160" t="s">
        <v>111</v>
      </c>
      <c r="Y88" s="160" t="str">
        <f ca="1">IF(I88&lt;&gt;"",IF(I88&lt;=TODAY(),IF(OR(N88="REPROGRAMADA",N88="SUSPENDIDA",N88="EXCLUSION",N88="COLEGIADO"),"NO HECHA",IF(N88=" ","SINRESULTADO","SI")),"NO"),IF(N88="EXCLUSION","NO HECHA","LIMBO"))</f>
        <v>SI</v>
      </c>
      <c r="Z88" s="160" t="str">
        <f>IF($Z$1=I88,"DIASOL", "DIANOSOL")</f>
        <v>DIANOSOL</v>
      </c>
      <c r="AA88" s="160" t="s">
        <v>240</v>
      </c>
      <c r="AB88" s="160" t="s">
        <v>668</v>
      </c>
      <c r="AC88" s="160" t="str">
        <f>IF(H88=$M$1,"SI","NO")</f>
        <v>NO</v>
      </c>
      <c r="AD88" s="160"/>
      <c r="AE88" s="160"/>
      <c r="AF88" s="160"/>
      <c r="AG88" s="160" t="str">
        <f>IF(COUNTIF(C88,"*preso*")&gt;0,"SI","NO")</f>
        <v>NO</v>
      </c>
      <c r="AH88" s="253">
        <f>NroOrden(N88)</f>
        <v>50</v>
      </c>
      <c r="AI88" s="160"/>
      <c r="AJ88" s="48" t="str">
        <f ca="1">IF(OR(Y88="NO",Y88="LIMBO"),"IMP","NOIMP")</f>
        <v>NOIMP</v>
      </c>
      <c r="AK88" s="5"/>
    </row>
    <row r="89" spans="1:37" ht="44.25" hidden="1" customHeight="1">
      <c r="A89" s="98">
        <v>51</v>
      </c>
      <c r="B89" s="99" t="s">
        <v>689</v>
      </c>
      <c r="C89" s="209"/>
      <c r="D89" s="98" t="s">
        <v>690</v>
      </c>
      <c r="E89" s="98" t="s">
        <v>691</v>
      </c>
      <c r="F89" s="153" t="s">
        <v>1531</v>
      </c>
      <c r="G89" s="98"/>
      <c r="H89" s="98"/>
      <c r="I89" s="99">
        <v>45070</v>
      </c>
      <c r="J89" s="141">
        <v>0.41666666666666669</v>
      </c>
      <c r="K89" s="98" t="s">
        <v>363</v>
      </c>
      <c r="L89" s="194"/>
      <c r="M89" s="99" t="s">
        <v>329</v>
      </c>
      <c r="N89" s="98" t="s">
        <v>354</v>
      </c>
      <c r="O89" s="98" t="s">
        <v>2356</v>
      </c>
      <c r="P89" s="98" t="s">
        <v>693</v>
      </c>
      <c r="Q89" s="98" t="s">
        <v>111</v>
      </c>
      <c r="R89" s="194"/>
      <c r="S89" s="98"/>
      <c r="T89" s="98"/>
      <c r="U89" s="98"/>
      <c r="V89" s="98" t="s">
        <v>190</v>
      </c>
      <c r="W89" s="98" t="s">
        <v>423</v>
      </c>
      <c r="X89" s="98" t="s">
        <v>111</v>
      </c>
      <c r="Y89" s="163" t="str">
        <f ca="1">IF(I89&lt;&gt;"",IF(I89&lt;=TODAY(),IF(OR(N89="REPROGRAMADA",N89="SUSPENDIDA",N89="EXCLUSION",N89="COLEGIADO"),"NO HECHA",IF(N89=" ","SINRESULTADO","SI")),"NO"),IF(N89="EXCLUSION","NO HECHA","LIMBO"))</f>
        <v>NO HECHA</v>
      </c>
      <c r="Z89" s="98" t="str">
        <f>IF($Z$1=I89,"DIASOL", "DIANOSOL")</f>
        <v>DIANOSOL</v>
      </c>
      <c r="AA89" s="98" t="s">
        <v>240</v>
      </c>
      <c r="AB89" s="98" t="s">
        <v>694</v>
      </c>
      <c r="AC89" s="98" t="str">
        <f>IF(H89=$M$1,"SI","NO")</f>
        <v>NO</v>
      </c>
      <c r="AD89" s="98"/>
      <c r="AE89" s="98"/>
      <c r="AF89" s="98"/>
      <c r="AG89" s="163" t="str">
        <f>IF(COUNTIF(C89,"*preso*")&gt;0,"SI","NO")</f>
        <v>NO</v>
      </c>
      <c r="AH89" s="265">
        <f>NroOrden(N89)</f>
        <v>50</v>
      </c>
      <c r="AI89" s="98"/>
      <c r="AJ89" s="283" t="str">
        <f ca="1">IF(OR(Y89="NO",Y89="LIMBO"),"IMP","NOIMP")</f>
        <v>NOIMP</v>
      </c>
      <c r="AK89" s="5"/>
    </row>
    <row r="90" spans="1:37" s="5" customFormat="1" ht="51" hidden="1">
      <c r="A90" s="160">
        <v>103</v>
      </c>
      <c r="B90" s="161" t="s">
        <v>863</v>
      </c>
      <c r="C90" s="211"/>
      <c r="D90" s="160" t="s">
        <v>865</v>
      </c>
      <c r="E90" s="160" t="s">
        <v>518</v>
      </c>
      <c r="F90" s="266">
        <v>45064</v>
      </c>
      <c r="G90" s="160" t="s">
        <v>706</v>
      </c>
      <c r="H90" s="160" t="s">
        <v>1646</v>
      </c>
      <c r="I90" s="161">
        <v>45073</v>
      </c>
      <c r="J90" s="161" t="s">
        <v>282</v>
      </c>
      <c r="K90" s="160" t="s">
        <v>364</v>
      </c>
      <c r="L90" s="255"/>
      <c r="M90" s="161" t="s">
        <v>329</v>
      </c>
      <c r="N90" s="160" t="s">
        <v>357</v>
      </c>
      <c r="O90" s="160" t="s">
        <v>2049</v>
      </c>
      <c r="P90" s="160"/>
      <c r="Q90" s="160" t="s">
        <v>328</v>
      </c>
      <c r="R90" s="255"/>
      <c r="S90" s="160"/>
      <c r="T90" s="160"/>
      <c r="U90" s="160"/>
      <c r="V90" s="160" t="s">
        <v>182</v>
      </c>
      <c r="W90" s="160" t="s">
        <v>866</v>
      </c>
      <c r="X90" s="160" t="s">
        <v>111</v>
      </c>
      <c r="Y90" s="160" t="str">
        <f ca="1">IF(I90&lt;&gt;"",IF(I90&lt;=TODAY(),IF(OR(N90="REPROGRAMADA",N90="SUSPENDIDA",N90="EXCLUSION",N90="COLEGIADO"),"NO HECHA",IF(N90=" ","SINRESULTADO","SI")),"NO"),IF(N90="EXCLUSION","NO HECHA","LIMBO"))</f>
        <v>SI</v>
      </c>
      <c r="Z90" s="160" t="str">
        <f>IF($Z$1=I90,"DIASOL", "DIANOSOL")</f>
        <v>DIANOSOL</v>
      </c>
      <c r="AA90" s="160" t="s">
        <v>240</v>
      </c>
      <c r="AB90" s="160" t="s">
        <v>867</v>
      </c>
      <c r="AC90" s="160" t="str">
        <f>IF(H90=$M$1,"SI","NO")</f>
        <v>NO</v>
      </c>
      <c r="AD90" s="160"/>
      <c r="AE90" s="160"/>
      <c r="AF90" s="266">
        <v>45133</v>
      </c>
      <c r="AG90" s="160" t="str">
        <f>IF(COUNTIF(C90,"*preso*")&gt;0,"SI","NO")</f>
        <v>NO</v>
      </c>
      <c r="AH90" s="253">
        <f>NroOrden(N90)</f>
        <v>50</v>
      </c>
      <c r="AI90" s="160"/>
      <c r="AJ90" s="48" t="str">
        <f ca="1">IF(OR(Y90="NO",Y90="LIMBO"),"IMP","NOIMP")</f>
        <v>NOIMP</v>
      </c>
    </row>
    <row r="91" spans="1:37" ht="38.25" hidden="1">
      <c r="A91" s="98">
        <v>56</v>
      </c>
      <c r="B91" s="99" t="s">
        <v>715</v>
      </c>
      <c r="C91" s="209"/>
      <c r="D91" s="98" t="s">
        <v>716</v>
      </c>
      <c r="E91" s="98" t="s">
        <v>717</v>
      </c>
      <c r="F91" s="153"/>
      <c r="G91" s="98"/>
      <c r="H91" s="98" t="s">
        <v>111</v>
      </c>
      <c r="I91" s="99">
        <v>45076</v>
      </c>
      <c r="J91" s="141">
        <v>0.45833333333333331</v>
      </c>
      <c r="K91" s="98" t="s">
        <v>403</v>
      </c>
      <c r="L91" s="194"/>
      <c r="M91" s="99" t="s">
        <v>330</v>
      </c>
      <c r="N91" s="98" t="s">
        <v>354</v>
      </c>
      <c r="O91" s="98" t="s">
        <v>2338</v>
      </c>
      <c r="P91" s="98" t="s">
        <v>718</v>
      </c>
      <c r="Q91" s="98" t="s">
        <v>111</v>
      </c>
      <c r="R91" s="194"/>
      <c r="S91" s="98"/>
      <c r="T91" s="98"/>
      <c r="U91" s="98"/>
      <c r="V91" s="98" t="s">
        <v>186</v>
      </c>
      <c r="W91" s="98" t="s">
        <v>719</v>
      </c>
      <c r="X91" s="98" t="s">
        <v>111</v>
      </c>
      <c r="Y91" s="163" t="str">
        <f ca="1">IF(I91&lt;&gt;"",IF(I91&lt;=TODAY(),IF(OR(N91="REPROGRAMADA",N91="SUSPENDIDA",N91="EXCLUSION",N91="COLEGIADO"),"NO HECHA",IF(N91=" ","SINRESULTADO","SI")),"NO"),IF(N91="EXCLUSION","NO HECHA","LIMBO"))</f>
        <v>NO HECHA</v>
      </c>
      <c r="Z91" s="98" t="str">
        <f>IF($Z$1=I91,"DIASOL", "DIANOSOL")</f>
        <v>DIANOSOL</v>
      </c>
      <c r="AA91" s="98" t="s">
        <v>240</v>
      </c>
      <c r="AB91" s="98" t="s">
        <v>720</v>
      </c>
      <c r="AC91" s="98" t="str">
        <f>IF(H91=$M$1,"SI","NO")</f>
        <v>NO</v>
      </c>
      <c r="AD91" s="98"/>
      <c r="AE91" s="98"/>
      <c r="AF91" s="98"/>
      <c r="AG91" s="163" t="str">
        <f>IF(COUNTIF(C91,"*preso*")&gt;0,"SI","NO")</f>
        <v>NO</v>
      </c>
      <c r="AH91" s="265">
        <f>NroOrden(N91)</f>
        <v>50</v>
      </c>
      <c r="AI91" s="98"/>
      <c r="AJ91" s="283" t="str">
        <f ca="1">IF(OR(Y91="NO",Y91="LIMBO"),"IMP","NOIMP")</f>
        <v>NOIMP</v>
      </c>
      <c r="AK91" s="5"/>
    </row>
    <row r="92" spans="1:37" s="3" customFormat="1" ht="38.25" hidden="1">
      <c r="A92" s="160">
        <v>49</v>
      </c>
      <c r="B92" s="161" t="s">
        <v>676</v>
      </c>
      <c r="C92" s="212"/>
      <c r="D92" s="160" t="s">
        <v>677</v>
      </c>
      <c r="E92" s="160" t="s">
        <v>678</v>
      </c>
      <c r="F92" s="266"/>
      <c r="G92" s="160"/>
      <c r="H92" s="160" t="s">
        <v>1646</v>
      </c>
      <c r="I92" s="161">
        <v>45077</v>
      </c>
      <c r="J92" s="164">
        <v>0.5</v>
      </c>
      <c r="K92" s="160" t="s">
        <v>363</v>
      </c>
      <c r="L92" s="255"/>
      <c r="M92" s="161" t="s">
        <v>329</v>
      </c>
      <c r="N92" s="160" t="s">
        <v>355</v>
      </c>
      <c r="O92" s="160" t="s">
        <v>2049</v>
      </c>
      <c r="P92" s="160" t="s">
        <v>679</v>
      </c>
      <c r="Q92" s="160" t="s">
        <v>111</v>
      </c>
      <c r="R92" s="255"/>
      <c r="S92" s="160"/>
      <c r="T92" s="160"/>
      <c r="U92" s="160"/>
      <c r="V92" s="160" t="s">
        <v>339</v>
      </c>
      <c r="W92" s="160" t="s">
        <v>680</v>
      </c>
      <c r="X92" s="160" t="s">
        <v>111</v>
      </c>
      <c r="Y92" s="160" t="str">
        <f ca="1">IF(I92&lt;&gt;"",IF(I92&lt;=TODAY(),IF(OR(N92="REPROGRAMADA",N92="SUSPENDIDA",N92="EXCLUSION",N92="COLEGIADO"),"NO HECHA",IF(N92=" ","SINRESULTADO","SI")),"NO"),IF(N92="EXCLUSION","NO HECHA","LIMBO"))</f>
        <v>SI</v>
      </c>
      <c r="Z92" s="160" t="str">
        <f>IF($Z$1=I92,"DIASOL", "DIANOSOL")</f>
        <v>DIANOSOL</v>
      </c>
      <c r="AA92" s="160" t="s">
        <v>681</v>
      </c>
      <c r="AB92" s="160"/>
      <c r="AC92" s="160" t="str">
        <f>IF(H92=$M$1,"SI","NO")</f>
        <v>NO</v>
      </c>
      <c r="AD92" s="160"/>
      <c r="AE92" s="160"/>
      <c r="AF92" s="266">
        <v>45100</v>
      </c>
      <c r="AG92" s="160" t="str">
        <f>IF(COUNTIF(C92,"*preso*")&gt;0,"SI","NO")</f>
        <v>NO</v>
      </c>
      <c r="AH92" s="253">
        <f>NroOrden(N92)</f>
        <v>50</v>
      </c>
      <c r="AI92" s="160" t="s">
        <v>682</v>
      </c>
      <c r="AJ92" s="48" t="str">
        <f ca="1">IF(OR(Y92="NO",Y92="LIMBO"),"IMP","NOIMP")</f>
        <v>NOIMP</v>
      </c>
      <c r="AK92" s="19"/>
    </row>
    <row r="93" spans="1:37" ht="140.25" hidden="1">
      <c r="A93" s="160">
        <v>52</v>
      </c>
      <c r="B93" s="161" t="s">
        <v>695</v>
      </c>
      <c r="C93" s="212" t="s">
        <v>696</v>
      </c>
      <c r="D93" s="160" t="s">
        <v>697</v>
      </c>
      <c r="E93" s="160" t="s">
        <v>698</v>
      </c>
      <c r="F93" s="266">
        <v>45040</v>
      </c>
      <c r="G93" s="160"/>
      <c r="H93" s="160" t="s">
        <v>1649</v>
      </c>
      <c r="I93" s="161">
        <v>45078</v>
      </c>
      <c r="J93" s="164">
        <v>0.5</v>
      </c>
      <c r="K93" s="160" t="s">
        <v>363</v>
      </c>
      <c r="L93" s="255"/>
      <c r="M93" s="161" t="s">
        <v>329</v>
      </c>
      <c r="N93" s="160" t="s">
        <v>356</v>
      </c>
      <c r="O93" s="160" t="s">
        <v>2049</v>
      </c>
      <c r="P93" s="160" t="s">
        <v>699</v>
      </c>
      <c r="Q93" s="160" t="s">
        <v>111</v>
      </c>
      <c r="R93" s="255"/>
      <c r="S93" s="160" t="s">
        <v>374</v>
      </c>
      <c r="T93" s="160" t="s">
        <v>700</v>
      </c>
      <c r="U93" s="160"/>
      <c r="V93" s="160" t="s">
        <v>111</v>
      </c>
      <c r="W93" s="160" t="s">
        <v>111</v>
      </c>
      <c r="X93" s="160" t="s">
        <v>111</v>
      </c>
      <c r="Y93" s="160" t="str">
        <f ca="1">IF(I93&lt;&gt;"",IF(I93&lt;=TODAY(),IF(OR(N93="REPROGRAMADA",N93="SUSPENDIDA",N93="EXCLUSION",N93="COLEGIADO"),"NO HECHA",IF(N93=" ","SINRESULTADO","SI")),"NO"),IF(N93="EXCLUSION","NO HECHA","LIMBO"))</f>
        <v>SI</v>
      </c>
      <c r="Z93" s="160" t="str">
        <f>IF($Z$1=I93,"DIASOL", "DIANOSOL")</f>
        <v>DIANOSOL</v>
      </c>
      <c r="AA93" s="160" t="s">
        <v>240</v>
      </c>
      <c r="AB93" s="160"/>
      <c r="AC93" s="160" t="str">
        <f>IF(H93=$M$1,"SI","NO")</f>
        <v>NO</v>
      </c>
      <c r="AD93" s="160"/>
      <c r="AE93" s="160"/>
      <c r="AF93" s="160" t="s">
        <v>702</v>
      </c>
      <c r="AG93" s="160" t="str">
        <f>IF(COUNTIF(C93,"*preso*")&gt;0,"SI","NO")</f>
        <v>SI</v>
      </c>
      <c r="AH93" s="253">
        <f>NroOrden(N93)</f>
        <v>50</v>
      </c>
      <c r="AI93" s="160" t="s">
        <v>701</v>
      </c>
      <c r="AJ93" s="48" t="str">
        <f ca="1">IF(OR(Y93="NO",Y93="LIMBO"),"IMP","NOIMP")</f>
        <v>NOIMP</v>
      </c>
      <c r="AK93" s="5"/>
    </row>
    <row r="94" spans="1:37" ht="76.5" hidden="1">
      <c r="A94" s="160">
        <v>59</v>
      </c>
      <c r="B94" s="161" t="s">
        <v>732</v>
      </c>
      <c r="C94" s="212"/>
      <c r="D94" s="160" t="s">
        <v>733</v>
      </c>
      <c r="E94" s="160" t="s">
        <v>632</v>
      </c>
      <c r="F94" s="266">
        <v>44981</v>
      </c>
      <c r="G94" s="160" t="s">
        <v>734</v>
      </c>
      <c r="H94" s="160" t="s">
        <v>1646</v>
      </c>
      <c r="I94" s="161">
        <v>45079</v>
      </c>
      <c r="J94" s="164">
        <v>0.375</v>
      </c>
      <c r="K94" s="160" t="s">
        <v>363</v>
      </c>
      <c r="L94" s="255"/>
      <c r="M94" s="161" t="s">
        <v>329</v>
      </c>
      <c r="N94" s="160" t="s">
        <v>356</v>
      </c>
      <c r="O94" s="160" t="s">
        <v>2049</v>
      </c>
      <c r="P94" s="160" t="s">
        <v>735</v>
      </c>
      <c r="Q94" s="160" t="s">
        <v>111</v>
      </c>
      <c r="R94" s="255"/>
      <c r="S94" s="160"/>
      <c r="T94" s="160"/>
      <c r="U94" s="160"/>
      <c r="V94" s="160" t="s">
        <v>194</v>
      </c>
      <c r="W94" s="160" t="s">
        <v>180</v>
      </c>
      <c r="X94" s="160" t="s">
        <v>111</v>
      </c>
      <c r="Y94" s="160" t="str">
        <f ca="1">IF(I94&lt;&gt;"",IF(I94&lt;=TODAY(),IF(OR(N94="REPROGRAMADA",N94="SUSPENDIDA",N94="EXCLUSION",N94="COLEGIADO"),"NO HECHA",IF(N94=" ","SINRESULTADO","SI")),"NO"),IF(N94="EXCLUSION","NO HECHA","LIMBO"))</f>
        <v>SI</v>
      </c>
      <c r="Z94" s="160" t="str">
        <f>IF($Z$1=I94,"DIASOL", "DIANOSOL")</f>
        <v>DIANOSOL</v>
      </c>
      <c r="AA94" s="160" t="s">
        <v>737</v>
      </c>
      <c r="AB94" s="160" t="s">
        <v>736</v>
      </c>
      <c r="AC94" s="160" t="str">
        <f>IF(H94=$M$1,"SI","NO")</f>
        <v>NO</v>
      </c>
      <c r="AD94" s="160"/>
      <c r="AE94" s="160"/>
      <c r="AF94" s="160"/>
      <c r="AG94" s="160" t="str">
        <f>IF(COUNTIF(C94,"*preso*")&gt;0,"SI","NO")</f>
        <v>NO</v>
      </c>
      <c r="AH94" s="253">
        <f>NroOrden(N94)</f>
        <v>50</v>
      </c>
      <c r="AI94" s="160"/>
      <c r="AJ94" s="48" t="str">
        <f ca="1">IF(OR(Y94="NO",Y94="LIMBO"),"IMP","NOIMP")</f>
        <v>NOIMP</v>
      </c>
      <c r="AK94" s="5"/>
    </row>
    <row r="95" spans="1:37" ht="38.25" hidden="1">
      <c r="A95" s="160">
        <v>57</v>
      </c>
      <c r="B95" s="161" t="s">
        <v>721</v>
      </c>
      <c r="C95" s="212"/>
      <c r="D95" s="160" t="s">
        <v>722</v>
      </c>
      <c r="E95" s="160" t="s">
        <v>723</v>
      </c>
      <c r="F95" s="266">
        <v>45061</v>
      </c>
      <c r="G95" s="160" t="s">
        <v>724</v>
      </c>
      <c r="H95" s="160" t="s">
        <v>1643</v>
      </c>
      <c r="I95" s="161">
        <v>45079</v>
      </c>
      <c r="J95" s="164">
        <v>0.41666666666666669</v>
      </c>
      <c r="K95" s="160" t="s">
        <v>363</v>
      </c>
      <c r="L95" s="255"/>
      <c r="M95" s="161" t="s">
        <v>329</v>
      </c>
      <c r="N95" s="160" t="s">
        <v>355</v>
      </c>
      <c r="O95" s="160" t="s">
        <v>2049</v>
      </c>
      <c r="P95" s="160" t="s">
        <v>725</v>
      </c>
      <c r="Q95" s="160" t="s">
        <v>111</v>
      </c>
      <c r="R95" s="255"/>
      <c r="S95" s="160"/>
      <c r="T95" s="160"/>
      <c r="U95" s="160"/>
      <c r="V95" s="160" t="s">
        <v>194</v>
      </c>
      <c r="W95" s="160" t="s">
        <v>726</v>
      </c>
      <c r="X95" s="160" t="s">
        <v>111</v>
      </c>
      <c r="Y95" s="160" t="str">
        <f ca="1">IF(I95&lt;&gt;"",IF(I95&lt;=TODAY(),IF(OR(N95="REPROGRAMADA",N95="SUSPENDIDA",N95="EXCLUSION",N95="COLEGIADO"),"NO HECHA",IF(N95=" ","SINRESULTADO","SI")),"NO"),IF(N95="EXCLUSION","NO HECHA","LIMBO"))</f>
        <v>SI</v>
      </c>
      <c r="Z95" s="160" t="str">
        <f>IF($Z$1=I95,"DIASOL", "DIANOSOL")</f>
        <v>DIANOSOL</v>
      </c>
      <c r="AA95" s="160" t="s">
        <v>240</v>
      </c>
      <c r="AB95" s="160"/>
      <c r="AC95" s="160" t="str">
        <f>IF(H95=$M$1,"SI","NO")</f>
        <v>NO</v>
      </c>
      <c r="AD95" s="160"/>
      <c r="AE95" s="160"/>
      <c r="AF95" s="266">
        <v>45085</v>
      </c>
      <c r="AG95" s="160" t="str">
        <f>IF(COUNTIF(C95,"*preso*")&gt;0,"SI","NO")</f>
        <v>NO</v>
      </c>
      <c r="AH95" s="253">
        <f>NroOrden(N95)</f>
        <v>50</v>
      </c>
      <c r="AI95" s="160" t="s">
        <v>727</v>
      </c>
      <c r="AJ95" s="48" t="str">
        <f ca="1">IF(OR(Y95="NO",Y95="LIMBO"),"IMP","NOIMP")</f>
        <v>NOIMP</v>
      </c>
      <c r="AK95" s="5"/>
    </row>
    <row r="96" spans="1:37" ht="63.75" hidden="1">
      <c r="A96" s="160">
        <v>63</v>
      </c>
      <c r="B96" s="161" t="s">
        <v>509</v>
      </c>
      <c r="C96" s="212" t="s">
        <v>501</v>
      </c>
      <c r="D96" s="160" t="s">
        <v>750</v>
      </c>
      <c r="E96" s="160" t="s">
        <v>511</v>
      </c>
      <c r="F96" s="266">
        <v>45041</v>
      </c>
      <c r="G96" s="160" t="s">
        <v>512</v>
      </c>
      <c r="H96" s="160" t="s">
        <v>1643</v>
      </c>
      <c r="I96" s="161">
        <v>45082</v>
      </c>
      <c r="J96" s="164">
        <v>0.5</v>
      </c>
      <c r="K96" s="160" t="s">
        <v>362</v>
      </c>
      <c r="L96" s="255"/>
      <c r="M96" s="161" t="s">
        <v>330</v>
      </c>
      <c r="N96" s="160" t="s">
        <v>355</v>
      </c>
      <c r="O96" s="160" t="s">
        <v>2049</v>
      </c>
      <c r="P96" s="160" t="s">
        <v>725</v>
      </c>
      <c r="Q96" s="160" t="s">
        <v>111</v>
      </c>
      <c r="R96" s="255"/>
      <c r="S96" s="160" t="s">
        <v>374</v>
      </c>
      <c r="T96" s="160" t="s">
        <v>515</v>
      </c>
      <c r="U96" s="160"/>
      <c r="V96" s="160" t="s">
        <v>192</v>
      </c>
      <c r="W96" s="160" t="s">
        <v>423</v>
      </c>
      <c r="X96" s="160" t="s">
        <v>111</v>
      </c>
      <c r="Y96" s="160" t="str">
        <f ca="1">IF(I96&lt;&gt;"",IF(I96&lt;=TODAY(),IF(OR(N96="REPROGRAMADA",N96="SUSPENDIDA",N96="EXCLUSION",N96="COLEGIADO"),"NO HECHA",IF(N96=" ","SINRESULTADO","SI")),"NO"),IF(N96="EXCLUSION","NO HECHA","LIMBO"))</f>
        <v>SI</v>
      </c>
      <c r="Z96" s="160" t="str">
        <f>IF($Z$1=I96,"DIASOL", "DIANOSOL")</f>
        <v>DIANOSOL</v>
      </c>
      <c r="AA96" s="160" t="s">
        <v>240</v>
      </c>
      <c r="AB96" s="160" t="s">
        <v>514</v>
      </c>
      <c r="AC96" s="160" t="str">
        <f>IF(H96=$M$1,"SI","NO")</f>
        <v>NO</v>
      </c>
      <c r="AD96" s="160"/>
      <c r="AE96" s="160"/>
      <c r="AF96" s="160"/>
      <c r="AG96" s="160" t="str">
        <f>IF(COUNTIF(C96,"*preso*")&gt;0,"SI","NO")</f>
        <v>SI</v>
      </c>
      <c r="AH96" s="253">
        <f>NroOrden(N96)</f>
        <v>50</v>
      </c>
      <c r="AI96" s="160"/>
      <c r="AJ96" s="48" t="str">
        <f ca="1">IF(OR(Y96="NO",Y96="LIMBO"),"IMP","NOIMP")</f>
        <v>NOIMP</v>
      </c>
      <c r="AK96" s="5"/>
    </row>
    <row r="97" spans="1:37" ht="51" hidden="1">
      <c r="A97" s="160">
        <v>65</v>
      </c>
      <c r="B97" s="161" t="s">
        <v>759</v>
      </c>
      <c r="C97" s="212"/>
      <c r="D97" s="160" t="s">
        <v>760</v>
      </c>
      <c r="E97" s="160" t="s">
        <v>761</v>
      </c>
      <c r="F97" s="266">
        <v>45035</v>
      </c>
      <c r="G97" s="160" t="s">
        <v>762</v>
      </c>
      <c r="H97" s="160" t="s">
        <v>1643</v>
      </c>
      <c r="I97" s="161">
        <v>45085</v>
      </c>
      <c r="J97" s="164">
        <v>0.375</v>
      </c>
      <c r="K97" s="160" t="s">
        <v>364</v>
      </c>
      <c r="L97" s="255"/>
      <c r="M97" s="161" t="s">
        <v>328</v>
      </c>
      <c r="N97" s="160" t="s">
        <v>357</v>
      </c>
      <c r="O97" s="160" t="s">
        <v>2049</v>
      </c>
      <c r="P97" s="160"/>
      <c r="Q97" s="160" t="s">
        <v>330</v>
      </c>
      <c r="R97" s="255"/>
      <c r="S97" s="160"/>
      <c r="T97" s="160"/>
      <c r="U97" s="160"/>
      <c r="V97" s="160" t="s">
        <v>187</v>
      </c>
      <c r="W97" s="160" t="s">
        <v>202</v>
      </c>
      <c r="X97" s="160" t="s">
        <v>111</v>
      </c>
      <c r="Y97" s="160" t="str">
        <f ca="1">IF(I97&lt;&gt;"",IF(I97&lt;=TODAY(),IF(OR(N97="REPROGRAMADA",N97="SUSPENDIDA",N97="EXCLUSION",N97="COLEGIADO"),"NO HECHA",IF(N97=" ","SINRESULTADO","SI")),"NO"),IF(N97="EXCLUSION","NO HECHA","LIMBO"))</f>
        <v>SI</v>
      </c>
      <c r="Z97" s="160" t="str">
        <f>IF($Z$1=I97,"DIASOL", "DIANOSOL")</f>
        <v>DIANOSOL</v>
      </c>
      <c r="AA97" s="160" t="s">
        <v>738</v>
      </c>
      <c r="AB97" s="160" t="s">
        <v>763</v>
      </c>
      <c r="AC97" s="160" t="str">
        <f>IF(H97=$M$1,"SI","NO")</f>
        <v>NO</v>
      </c>
      <c r="AD97" s="160"/>
      <c r="AE97" s="160"/>
      <c r="AF97" s="266">
        <v>45091</v>
      </c>
      <c r="AG97" s="160" t="str">
        <f>IF(COUNTIF(C97,"*preso*")&gt;0,"SI","NO")</f>
        <v>NO</v>
      </c>
      <c r="AH97" s="253">
        <f>NroOrden(N97)</f>
        <v>50</v>
      </c>
      <c r="AI97" s="160"/>
      <c r="AJ97" s="48" t="str">
        <f ca="1">IF(OR(Y97="NO",Y97="LIMBO"),"IMP","NOIMP")</f>
        <v>NOIMP</v>
      </c>
      <c r="AK97" s="5"/>
    </row>
    <row r="98" spans="1:37" ht="155.25" hidden="1" customHeight="1">
      <c r="A98" s="98">
        <v>60</v>
      </c>
      <c r="B98" s="99" t="s">
        <v>739</v>
      </c>
      <c r="C98" s="209"/>
      <c r="D98" s="98" t="s">
        <v>740</v>
      </c>
      <c r="E98" s="98" t="s">
        <v>741</v>
      </c>
      <c r="F98" s="153">
        <v>45042</v>
      </c>
      <c r="G98" s="98"/>
      <c r="H98" s="98" t="s">
        <v>111</v>
      </c>
      <c r="I98" s="99">
        <v>45086</v>
      </c>
      <c r="J98" s="141">
        <v>0.375</v>
      </c>
      <c r="K98" s="98" t="s">
        <v>362</v>
      </c>
      <c r="L98" s="194"/>
      <c r="M98" s="99" t="s">
        <v>330</v>
      </c>
      <c r="N98" s="98" t="s">
        <v>354</v>
      </c>
      <c r="O98" s="98" t="s">
        <v>2307</v>
      </c>
      <c r="P98" s="98" t="s">
        <v>743</v>
      </c>
      <c r="Q98" s="98" t="s">
        <v>111</v>
      </c>
      <c r="R98" s="194"/>
      <c r="S98" s="98"/>
      <c r="T98" s="98"/>
      <c r="U98" s="98"/>
      <c r="V98" s="98" t="s">
        <v>347</v>
      </c>
      <c r="W98" s="98" t="s">
        <v>744</v>
      </c>
      <c r="X98" s="98" t="s">
        <v>111</v>
      </c>
      <c r="Y98" s="163" t="str">
        <f ca="1">IF(I98&lt;&gt;"",IF(I98&lt;=TODAY(),IF(OR(N98="REPROGRAMADA",N98="SUSPENDIDA",N98="EXCLUSION",N98="COLEGIADO"),"NO HECHA",IF(N98=" ","SINRESULTADO","SI")),"NO"),IF(N98="EXCLUSION","NO HECHA","LIMBO"))</f>
        <v>NO HECHA</v>
      </c>
      <c r="Z98" s="98" t="str">
        <f>IF($Z$1=I98,"DIASOL", "DIANOSOL")</f>
        <v>DIANOSOL</v>
      </c>
      <c r="AA98" s="98" t="s">
        <v>240</v>
      </c>
      <c r="AB98" s="98" t="s">
        <v>745</v>
      </c>
      <c r="AC98" s="98" t="str">
        <f>IF(H98=$M$1,"SI","NO")</f>
        <v>NO</v>
      </c>
      <c r="AD98" s="98"/>
      <c r="AE98" s="98"/>
      <c r="AF98" s="98"/>
      <c r="AG98" s="163" t="str">
        <f>IF(COUNTIF(C98,"*preso*")&gt;0,"SI","NO")</f>
        <v>NO</v>
      </c>
      <c r="AH98" s="253">
        <f>NroOrden(N98)</f>
        <v>50</v>
      </c>
      <c r="AI98" s="98"/>
      <c r="AJ98" s="48" t="str">
        <f ca="1">IF(OR(Y98="NO",Y98="LIMBO"),"IMP","NOIMP")</f>
        <v>NOIMP</v>
      </c>
      <c r="AK98" s="5"/>
    </row>
    <row r="99" spans="1:37" ht="89.25" hidden="1">
      <c r="A99" s="160">
        <v>70</v>
      </c>
      <c r="B99" s="161" t="s">
        <v>778</v>
      </c>
      <c r="C99" s="212" t="s">
        <v>501</v>
      </c>
      <c r="D99" s="160" t="s">
        <v>779</v>
      </c>
      <c r="E99" s="160" t="s">
        <v>780</v>
      </c>
      <c r="F99" s="266">
        <v>45064</v>
      </c>
      <c r="G99" s="160" t="s">
        <v>781</v>
      </c>
      <c r="H99" s="160" t="s">
        <v>1649</v>
      </c>
      <c r="I99" s="161">
        <v>45086</v>
      </c>
      <c r="J99" s="164">
        <v>0.39583333333333331</v>
      </c>
      <c r="K99" s="160" t="s">
        <v>363</v>
      </c>
      <c r="L99" s="255"/>
      <c r="M99" s="161" t="s">
        <v>329</v>
      </c>
      <c r="N99" s="160" t="s">
        <v>357</v>
      </c>
      <c r="O99" s="160" t="s">
        <v>2049</v>
      </c>
      <c r="P99" s="160"/>
      <c r="Q99" s="160" t="s">
        <v>328</v>
      </c>
      <c r="R99" s="255"/>
      <c r="S99" s="160"/>
      <c r="T99" s="160" t="s">
        <v>784</v>
      </c>
      <c r="U99" s="160"/>
      <c r="V99" s="160" t="s">
        <v>184</v>
      </c>
      <c r="W99" s="160" t="s">
        <v>782</v>
      </c>
      <c r="X99" s="160" t="s">
        <v>111</v>
      </c>
      <c r="Y99" s="160" t="str">
        <f ca="1">IF(I99&lt;&gt;"",IF(I99&lt;=TODAY(),IF(OR(N99="REPROGRAMADA",N99="SUSPENDIDA",N99="EXCLUSION",N99="COLEGIADO"),"NO HECHA",IF(N99=" ","SINRESULTADO","SI")),"NO"),IF(N99="EXCLUSION","NO HECHA","LIMBO"))</f>
        <v>SI</v>
      </c>
      <c r="Z99" s="160" t="str">
        <f>IF($Z$1=I99,"DIASOL", "DIANOSOL")</f>
        <v>DIANOSOL</v>
      </c>
      <c r="AA99" s="160" t="s">
        <v>240</v>
      </c>
      <c r="AB99" s="160" t="s">
        <v>783</v>
      </c>
      <c r="AC99" s="160" t="str">
        <f>IF(H99=$M$1,"SI","NO")</f>
        <v>NO</v>
      </c>
      <c r="AD99" s="160"/>
      <c r="AE99" s="160"/>
      <c r="AF99" s="266">
        <v>45091</v>
      </c>
      <c r="AG99" s="160" t="str">
        <f>IF(COUNTIF(C99,"*preso*")&gt;0,"SI","NO")</f>
        <v>SI</v>
      </c>
      <c r="AH99" s="253">
        <f>NroOrden(N99)</f>
        <v>50</v>
      </c>
      <c r="AI99" s="160"/>
      <c r="AJ99" s="48" t="str">
        <f ca="1">IF(OR(Y99="NO",Y99="LIMBO"),"IMP","NOIMP")</f>
        <v>NOIMP</v>
      </c>
      <c r="AK99" s="5"/>
    </row>
    <row r="100" spans="1:37" ht="38.25" hidden="1">
      <c r="A100" s="160">
        <v>67</v>
      </c>
      <c r="B100" s="161" t="s">
        <v>769</v>
      </c>
      <c r="C100" s="212"/>
      <c r="D100" s="160" t="s">
        <v>716</v>
      </c>
      <c r="E100" s="160" t="s">
        <v>717</v>
      </c>
      <c r="F100" s="266"/>
      <c r="G100" s="160"/>
      <c r="H100" s="160" t="s">
        <v>1643</v>
      </c>
      <c r="I100" s="161">
        <v>45086</v>
      </c>
      <c r="J100" s="164">
        <v>0.41666666666666669</v>
      </c>
      <c r="K100" s="160" t="s">
        <v>403</v>
      </c>
      <c r="L100" s="186"/>
      <c r="M100" s="161" t="s">
        <v>330</v>
      </c>
      <c r="N100" s="160" t="s">
        <v>357</v>
      </c>
      <c r="O100" s="160" t="s">
        <v>2049</v>
      </c>
      <c r="P100" s="160"/>
      <c r="Q100" s="160" t="s">
        <v>329</v>
      </c>
      <c r="R100" s="186" t="s">
        <v>2181</v>
      </c>
      <c r="S100" s="160"/>
      <c r="T100" s="160"/>
      <c r="U100" s="160"/>
      <c r="V100" s="160" t="s">
        <v>186</v>
      </c>
      <c r="W100" s="160" t="s">
        <v>719</v>
      </c>
      <c r="X100" s="160" t="s">
        <v>111</v>
      </c>
      <c r="Y100" s="160" t="str">
        <f ca="1">IF(I100&lt;&gt;"",IF(I100&lt;=TODAY(),IF(OR(N100="REPROGRAMADA",N100="SUSPENDIDA",N100="EXCLUSION",N100="COLEGIADO"),"NO HECHA",IF(N100=" ","SINRESULTADO","SI")),"NO"),IF(N100="EXCLUSION","NO HECHA","LIMBO"))</f>
        <v>SI</v>
      </c>
      <c r="Z100" s="160" t="str">
        <f>IF($Z$1=I100,"DIASOL", "DIANOSOL")</f>
        <v>DIANOSOL</v>
      </c>
      <c r="AA100" s="160" t="s">
        <v>240</v>
      </c>
      <c r="AB100" s="160" t="s">
        <v>720</v>
      </c>
      <c r="AC100" s="160" t="str">
        <f>IF(H100=$M$1,"SI","NO")</f>
        <v>NO</v>
      </c>
      <c r="AD100" s="160"/>
      <c r="AE100" s="266">
        <v>45044</v>
      </c>
      <c r="AF100" s="266">
        <v>45091</v>
      </c>
      <c r="AG100" s="160" t="str">
        <f>IF(COUNTIF(C100,"*preso*")&gt;0,"SI","NO")</f>
        <v>NO</v>
      </c>
      <c r="AH100" s="264">
        <f>NroOrden(N100)</f>
        <v>50</v>
      </c>
      <c r="AI100" s="160"/>
      <c r="AJ100" s="186" t="str">
        <f ca="1">IF(OR(Y100="NO",Y100="LIMBO"),"IMP","NOIMP")</f>
        <v>NOIMP</v>
      </c>
      <c r="AK100" s="5"/>
    </row>
    <row r="101" spans="1:37" ht="39.950000000000003" hidden="1" customHeight="1">
      <c r="A101" s="160">
        <v>73</v>
      </c>
      <c r="B101" s="161" t="s">
        <v>800</v>
      </c>
      <c r="C101" s="212"/>
      <c r="D101" s="160" t="s">
        <v>801</v>
      </c>
      <c r="E101" s="160" t="s">
        <v>573</v>
      </c>
      <c r="F101" s="266">
        <v>45036</v>
      </c>
      <c r="G101" s="160" t="s">
        <v>802</v>
      </c>
      <c r="H101" s="160" t="s">
        <v>111</v>
      </c>
      <c r="I101" s="161">
        <v>45089</v>
      </c>
      <c r="J101" s="164">
        <v>0.375</v>
      </c>
      <c r="K101" s="160" t="s">
        <v>364</v>
      </c>
      <c r="L101" s="255"/>
      <c r="M101" s="161" t="s">
        <v>328</v>
      </c>
      <c r="N101" s="160" t="s">
        <v>357</v>
      </c>
      <c r="O101" s="160" t="s">
        <v>2049</v>
      </c>
      <c r="P101" s="160"/>
      <c r="Q101" s="160" t="s">
        <v>330</v>
      </c>
      <c r="R101" s="255"/>
      <c r="S101" s="160"/>
      <c r="T101" s="160"/>
      <c r="U101" s="160"/>
      <c r="V101" s="160" t="s">
        <v>342</v>
      </c>
      <c r="W101" s="160" t="s">
        <v>132</v>
      </c>
      <c r="X101" s="160" t="s">
        <v>111</v>
      </c>
      <c r="Y101" s="160" t="str">
        <f ca="1">IF(I101&lt;&gt;"",IF(I101&lt;=TODAY(),IF(OR(N101="REPROGRAMADA",N101="SUSPENDIDA",N101="EXCLUSION",N101="COLEGIADO"),"NO HECHA",IF(N101=" ","SINRESULTADO","SI")),"NO"),IF(N101="EXCLUSION","NO HECHA","LIMBO"))</f>
        <v>SI</v>
      </c>
      <c r="Z101" s="160" t="str">
        <f>IF($Z$1=I101,"DIASOL", "DIANOSOL")</f>
        <v>DIANOSOL</v>
      </c>
      <c r="AA101" s="160" t="s">
        <v>240</v>
      </c>
      <c r="AB101" s="160" t="s">
        <v>803</v>
      </c>
      <c r="AC101" s="160" t="str">
        <f>IF(H101=$M$1,"SI","NO")</f>
        <v>NO</v>
      </c>
      <c r="AD101" s="160"/>
      <c r="AE101" s="160"/>
      <c r="AF101" s="160"/>
      <c r="AG101" s="160" t="str">
        <f>IF(COUNTIF(C101,"*preso*")&gt;0,"SI","NO")</f>
        <v>NO</v>
      </c>
      <c r="AH101" s="253">
        <f>NroOrden(N101)</f>
        <v>50</v>
      </c>
      <c r="AI101" s="160"/>
      <c r="AJ101" s="48" t="str">
        <f ca="1">IF(OR(Y101="NO",Y101="LIMBO"),"IMP","NOIMP")</f>
        <v>NOIMP</v>
      </c>
      <c r="AK101" s="5"/>
    </row>
    <row r="102" spans="1:37" ht="29.25" hidden="1" customHeight="1">
      <c r="A102" s="160">
        <v>71</v>
      </c>
      <c r="B102" s="161" t="s">
        <v>785</v>
      </c>
      <c r="C102" s="212" t="s">
        <v>501</v>
      </c>
      <c r="D102" s="160" t="s">
        <v>786</v>
      </c>
      <c r="E102" s="160" t="s">
        <v>787</v>
      </c>
      <c r="F102" s="266">
        <v>45021</v>
      </c>
      <c r="G102" s="160" t="s">
        <v>788</v>
      </c>
      <c r="H102" s="160" t="s">
        <v>1646</v>
      </c>
      <c r="I102" s="161">
        <v>45091</v>
      </c>
      <c r="J102" s="164">
        <v>0.45833333333333331</v>
      </c>
      <c r="K102" s="160" t="s">
        <v>364</v>
      </c>
      <c r="L102" s="255"/>
      <c r="M102" s="161" t="s">
        <v>328</v>
      </c>
      <c r="N102" s="160" t="s">
        <v>356</v>
      </c>
      <c r="O102" s="160" t="s">
        <v>2049</v>
      </c>
      <c r="P102" s="160" t="s">
        <v>789</v>
      </c>
      <c r="Q102" s="160" t="s">
        <v>111</v>
      </c>
      <c r="R102" s="255"/>
      <c r="S102" s="160" t="s">
        <v>372</v>
      </c>
      <c r="T102" s="266">
        <v>44872</v>
      </c>
      <c r="U102" s="160" t="s">
        <v>791</v>
      </c>
      <c r="V102" s="160" t="s">
        <v>193</v>
      </c>
      <c r="W102" s="160" t="s">
        <v>117</v>
      </c>
      <c r="X102" s="160" t="s">
        <v>111</v>
      </c>
      <c r="Y102" s="160" t="str">
        <f ca="1">IF(I102&lt;&gt;"",IF(I102&lt;=TODAY(),IF(OR(N102="REPROGRAMADA",N102="SUSPENDIDA",N102="EXCLUSION",N102="COLEGIADO"),"NO HECHA",IF(N102=" ","SINRESULTADO","SI")),"NO"),IF(N102="EXCLUSION","NO HECHA","LIMBO"))</f>
        <v>SI</v>
      </c>
      <c r="Z102" s="160" t="str">
        <f>IF($Z$1=I102,"DIASOL", "DIANOSOL")</f>
        <v>DIANOSOL</v>
      </c>
      <c r="AA102" s="160" t="s">
        <v>240</v>
      </c>
      <c r="AB102" s="160" t="s">
        <v>790</v>
      </c>
      <c r="AC102" s="160" t="str">
        <f>IF(H102=$M$1,"SI","NO")</f>
        <v>NO</v>
      </c>
      <c r="AD102" s="160"/>
      <c r="AE102" s="160"/>
      <c r="AF102" s="266">
        <v>45103</v>
      </c>
      <c r="AG102" s="160" t="str">
        <f>IF(COUNTIF(C102,"*preso*")&gt;0,"SI","NO")</f>
        <v>SI</v>
      </c>
      <c r="AH102" s="253">
        <f>NroOrden(N102)</f>
        <v>50</v>
      </c>
      <c r="AI102" s="160" t="s">
        <v>792</v>
      </c>
      <c r="AJ102" s="48" t="str">
        <f ca="1">IF(OR(Y102="NO",Y102="LIMBO"),"IMP","NOIMP")</f>
        <v>NOIMP</v>
      </c>
      <c r="AK102" s="5"/>
    </row>
    <row r="103" spans="1:37" ht="39.950000000000003" hidden="1" customHeight="1">
      <c r="A103" s="98">
        <v>8</v>
      </c>
      <c r="B103" s="99" t="s">
        <v>399</v>
      </c>
      <c r="C103" s="210"/>
      <c r="D103" s="98" t="s">
        <v>400</v>
      </c>
      <c r="E103" s="98" t="s">
        <v>401</v>
      </c>
      <c r="F103" s="153">
        <v>45069</v>
      </c>
      <c r="G103" s="98"/>
      <c r="H103" s="98" t="s">
        <v>111</v>
      </c>
      <c r="I103" s="99">
        <v>45091</v>
      </c>
      <c r="J103" s="98" t="s">
        <v>282</v>
      </c>
      <c r="K103" s="98" t="s">
        <v>403</v>
      </c>
      <c r="L103" s="194"/>
      <c r="M103" s="99" t="s">
        <v>333</v>
      </c>
      <c r="N103" s="98" t="s">
        <v>354</v>
      </c>
      <c r="O103" s="98" t="s">
        <v>2307</v>
      </c>
      <c r="P103" s="98" t="s">
        <v>429</v>
      </c>
      <c r="Q103" s="98" t="s">
        <v>111</v>
      </c>
      <c r="R103" s="194"/>
      <c r="S103" s="98"/>
      <c r="T103" s="98"/>
      <c r="U103" s="98"/>
      <c r="V103" s="98" t="s">
        <v>194</v>
      </c>
      <c r="W103" s="98" t="s">
        <v>141</v>
      </c>
      <c r="X103" s="98" t="s">
        <v>404</v>
      </c>
      <c r="Y103" s="163" t="str">
        <f ca="1">IF(I103&lt;&gt;"",IF(I103&lt;=TODAY(),IF(OR(N103="REPROGRAMADA",N103="SUSPENDIDA",N103="EXCLUSION",N103="COLEGIADO"),"NO HECHA",IF(N103=" ","SINRESULTADO","SI")),"NO"),IF(N103="EXCLUSION","NO HECHA","LIMBO"))</f>
        <v>NO HECHA</v>
      </c>
      <c r="Z103" s="98" t="str">
        <f>IF($Z$1=I103,"DIASOL", "DIANOSOL")</f>
        <v>DIANOSOL</v>
      </c>
      <c r="AA103" s="98" t="s">
        <v>240</v>
      </c>
      <c r="AB103" s="98" t="s">
        <v>405</v>
      </c>
      <c r="AC103" s="98" t="str">
        <f>IF(H103=$M$1,"SI","NO")</f>
        <v>NO</v>
      </c>
      <c r="AD103" s="98"/>
      <c r="AE103" s="98"/>
      <c r="AF103" s="98" t="s">
        <v>2195</v>
      </c>
      <c r="AG103" s="163" t="str">
        <f>IF(COUNTIF(C103,"*preso*")&gt;0,"SI","NO")</f>
        <v>NO</v>
      </c>
      <c r="AH103" s="253">
        <f>NroOrden(N103)</f>
        <v>50</v>
      </c>
      <c r="AI103" s="98"/>
      <c r="AJ103" s="48" t="str">
        <f ca="1">IF(OR(Y103="NO",Y103="LIMBO"),"IMP","NOIMP")</f>
        <v>NOIMP</v>
      </c>
      <c r="AK103" s="5"/>
    </row>
    <row r="104" spans="1:37" ht="39.950000000000003" hidden="1" customHeight="1">
      <c r="A104" s="98">
        <v>3</v>
      </c>
      <c r="B104" s="99" t="s">
        <v>393</v>
      </c>
      <c r="C104" s="210"/>
      <c r="D104" s="98" t="s">
        <v>394</v>
      </c>
      <c r="E104" s="98" t="s">
        <v>395</v>
      </c>
      <c r="F104" s="153">
        <v>45076</v>
      </c>
      <c r="G104" s="98"/>
      <c r="H104" s="98"/>
      <c r="I104" s="99">
        <v>45091</v>
      </c>
      <c r="J104" s="98" t="s">
        <v>396</v>
      </c>
      <c r="K104" s="98" t="s">
        <v>365</v>
      </c>
      <c r="L104" s="194"/>
      <c r="M104" s="99" t="s">
        <v>332</v>
      </c>
      <c r="N104" s="98" t="s">
        <v>354</v>
      </c>
      <c r="O104" s="98" t="s">
        <v>2360</v>
      </c>
      <c r="P104" s="98" t="s">
        <v>398</v>
      </c>
      <c r="Q104" s="98" t="s">
        <v>111</v>
      </c>
      <c r="R104" s="194"/>
      <c r="S104" s="98"/>
      <c r="T104" s="98"/>
      <c r="U104" s="98"/>
      <c r="V104" s="98" t="s">
        <v>189</v>
      </c>
      <c r="W104" s="98" t="s">
        <v>264</v>
      </c>
      <c r="X104" s="98" t="s">
        <v>111</v>
      </c>
      <c r="Y104" s="163" t="str">
        <f ca="1">IF(I104&lt;&gt;"",IF(I104&lt;=TODAY(),IF(OR(N104="REPROGRAMADA",N104="SUSPENDIDA",N104="EXCLUSION",N104="COLEGIADO"),"NO HECHA",IF(N104=" ","SINRESULTADO","SI")),"NO"),IF(N104="EXCLUSION","NO HECHA","LIMBO"))</f>
        <v>NO HECHA</v>
      </c>
      <c r="Z104" s="98" t="str">
        <f>IF($Z$1=I104,"DIASOL", "DIANOSOL")</f>
        <v>DIANOSOL</v>
      </c>
      <c r="AA104" s="98" t="s">
        <v>240</v>
      </c>
      <c r="AB104" s="98" t="s">
        <v>397</v>
      </c>
      <c r="AC104" s="98" t="str">
        <f>IF(H104=$M$1,"SI","NO")</f>
        <v>NO</v>
      </c>
      <c r="AD104" s="98"/>
      <c r="AE104" s="98"/>
      <c r="AF104" s="98" t="s">
        <v>2195</v>
      </c>
      <c r="AG104" s="163" t="str">
        <f>IF(COUNTIF(C104,"*preso*")&gt;0,"SI","NO")</f>
        <v>NO</v>
      </c>
      <c r="AH104" s="265">
        <f>NroOrden(N104)</f>
        <v>50</v>
      </c>
      <c r="AI104" s="98"/>
      <c r="AJ104" s="283" t="str">
        <f ca="1">IF(OR(Y104="NO",Y104="LIMBO"),"IMP","NOIMP")</f>
        <v>NOIMP</v>
      </c>
      <c r="AK104" s="5"/>
    </row>
    <row r="105" spans="1:37" ht="25.5" hidden="1">
      <c r="A105" s="160">
        <v>75</v>
      </c>
      <c r="B105" s="161" t="s">
        <v>809</v>
      </c>
      <c r="C105" s="212"/>
      <c r="D105" s="160" t="s">
        <v>810</v>
      </c>
      <c r="E105" s="160" t="s">
        <v>811</v>
      </c>
      <c r="F105" s="162">
        <v>45103</v>
      </c>
      <c r="G105" s="160" t="s">
        <v>742</v>
      </c>
      <c r="H105" s="160" t="s">
        <v>111</v>
      </c>
      <c r="I105" s="161">
        <v>45092</v>
      </c>
      <c r="J105" s="164">
        <v>0.375</v>
      </c>
      <c r="K105" s="160" t="s">
        <v>362</v>
      </c>
      <c r="L105" s="255"/>
      <c r="M105" s="161" t="s">
        <v>330</v>
      </c>
      <c r="N105" s="160" t="s">
        <v>359</v>
      </c>
      <c r="O105" s="160"/>
      <c r="P105" s="160" t="s">
        <v>812</v>
      </c>
      <c r="Q105" s="160" t="s">
        <v>111</v>
      </c>
      <c r="R105" s="255"/>
      <c r="S105" s="160"/>
      <c r="T105" s="160"/>
      <c r="U105" s="160"/>
      <c r="V105" s="160" t="s">
        <v>198</v>
      </c>
      <c r="W105" s="160" t="s">
        <v>813</v>
      </c>
      <c r="X105" s="160" t="s">
        <v>111</v>
      </c>
      <c r="Y105" s="160" t="str">
        <f ca="1">IF(I105&lt;&gt;"",IF(I105&lt;=TODAY(),IF(OR(N105="REPROGRAMADA",N105="SUSPENDIDA",N105="EXCLUSION",N105="COLEGIADO"),"NO HECHA",IF(N105=" ","SINRESULTADO","SI")),"NO"),IF(N105="EXCLUSION","NO HECHA","LIMBO"))</f>
        <v>SI</v>
      </c>
      <c r="Z105" s="160" t="str">
        <f>IF($Z$1=I105,"DIASOL", "DIANOSOL")</f>
        <v>DIANOSOL</v>
      </c>
      <c r="AA105" s="160" t="s">
        <v>240</v>
      </c>
      <c r="AB105" s="160" t="s">
        <v>814</v>
      </c>
      <c r="AC105" s="160" t="str">
        <f>IF(H105=$M$1,"SI","NO")</f>
        <v>NO</v>
      </c>
      <c r="AD105" s="160"/>
      <c r="AE105" s="160"/>
      <c r="AF105" s="160"/>
      <c r="AG105" s="160" t="str">
        <f>IF(COUNTIF(C105,"*preso*")&gt;0,"SI","NO")</f>
        <v>NO</v>
      </c>
      <c r="AH105" s="253">
        <f>NroOrden(N105)</f>
        <v>50</v>
      </c>
      <c r="AI105" s="160"/>
      <c r="AJ105" s="48" t="str">
        <f ca="1">IF(OR(Y105="NO",Y105="LIMBO"),"IMP","NOIMP")</f>
        <v>NOIMP</v>
      </c>
    </row>
    <row r="106" spans="1:37" ht="61.5" hidden="1" customHeight="1">
      <c r="A106" s="160">
        <v>31</v>
      </c>
      <c r="B106" s="161" t="s">
        <v>448</v>
      </c>
      <c r="C106" s="212" t="s">
        <v>501</v>
      </c>
      <c r="D106" s="160" t="s">
        <v>449</v>
      </c>
      <c r="E106" s="160" t="s">
        <v>450</v>
      </c>
      <c r="F106" s="162">
        <v>45076</v>
      </c>
      <c r="G106" s="160" t="s">
        <v>451</v>
      </c>
      <c r="H106" s="160" t="s">
        <v>1649</v>
      </c>
      <c r="I106" s="161">
        <v>45092</v>
      </c>
      <c r="J106" s="164">
        <v>0.54166666666666663</v>
      </c>
      <c r="K106" s="160" t="s">
        <v>365</v>
      </c>
      <c r="L106" s="255"/>
      <c r="M106" s="161" t="s">
        <v>333</v>
      </c>
      <c r="N106" s="160" t="s">
        <v>356</v>
      </c>
      <c r="O106" s="160" t="s">
        <v>2049</v>
      </c>
      <c r="P106" s="160"/>
      <c r="Q106" s="160" t="s">
        <v>111</v>
      </c>
      <c r="R106" s="255"/>
      <c r="S106" s="160" t="s">
        <v>374</v>
      </c>
      <c r="T106" s="160" t="s">
        <v>453</v>
      </c>
      <c r="U106" s="160"/>
      <c r="V106" s="160" t="s">
        <v>192</v>
      </c>
      <c r="W106" s="160" t="s">
        <v>136</v>
      </c>
      <c r="X106" s="160" t="s">
        <v>111</v>
      </c>
      <c r="Y106" s="160" t="str">
        <f ca="1">IF(I106&lt;&gt;"",IF(I106&lt;=TODAY(),IF(OR(N106="REPROGRAMADA",N106="SUSPENDIDA",N106="EXCLUSION",N106="COLEGIADO"),"NO HECHA",IF(N106=" ","SINRESULTADO","SI")),"NO"),IF(N106="EXCLUSION","NO HECHA","LIMBO"))</f>
        <v>SI</v>
      </c>
      <c r="Z106" s="160" t="str">
        <f>IF($Z$1=I106,"DIASOL", "DIANOSOL")</f>
        <v>DIANOSOL</v>
      </c>
      <c r="AA106" s="160" t="s">
        <v>240</v>
      </c>
      <c r="AB106" s="160" t="s">
        <v>452</v>
      </c>
      <c r="AC106" s="160" t="str">
        <f>IF(H106=$M$1,"SI","NO")</f>
        <v>NO</v>
      </c>
      <c r="AD106" s="160"/>
      <c r="AE106" s="160"/>
      <c r="AF106" s="160"/>
      <c r="AG106" s="160" t="str">
        <f>IF(COUNTIF(C106,"*preso*")&gt;0,"SI","NO")</f>
        <v>SI</v>
      </c>
      <c r="AH106" s="253">
        <f>NroOrden(N106)</f>
        <v>50</v>
      </c>
      <c r="AI106" s="160" t="s">
        <v>571</v>
      </c>
      <c r="AJ106" s="48" t="str">
        <f ca="1">IF(OR(Y106="NO",Y106="LIMBO"),"IMP","NOIMP")</f>
        <v>NOIMP</v>
      </c>
    </row>
    <row r="107" spans="1:37" ht="58.5" hidden="1" customHeight="1">
      <c r="A107" s="98">
        <v>9</v>
      </c>
      <c r="B107" s="99" t="s">
        <v>430</v>
      </c>
      <c r="C107" s="210"/>
      <c r="D107" s="98" t="s">
        <v>431</v>
      </c>
      <c r="E107" s="98" t="s">
        <v>432</v>
      </c>
      <c r="F107" s="153">
        <v>45068</v>
      </c>
      <c r="G107" s="98"/>
      <c r="H107" s="98" t="s">
        <v>111</v>
      </c>
      <c r="I107" s="99">
        <v>45092</v>
      </c>
      <c r="J107" s="98" t="s">
        <v>14</v>
      </c>
      <c r="K107" s="98" t="s">
        <v>403</v>
      </c>
      <c r="L107" s="194"/>
      <c r="M107" s="99" t="s">
        <v>333</v>
      </c>
      <c r="N107" s="98" t="s">
        <v>354</v>
      </c>
      <c r="O107" s="98" t="s">
        <v>2307</v>
      </c>
      <c r="P107" s="98" t="s">
        <v>436</v>
      </c>
      <c r="Q107" s="98" t="s">
        <v>111</v>
      </c>
      <c r="R107" s="194"/>
      <c r="S107" s="98"/>
      <c r="T107" s="98"/>
      <c r="U107" s="98"/>
      <c r="V107" s="98" t="s">
        <v>182</v>
      </c>
      <c r="W107" s="98" t="s">
        <v>119</v>
      </c>
      <c r="X107" s="98" t="s">
        <v>434</v>
      </c>
      <c r="Y107" s="163" t="str">
        <f ca="1">IF(I107&lt;&gt;"",IF(I107&lt;=TODAY(),IF(OR(N107="REPROGRAMADA",N107="SUSPENDIDA",N107="EXCLUSION",N107="COLEGIADO"),"NO HECHA",IF(N107=" ","SINRESULTADO","SI")),"NO"),IF(N107="EXCLUSION","NO HECHA","LIMBO"))</f>
        <v>NO HECHA</v>
      </c>
      <c r="Z107" s="98" t="str">
        <f>IF($Z$1=I107,"DIASOL", "DIANOSOL")</f>
        <v>DIANOSOL</v>
      </c>
      <c r="AA107" s="98" t="s">
        <v>240</v>
      </c>
      <c r="AB107" s="98" t="s">
        <v>435</v>
      </c>
      <c r="AC107" s="98" t="str">
        <f>IF(H107=$M$1,"SI","NO")</f>
        <v>NO</v>
      </c>
      <c r="AD107" s="98"/>
      <c r="AE107" s="98"/>
      <c r="AF107" s="98" t="s">
        <v>2195</v>
      </c>
      <c r="AG107" s="163" t="str">
        <f>IF(COUNTIF(C107,"*preso*")&gt;0,"SI","NO")</f>
        <v>NO</v>
      </c>
      <c r="AH107" s="253">
        <f>NroOrden(N107)</f>
        <v>50</v>
      </c>
      <c r="AI107" s="98"/>
      <c r="AJ107" s="48" t="str">
        <f ca="1">IF(OR(Y107="NO",Y107="LIMBO"),"IMP","NOIMP")</f>
        <v>NOIMP</v>
      </c>
    </row>
    <row r="108" spans="1:37" ht="86.25" hidden="1" customHeight="1">
      <c r="A108" s="160">
        <v>80</v>
      </c>
      <c r="B108" s="161" t="s">
        <v>840</v>
      </c>
      <c r="C108" s="212"/>
      <c r="D108" s="160" t="s">
        <v>841</v>
      </c>
      <c r="E108" s="160" t="s">
        <v>842</v>
      </c>
      <c r="F108" s="162">
        <v>45065</v>
      </c>
      <c r="G108" s="160"/>
      <c r="H108" s="160" t="s">
        <v>1643</v>
      </c>
      <c r="I108" s="161">
        <v>45093</v>
      </c>
      <c r="J108" s="164">
        <v>0.54166666666666663</v>
      </c>
      <c r="K108" s="160" t="s">
        <v>362</v>
      </c>
      <c r="L108" s="255"/>
      <c r="M108" s="161" t="s">
        <v>330</v>
      </c>
      <c r="N108" s="160" t="s">
        <v>357</v>
      </c>
      <c r="O108" s="160" t="s">
        <v>2049</v>
      </c>
      <c r="P108" s="160"/>
      <c r="Q108" s="160" t="s">
        <v>329</v>
      </c>
      <c r="R108" s="255"/>
      <c r="S108" s="160"/>
      <c r="T108" s="160"/>
      <c r="U108" s="160"/>
      <c r="V108" s="160" t="s">
        <v>340</v>
      </c>
      <c r="W108" s="160" t="s">
        <v>843</v>
      </c>
      <c r="X108" s="160" t="s">
        <v>111</v>
      </c>
      <c r="Y108" s="160" t="str">
        <f ca="1">IF(I108&lt;&gt;"",IF(I108&lt;=TODAY(),IF(OR(N108="REPROGRAMADA",N108="SUSPENDIDA",N108="EXCLUSION",N108="COLEGIADO"),"NO HECHA",IF(N108=" ","SINRESULTADO","SI")),"NO"),IF(N108="EXCLUSION","NO HECHA","LIMBO"))</f>
        <v>SI</v>
      </c>
      <c r="Z108" s="160" t="str">
        <f>IF($Z$1=I108,"DIASOL", "DIANOSOL")</f>
        <v>DIANOSOL</v>
      </c>
      <c r="AA108" s="160" t="s">
        <v>240</v>
      </c>
      <c r="AB108" s="160" t="s">
        <v>844</v>
      </c>
      <c r="AC108" s="160" t="str">
        <f>IF(H108=$M$1,"SI","NO")</f>
        <v>NO</v>
      </c>
      <c r="AD108" s="160"/>
      <c r="AE108" s="160"/>
      <c r="AF108" s="266">
        <v>45106</v>
      </c>
      <c r="AG108" s="160" t="str">
        <f>IF(COUNTIF(C108,"*preso*")&gt;0,"SI","NO")</f>
        <v>NO</v>
      </c>
      <c r="AH108" s="253">
        <f>NroOrden(N108)</f>
        <v>50</v>
      </c>
      <c r="AI108" s="160"/>
      <c r="AJ108" s="48" t="str">
        <f ca="1">IF(OR(Y108="NO",Y108="LIMBO"),"IMP","NOIMP")</f>
        <v>NOIMP</v>
      </c>
    </row>
    <row r="109" spans="1:37" ht="38.25" hidden="1">
      <c r="A109" s="98">
        <v>12</v>
      </c>
      <c r="B109" s="99" t="s">
        <v>448</v>
      </c>
      <c r="C109" s="210" t="s">
        <v>367</v>
      </c>
      <c r="D109" s="98" t="s">
        <v>449</v>
      </c>
      <c r="E109" s="98" t="s">
        <v>450</v>
      </c>
      <c r="F109" s="153">
        <v>45076</v>
      </c>
      <c r="G109" s="98"/>
      <c r="H109" s="98"/>
      <c r="I109" s="99">
        <v>45093</v>
      </c>
      <c r="J109" s="98" t="s">
        <v>282</v>
      </c>
      <c r="K109" s="98" t="s">
        <v>403</v>
      </c>
      <c r="L109" s="194"/>
      <c r="M109" s="99" t="s">
        <v>333</v>
      </c>
      <c r="N109" s="98" t="s">
        <v>354</v>
      </c>
      <c r="O109" s="98" t="s">
        <v>2307</v>
      </c>
      <c r="P109" s="98" t="s">
        <v>429</v>
      </c>
      <c r="Q109" s="98" t="s">
        <v>111</v>
      </c>
      <c r="R109" s="194"/>
      <c r="S109" s="98" t="s">
        <v>374</v>
      </c>
      <c r="T109" s="98" t="s">
        <v>453</v>
      </c>
      <c r="U109" s="98"/>
      <c r="V109" s="98" t="s">
        <v>192</v>
      </c>
      <c r="W109" s="98" t="s">
        <v>136</v>
      </c>
      <c r="X109" s="98" t="s">
        <v>111</v>
      </c>
      <c r="Y109" s="163" t="str">
        <f ca="1">IF(I109&lt;&gt;"",IF(I109&lt;=TODAY(),IF(OR(N109="REPROGRAMADA",N109="SUSPENDIDA",N109="EXCLUSION",N109="COLEGIADO"),"NO HECHA",IF(N109=" ","SINRESULTADO","SI")),"NO"),IF(N109="EXCLUSION","NO HECHA","LIMBO"))</f>
        <v>NO HECHA</v>
      </c>
      <c r="Z109" s="98" t="str">
        <f>IF($Z$1=I109,"DIASOL", "DIANOSOL")</f>
        <v>DIANOSOL</v>
      </c>
      <c r="AA109" s="98" t="s">
        <v>240</v>
      </c>
      <c r="AB109" s="98" t="s">
        <v>452</v>
      </c>
      <c r="AC109" s="98" t="str">
        <f>IF(H109=$M$1,"SI","NO")</f>
        <v>NO</v>
      </c>
      <c r="AD109" s="98"/>
      <c r="AE109" s="98"/>
      <c r="AF109" s="98" t="s">
        <v>2195</v>
      </c>
      <c r="AG109" s="163" t="str">
        <f>IF(COUNTIF(C109,"*preso*")&gt;0,"SI","NO")</f>
        <v>SI</v>
      </c>
      <c r="AH109" s="253">
        <f>NroOrden(N109)</f>
        <v>50</v>
      </c>
      <c r="AI109" s="98"/>
      <c r="AJ109" s="48" t="str">
        <f ca="1">IF(OR(Y109="NO",Y109="LIMBO"),"IMP","NOIMP")</f>
        <v>NOIMP</v>
      </c>
    </row>
    <row r="110" spans="1:37" ht="39.950000000000003" hidden="1" customHeight="1">
      <c r="A110" s="160">
        <v>82</v>
      </c>
      <c r="B110" s="161" t="s">
        <v>850</v>
      </c>
      <c r="C110" s="212"/>
      <c r="D110" s="160" t="s">
        <v>851</v>
      </c>
      <c r="E110" s="160" t="s">
        <v>852</v>
      </c>
      <c r="F110" s="266">
        <v>45028</v>
      </c>
      <c r="G110" s="160" t="s">
        <v>853</v>
      </c>
      <c r="H110" s="160" t="s">
        <v>1649</v>
      </c>
      <c r="I110" s="161">
        <v>45098</v>
      </c>
      <c r="J110" s="164">
        <v>0.375</v>
      </c>
      <c r="K110" s="160" t="s">
        <v>364</v>
      </c>
      <c r="L110" s="255"/>
      <c r="M110" s="161" t="s">
        <v>328</v>
      </c>
      <c r="N110" s="160" t="s">
        <v>355</v>
      </c>
      <c r="O110" s="160" t="s">
        <v>2049</v>
      </c>
      <c r="P110" s="160" t="s">
        <v>854</v>
      </c>
      <c r="Q110" s="160" t="s">
        <v>111</v>
      </c>
      <c r="R110" s="255"/>
      <c r="S110" s="160"/>
      <c r="T110" s="160"/>
      <c r="U110" s="160"/>
      <c r="V110" s="160" t="s">
        <v>343</v>
      </c>
      <c r="W110" s="160" t="s">
        <v>855</v>
      </c>
      <c r="X110" s="160" t="s">
        <v>111</v>
      </c>
      <c r="Y110" s="160" t="str">
        <f ca="1">IF(I110&lt;&gt;"",IF(I110&lt;=TODAY(),IF(OR(N110="REPROGRAMADA",N110="SUSPENDIDA",N110="EXCLUSION",N110="COLEGIADO"),"NO HECHA",IF(N110=" ","SINRESULTADO","SI")),"NO"),IF(N110="EXCLUSION","NO HECHA","LIMBO"))</f>
        <v>SI</v>
      </c>
      <c r="Z110" s="160" t="str">
        <f>IF($Z$1=I110,"DIASOL", "DIANOSOL")</f>
        <v>DIANOSOL</v>
      </c>
      <c r="AA110" s="160" t="s">
        <v>240</v>
      </c>
      <c r="AB110" s="160" t="s">
        <v>856</v>
      </c>
      <c r="AC110" s="160" t="str">
        <f>IF(H110=$M$1,"SI","NO")</f>
        <v>NO</v>
      </c>
      <c r="AD110" s="160"/>
      <c r="AE110" s="160"/>
      <c r="AF110" s="266">
        <v>45105</v>
      </c>
      <c r="AG110" s="160" t="str">
        <f>IF(COUNTIF(C110,"*preso*")&gt;0,"SI","NO")</f>
        <v>NO</v>
      </c>
      <c r="AH110" s="253">
        <f>NroOrden(N110)</f>
        <v>50</v>
      </c>
      <c r="AI110" s="160" t="s">
        <v>857</v>
      </c>
      <c r="AJ110" s="48" t="str">
        <f ca="1">IF(OR(Y110="NO",Y110="LIMBO"),"IMP","NOIMP")</f>
        <v>NOIMP</v>
      </c>
    </row>
    <row r="111" spans="1:37" ht="39.950000000000003" hidden="1" customHeight="1">
      <c r="A111" s="160">
        <v>97</v>
      </c>
      <c r="B111" s="161" t="s">
        <v>933</v>
      </c>
      <c r="C111" s="212"/>
      <c r="D111" s="160" t="s">
        <v>934</v>
      </c>
      <c r="E111" s="160" t="s">
        <v>935</v>
      </c>
      <c r="F111" s="162">
        <v>45068</v>
      </c>
      <c r="G111" s="160" t="s">
        <v>936</v>
      </c>
      <c r="H111" s="160" t="s">
        <v>1646</v>
      </c>
      <c r="I111" s="161">
        <v>45098</v>
      </c>
      <c r="J111" s="164">
        <v>0.5</v>
      </c>
      <c r="K111" s="160" t="s">
        <v>362</v>
      </c>
      <c r="L111" s="255"/>
      <c r="M111" s="161" t="s">
        <v>330</v>
      </c>
      <c r="N111" s="160" t="s">
        <v>357</v>
      </c>
      <c r="O111" s="160" t="s">
        <v>2049</v>
      </c>
      <c r="P111" s="160"/>
      <c r="Q111" s="160" t="s">
        <v>329</v>
      </c>
      <c r="R111" s="255"/>
      <c r="S111" s="160"/>
      <c r="T111" s="160"/>
      <c r="U111" s="160"/>
      <c r="V111" s="160" t="s">
        <v>342</v>
      </c>
      <c r="W111" s="160" t="s">
        <v>135</v>
      </c>
      <c r="X111" s="160" t="s">
        <v>111</v>
      </c>
      <c r="Y111" s="160" t="str">
        <f ca="1">IF(I111&lt;&gt;"",IF(I111&lt;=TODAY(),IF(OR(N111="REPROGRAMADA",N111="SUSPENDIDA",N111="EXCLUSION",N111="COLEGIADO"),"NO HECHA",IF(N111=" ","SINRESULTADO","SI")),"NO"),IF(N111="EXCLUSION","NO HECHA","LIMBO"))</f>
        <v>SI</v>
      </c>
      <c r="Z111" s="160" t="str">
        <f>IF($Z$1=I111,"DIASOL", "DIANOSOL")</f>
        <v>DIANOSOL</v>
      </c>
      <c r="AA111" s="160" t="s">
        <v>240</v>
      </c>
      <c r="AB111" s="160" t="s">
        <v>937</v>
      </c>
      <c r="AC111" s="160" t="str">
        <f>IF(H111=$M$1,"SI","NO")</f>
        <v>NO</v>
      </c>
      <c r="AD111" s="160"/>
      <c r="AE111" s="160"/>
      <c r="AF111" s="266">
        <v>45106</v>
      </c>
      <c r="AG111" s="160" t="str">
        <f>IF(COUNTIF(C111,"*preso*")&gt;0,"SI","NO")</f>
        <v>NO</v>
      </c>
      <c r="AH111" s="253">
        <f>NroOrden(N111)</f>
        <v>50</v>
      </c>
      <c r="AI111" s="160"/>
      <c r="AJ111" s="48" t="str">
        <f ca="1">IF(OR(Y111="NO",Y111="LIMBO"),"IMP","NOIMP")</f>
        <v>NOIMP</v>
      </c>
    </row>
    <row r="112" spans="1:37" ht="39.950000000000003" hidden="1" customHeight="1">
      <c r="A112" s="98">
        <v>13</v>
      </c>
      <c r="B112" s="99" t="s">
        <v>37</v>
      </c>
      <c r="C112" s="210" t="s">
        <v>454</v>
      </c>
      <c r="D112" s="98" t="s">
        <v>455</v>
      </c>
      <c r="E112" s="98" t="s">
        <v>456</v>
      </c>
      <c r="F112" s="153">
        <v>45076</v>
      </c>
      <c r="G112" s="98"/>
      <c r="H112" s="98"/>
      <c r="I112" s="99">
        <v>45098</v>
      </c>
      <c r="J112" s="141">
        <v>0.52083333333333337</v>
      </c>
      <c r="K112" s="98" t="s">
        <v>365</v>
      </c>
      <c r="L112" s="194"/>
      <c r="M112" s="99" t="s">
        <v>332</v>
      </c>
      <c r="N112" s="98" t="s">
        <v>354</v>
      </c>
      <c r="O112" s="98" t="s">
        <v>2303</v>
      </c>
      <c r="P112" s="98" t="s">
        <v>457</v>
      </c>
      <c r="Q112" s="98" t="s">
        <v>111</v>
      </c>
      <c r="R112" s="194"/>
      <c r="S112" s="98"/>
      <c r="T112" s="98"/>
      <c r="U112" s="98"/>
      <c r="V112" s="98" t="s">
        <v>192</v>
      </c>
      <c r="W112" s="98" t="s">
        <v>119</v>
      </c>
      <c r="X112" s="98" t="s">
        <v>111</v>
      </c>
      <c r="Y112" s="163" t="str">
        <f ca="1">IF(I112&lt;&gt;"",IF(I112&lt;=TODAY(),IF(OR(N112="REPROGRAMADA",N112="SUSPENDIDA",N112="EXCLUSION",N112="COLEGIADO"),"NO HECHA",IF(N112=" ","SINRESULTADO","SI")),"NO"),IF(N112="EXCLUSION","NO HECHA","LIMBO"))</f>
        <v>NO HECHA</v>
      </c>
      <c r="Z112" s="98" t="str">
        <f>IF($Z$1=I112,"DIASOL", "DIANOSOL")</f>
        <v>DIANOSOL</v>
      </c>
      <c r="AA112" s="98" t="s">
        <v>458</v>
      </c>
      <c r="AB112" s="98" t="s">
        <v>464</v>
      </c>
      <c r="AC112" s="98" t="str">
        <f>IF(H112=$M$1,"SI","NO")</f>
        <v>NO</v>
      </c>
      <c r="AD112" s="98"/>
      <c r="AE112" s="98"/>
      <c r="AF112" s="98" t="s">
        <v>2195</v>
      </c>
      <c r="AG112" s="163" t="str">
        <f>IF(COUNTIF(C112,"*preso*")&gt;0,"SI","NO")</f>
        <v>NO</v>
      </c>
      <c r="AH112" s="253">
        <f>NroOrden(N112)</f>
        <v>50</v>
      </c>
      <c r="AI112" s="98" t="s">
        <v>459</v>
      </c>
      <c r="AJ112" s="48" t="str">
        <f ca="1">IF(OR(Y112="NO",Y112="LIMBO"),"IMP","NOIMP")</f>
        <v>NOIMP</v>
      </c>
    </row>
    <row r="113" spans="1:36" ht="38.25" hidden="1">
      <c r="A113" s="160">
        <v>54</v>
      </c>
      <c r="B113" s="161" t="s">
        <v>703</v>
      </c>
      <c r="C113" s="212"/>
      <c r="D113" s="160" t="s">
        <v>704</v>
      </c>
      <c r="E113" s="160" t="s">
        <v>705</v>
      </c>
      <c r="F113" s="266">
        <v>45062</v>
      </c>
      <c r="G113" s="160" t="s">
        <v>706</v>
      </c>
      <c r="H113" s="160" t="s">
        <v>1649</v>
      </c>
      <c r="I113" s="161">
        <v>45099</v>
      </c>
      <c r="J113" s="164">
        <v>0.45833333333333331</v>
      </c>
      <c r="K113" s="160" t="s">
        <v>364</v>
      </c>
      <c r="L113" s="255"/>
      <c r="M113" s="161" t="s">
        <v>328</v>
      </c>
      <c r="N113" s="160" t="s">
        <v>355</v>
      </c>
      <c r="O113" s="160" t="s">
        <v>2049</v>
      </c>
      <c r="P113" s="160" t="s">
        <v>709</v>
      </c>
      <c r="Q113" s="160" t="s">
        <v>111</v>
      </c>
      <c r="R113" s="255"/>
      <c r="S113" s="160"/>
      <c r="T113" s="160"/>
      <c r="U113" s="160"/>
      <c r="V113" s="160" t="s">
        <v>268</v>
      </c>
      <c r="W113" s="160" t="s">
        <v>136</v>
      </c>
      <c r="X113" s="160" t="s">
        <v>111</v>
      </c>
      <c r="Y113" s="160" t="str">
        <f ca="1">IF(I113&lt;&gt;"",IF(I113&lt;=TODAY(),IF(OR(N113="REPROGRAMADA",N113="SUSPENDIDA",N113="EXCLUSION",N113="COLEGIADO"),"NO HECHA",IF(N113=" ","SINRESULTADO","SI")),"NO"),IF(N113="EXCLUSION","NO HECHA","LIMBO"))</f>
        <v>SI</v>
      </c>
      <c r="Z113" s="160" t="str">
        <f>IF($Z$1=I113,"DIASOL", "DIANOSOL")</f>
        <v>DIANOSOL</v>
      </c>
      <c r="AA113" s="160" t="s">
        <v>240</v>
      </c>
      <c r="AB113" s="160" t="s">
        <v>708</v>
      </c>
      <c r="AC113" s="160" t="str">
        <f>IF(H113=$M$1,"SI","NO")</f>
        <v>NO</v>
      </c>
      <c r="AD113" s="160"/>
      <c r="AE113" s="160"/>
      <c r="AF113" s="266">
        <v>45106</v>
      </c>
      <c r="AG113" s="160" t="str">
        <f>IF(COUNTIF(C113,"*preso*")&gt;0,"SI","NO")</f>
        <v>NO</v>
      </c>
      <c r="AH113" s="253">
        <f>NroOrden(N113)</f>
        <v>50</v>
      </c>
      <c r="AI113" s="160" t="s">
        <v>710</v>
      </c>
      <c r="AJ113" s="48" t="str">
        <f ca="1">IF(OR(Y113="NO",Y113="LIMBO"),"IMP","NOIMP")</f>
        <v>NOIMP</v>
      </c>
    </row>
    <row r="114" spans="1:36" ht="81" hidden="1" customHeight="1">
      <c r="A114" s="98">
        <v>36</v>
      </c>
      <c r="B114" s="99" t="s">
        <v>478</v>
      </c>
      <c r="C114" s="209" t="s">
        <v>480</v>
      </c>
      <c r="D114" s="98" t="s">
        <v>479</v>
      </c>
      <c r="E114" s="98" t="s">
        <v>481</v>
      </c>
      <c r="F114" s="153">
        <v>45076</v>
      </c>
      <c r="G114" s="98"/>
      <c r="H114" s="98" t="s">
        <v>111</v>
      </c>
      <c r="I114" s="99">
        <v>45100</v>
      </c>
      <c r="J114" s="98" t="s">
        <v>282</v>
      </c>
      <c r="K114" s="98" t="s">
        <v>364</v>
      </c>
      <c r="L114" s="194"/>
      <c r="M114" s="99" t="s">
        <v>331</v>
      </c>
      <c r="N114" s="98" t="s">
        <v>354</v>
      </c>
      <c r="O114" s="98" t="s">
        <v>2359</v>
      </c>
      <c r="P114" s="98" t="s">
        <v>442</v>
      </c>
      <c r="Q114" s="98" t="s">
        <v>111</v>
      </c>
      <c r="R114" s="194"/>
      <c r="S114" s="98" t="s">
        <v>374</v>
      </c>
      <c r="T114" s="98" t="s">
        <v>485</v>
      </c>
      <c r="U114" s="98"/>
      <c r="V114" s="98" t="s">
        <v>189</v>
      </c>
      <c r="W114" s="98" t="s">
        <v>483</v>
      </c>
      <c r="X114" s="98" t="s">
        <v>111</v>
      </c>
      <c r="Y114" s="163" t="str">
        <f ca="1">IF(I114&lt;&gt;"",IF(I114&lt;=TODAY(),IF(OR(N114="REPROGRAMADA",N114="SUSPENDIDA",N114="EXCLUSION",N114="COLEGIADO"),"NO HECHA",IF(N114=" ","SINRESULTADO","SI")),"NO"),IF(N114="EXCLUSION","NO HECHA","LIMBO"))</f>
        <v>NO HECHA</v>
      </c>
      <c r="Z114" s="98" t="str">
        <f>IF($Z$1=I114,"DIASOL", "DIANOSOL")</f>
        <v>DIANOSOL</v>
      </c>
      <c r="AA114" s="98" t="s">
        <v>240</v>
      </c>
      <c r="AB114" s="98" t="s">
        <v>484</v>
      </c>
      <c r="AC114" s="98" t="str">
        <f>IF(H114=$M$1,"SI","NO")</f>
        <v>NO</v>
      </c>
      <c r="AD114" s="98"/>
      <c r="AE114" s="98"/>
      <c r="AF114" s="98" t="s">
        <v>2195</v>
      </c>
      <c r="AG114" s="163" t="str">
        <f>IF(COUNTIF(C114,"*preso*")&gt;0,"SI","NO")</f>
        <v>SI</v>
      </c>
      <c r="AH114" s="253">
        <f>NroOrden(N114)</f>
        <v>50</v>
      </c>
      <c r="AI114" s="98"/>
      <c r="AJ114" s="48" t="str">
        <f ca="1">IF(OR(Y114="NO",Y114="LIMBO"),"IMP","NOIMP")</f>
        <v>NOIMP</v>
      </c>
    </row>
    <row r="115" spans="1:36" ht="78" hidden="1" customHeight="1">
      <c r="A115" s="186">
        <v>89</v>
      </c>
      <c r="B115" s="187" t="s">
        <v>888</v>
      </c>
      <c r="C115" s="301" t="s">
        <v>889</v>
      </c>
      <c r="D115" s="186" t="s">
        <v>890</v>
      </c>
      <c r="E115" s="186" t="s">
        <v>891</v>
      </c>
      <c r="F115" s="225">
        <v>45064</v>
      </c>
      <c r="G115" s="186" t="s">
        <v>892</v>
      </c>
      <c r="H115" s="186" t="s">
        <v>1649</v>
      </c>
      <c r="I115" s="187">
        <v>45103</v>
      </c>
      <c r="J115" s="304">
        <v>0.5</v>
      </c>
      <c r="K115" s="186" t="s">
        <v>363</v>
      </c>
      <c r="L115" s="255"/>
      <c r="M115" s="187" t="s">
        <v>329</v>
      </c>
      <c r="N115" s="186" t="s">
        <v>357</v>
      </c>
      <c r="O115" s="186" t="s">
        <v>2049</v>
      </c>
      <c r="P115" s="186"/>
      <c r="Q115" s="186" t="s">
        <v>328</v>
      </c>
      <c r="R115" s="255"/>
      <c r="S115" s="186"/>
      <c r="T115" s="186"/>
      <c r="U115" s="186"/>
      <c r="V115" s="186" t="s">
        <v>194</v>
      </c>
      <c r="W115" s="186" t="s">
        <v>893</v>
      </c>
      <c r="X115" s="186" t="s">
        <v>111</v>
      </c>
      <c r="Y115" s="160" t="str">
        <f ca="1">IF(I115&lt;&gt;"",IF(I115&lt;=TODAY(),IF(OR(N115="REPROGRAMADA",N115="SUSPENDIDA",N115="EXCLUSION",N115="COLEGIADO"),"NO HECHA",IF(N115=" ","SINRESULTADO","SI")),"NO"),IF(N115="EXCLUSION","NO HECHA","LIMBO"))</f>
        <v>SI</v>
      </c>
      <c r="Z115" s="160" t="str">
        <f>IF($Z$1=I115,"DIASOL", "DIANOSOL")</f>
        <v>DIANOSOL</v>
      </c>
      <c r="AA115" s="186" t="s">
        <v>894</v>
      </c>
      <c r="AB115" s="186" t="s">
        <v>895</v>
      </c>
      <c r="AC115" s="160" t="str">
        <f>IF(H115=$M$1,"SI","NO")</f>
        <v>NO</v>
      </c>
      <c r="AD115" s="160"/>
      <c r="AE115" s="186"/>
      <c r="AF115" s="225">
        <v>45107</v>
      </c>
      <c r="AG115" s="160" t="str">
        <f>IF(COUNTIF(C115,"*preso*")&gt;0,"SI","NO")</f>
        <v>SI</v>
      </c>
      <c r="AH115" s="253">
        <f>NroOrden(N115)</f>
        <v>50</v>
      </c>
      <c r="AI115" s="186"/>
      <c r="AJ115" s="48" t="str">
        <f ca="1">IF(OR(Y115="NO",Y115="LIMBO"),"IMP","NOIMP")</f>
        <v>NOIMP</v>
      </c>
    </row>
    <row r="116" spans="1:36" ht="57.75" hidden="1" customHeight="1">
      <c r="A116" s="98">
        <v>4</v>
      </c>
      <c r="B116" s="99" t="s">
        <v>399</v>
      </c>
      <c r="C116" s="210"/>
      <c r="D116" s="98" t="s">
        <v>400</v>
      </c>
      <c r="E116" s="98" t="s">
        <v>401</v>
      </c>
      <c r="F116" s="153">
        <v>45069</v>
      </c>
      <c r="G116" s="98"/>
      <c r="H116" s="98" t="s">
        <v>111</v>
      </c>
      <c r="I116" s="99">
        <v>45104</v>
      </c>
      <c r="J116" s="98" t="s">
        <v>16</v>
      </c>
      <c r="K116" s="98" t="s">
        <v>403</v>
      </c>
      <c r="L116" s="194"/>
      <c r="M116" s="99" t="s">
        <v>333</v>
      </c>
      <c r="N116" s="98" t="s">
        <v>354</v>
      </c>
      <c r="O116" s="98" t="s">
        <v>2306</v>
      </c>
      <c r="P116" s="98" t="s">
        <v>406</v>
      </c>
      <c r="Q116" s="98" t="s">
        <v>111</v>
      </c>
      <c r="R116" s="194"/>
      <c r="S116" s="98"/>
      <c r="T116" s="98"/>
      <c r="U116" s="98"/>
      <c r="V116" s="98" t="s">
        <v>194</v>
      </c>
      <c r="W116" s="98" t="s">
        <v>141</v>
      </c>
      <c r="X116" s="98" t="s">
        <v>404</v>
      </c>
      <c r="Y116" s="163" t="str">
        <f ca="1">IF(I116&lt;&gt;"",IF(I116&lt;=TODAY(),IF(OR(N116="REPROGRAMADA",N116="SUSPENDIDA",N116="EXCLUSION",N116="COLEGIADO"),"NO HECHA",IF(N116=" ","SINRESULTADO","SI")),"NO"),IF(N116="EXCLUSION","NO HECHA","LIMBO"))</f>
        <v>NO HECHA</v>
      </c>
      <c r="Z116" s="98" t="str">
        <f>IF($Z$1=I116,"DIASOL", "DIANOSOL")</f>
        <v>DIANOSOL</v>
      </c>
      <c r="AA116" s="98" t="s">
        <v>240</v>
      </c>
      <c r="AB116" s="98" t="s">
        <v>405</v>
      </c>
      <c r="AC116" s="98" t="str">
        <f>IF(H116=$M$1,"SI","NO")</f>
        <v>NO</v>
      </c>
      <c r="AD116" s="98"/>
      <c r="AE116" s="98"/>
      <c r="AF116" s="98" t="s">
        <v>2195</v>
      </c>
      <c r="AG116" s="163" t="str">
        <f>IF(COUNTIF(C116,"*preso*")&gt;0,"SI","NO")</f>
        <v>NO</v>
      </c>
      <c r="AH116" s="253">
        <f>NroOrden(N116)</f>
        <v>50</v>
      </c>
      <c r="AI116" s="98"/>
      <c r="AJ116" s="48" t="str">
        <f ca="1">IF(OR(Y116="NO",Y116="LIMBO"),"IMP","NOIMP")</f>
        <v>NOIMP</v>
      </c>
    </row>
    <row r="117" spans="1:36" ht="39.950000000000003" hidden="1" customHeight="1">
      <c r="A117" s="160">
        <v>5</v>
      </c>
      <c r="B117" s="161" t="s">
        <v>407</v>
      </c>
      <c r="C117" s="211"/>
      <c r="D117" s="160" t="s">
        <v>408</v>
      </c>
      <c r="E117" s="160" t="s">
        <v>409</v>
      </c>
      <c r="F117" s="162">
        <v>45082</v>
      </c>
      <c r="G117" s="160" t="s">
        <v>410</v>
      </c>
      <c r="H117" s="160" t="s">
        <v>1646</v>
      </c>
      <c r="I117" s="161">
        <v>45104</v>
      </c>
      <c r="J117" s="160" t="s">
        <v>14</v>
      </c>
      <c r="K117" s="160" t="s">
        <v>363</v>
      </c>
      <c r="L117" s="255"/>
      <c r="M117" s="161" t="s">
        <v>329</v>
      </c>
      <c r="N117" s="160" t="s">
        <v>357</v>
      </c>
      <c r="O117" s="160" t="s">
        <v>2049</v>
      </c>
      <c r="P117" s="160"/>
      <c r="Q117" s="160" t="s">
        <v>328</v>
      </c>
      <c r="R117" s="255"/>
      <c r="S117" s="160"/>
      <c r="T117" s="160"/>
      <c r="U117" s="160"/>
      <c r="V117" s="160" t="s">
        <v>345</v>
      </c>
      <c r="W117" s="160" t="s">
        <v>411</v>
      </c>
      <c r="X117" s="160" t="s">
        <v>111</v>
      </c>
      <c r="Y117" s="160" t="str">
        <f ca="1">IF(I117&lt;&gt;"",IF(I117&lt;=TODAY(),IF(OR(N117="REPROGRAMADA",N117="SUSPENDIDA",N117="EXCLUSION",N117="COLEGIADO"),"NO HECHA",IF(N117=" ","SINRESULTADO","SI")),"NO"),IF(N117="EXCLUSION","NO HECHA","LIMBO"))</f>
        <v>SI</v>
      </c>
      <c r="Z117" s="160" t="str">
        <f>IF($Z$1=I117,"DIASOL", "DIANOSOL")</f>
        <v>DIANOSOL</v>
      </c>
      <c r="AA117" s="160" t="s">
        <v>240</v>
      </c>
      <c r="AB117" s="160" t="s">
        <v>412</v>
      </c>
      <c r="AC117" s="160" t="str">
        <f>IF(H117=$M$1,"SI","NO")</f>
        <v>NO</v>
      </c>
      <c r="AD117" s="160"/>
      <c r="AE117" s="160"/>
      <c r="AF117" s="266">
        <v>45134</v>
      </c>
      <c r="AG117" s="160" t="str">
        <f>IF(COUNTIF(C117,"*preso*")&gt;0,"SI","NO")</f>
        <v>NO</v>
      </c>
      <c r="AH117" s="253">
        <f>NroOrden(N117)</f>
        <v>50</v>
      </c>
      <c r="AI117" s="160"/>
      <c r="AJ117" s="48" t="str">
        <f ca="1">IF(OR(Y117="NO",Y117="LIMBO"),"IMP","NOIMP")</f>
        <v>NOIMP</v>
      </c>
    </row>
    <row r="118" spans="1:36" ht="39.950000000000003" hidden="1" customHeight="1">
      <c r="A118" s="98">
        <v>10</v>
      </c>
      <c r="B118" s="99" t="s">
        <v>437</v>
      </c>
      <c r="C118" s="210"/>
      <c r="D118" s="98" t="s">
        <v>438</v>
      </c>
      <c r="E118" s="98" t="s">
        <v>439</v>
      </c>
      <c r="F118" s="153">
        <v>45079</v>
      </c>
      <c r="G118" s="98"/>
      <c r="H118" s="98" t="s">
        <v>111</v>
      </c>
      <c r="I118" s="99">
        <v>45105</v>
      </c>
      <c r="J118" s="141">
        <v>0.52083333333333337</v>
      </c>
      <c r="K118" s="98" t="s">
        <v>365</v>
      </c>
      <c r="L118" s="194"/>
      <c r="M118" s="99" t="s">
        <v>331</v>
      </c>
      <c r="N118" s="98" t="s">
        <v>354</v>
      </c>
      <c r="O118" s="98" t="s">
        <v>2305</v>
      </c>
      <c r="P118" s="98" t="s">
        <v>442</v>
      </c>
      <c r="Q118" s="98" t="s">
        <v>111</v>
      </c>
      <c r="R118" s="194"/>
      <c r="S118" s="98"/>
      <c r="T118" s="98"/>
      <c r="U118" s="98"/>
      <c r="V118" s="98" t="s">
        <v>345</v>
      </c>
      <c r="W118" s="98" t="s">
        <v>440</v>
      </c>
      <c r="X118" s="98" t="s">
        <v>434</v>
      </c>
      <c r="Y118" s="163" t="str">
        <f ca="1">IF(I118&lt;&gt;"",IF(I118&lt;=TODAY(),IF(OR(N118="REPROGRAMADA",N118="SUSPENDIDA",N118="EXCLUSION",N118="COLEGIADO"),"NO HECHA",IF(N118=" ","SINRESULTADO","SI")),"NO"),IF(N118="EXCLUSION","NO HECHA","LIMBO"))</f>
        <v>NO HECHA</v>
      </c>
      <c r="Z118" s="98" t="str">
        <f>IF($Z$1=I118,"DIASOL", "DIANOSOL")</f>
        <v>DIANOSOL</v>
      </c>
      <c r="AA118" s="98" t="s">
        <v>240</v>
      </c>
      <c r="AB118" s="98" t="s">
        <v>441</v>
      </c>
      <c r="AC118" s="98" t="str">
        <f>IF(H118=$M$1,"SI","NO")</f>
        <v>NO</v>
      </c>
      <c r="AD118" s="98"/>
      <c r="AE118" s="98"/>
      <c r="AF118" s="98" t="s">
        <v>2195</v>
      </c>
      <c r="AG118" s="163" t="str">
        <f>IF(COUNTIF(C118,"*preso*")&gt;0,"SI","NO")</f>
        <v>NO</v>
      </c>
      <c r="AH118" s="253">
        <f>NroOrden(N118)</f>
        <v>50</v>
      </c>
      <c r="AI118" s="98"/>
      <c r="AJ118" s="48" t="str">
        <f ca="1">IF(OR(Y118="NO",Y118="LIMBO"),"IMP","NOIMP")</f>
        <v>NOIMP</v>
      </c>
    </row>
    <row r="119" spans="1:36" ht="66" hidden="1" customHeight="1">
      <c r="A119" s="98">
        <v>14</v>
      </c>
      <c r="B119" s="99" t="s">
        <v>460</v>
      </c>
      <c r="C119" s="210"/>
      <c r="D119" s="98" t="s">
        <v>461</v>
      </c>
      <c r="E119" s="98" t="s">
        <v>462</v>
      </c>
      <c r="F119" s="153">
        <v>45083</v>
      </c>
      <c r="G119" s="98"/>
      <c r="H119" s="98" t="s">
        <v>111</v>
      </c>
      <c r="I119" s="99">
        <v>45105</v>
      </c>
      <c r="J119" s="98" t="s">
        <v>396</v>
      </c>
      <c r="K119" s="98" t="s">
        <v>364</v>
      </c>
      <c r="L119" s="194"/>
      <c r="M119" s="99" t="s">
        <v>329</v>
      </c>
      <c r="N119" s="98" t="s">
        <v>354</v>
      </c>
      <c r="O119" s="98" t="s">
        <v>2305</v>
      </c>
      <c r="P119" s="98" t="s">
        <v>465</v>
      </c>
      <c r="Q119" s="98" t="s">
        <v>111</v>
      </c>
      <c r="R119" s="194"/>
      <c r="S119" s="98"/>
      <c r="T119" s="98"/>
      <c r="U119" s="98"/>
      <c r="V119" s="98" t="s">
        <v>344</v>
      </c>
      <c r="W119" s="98" t="s">
        <v>135</v>
      </c>
      <c r="X119" s="98" t="s">
        <v>111</v>
      </c>
      <c r="Y119" s="163" t="str">
        <f ca="1">IF(I119&lt;&gt;"",IF(I119&lt;=TODAY(),IF(OR(N119="REPROGRAMADA",N119="SUSPENDIDA",N119="EXCLUSION",N119="COLEGIADO"),"NO HECHA",IF(N119=" ","SINRESULTADO","SI")),"NO"),IF(N119="EXCLUSION","NO HECHA","LIMBO"))</f>
        <v>NO HECHA</v>
      </c>
      <c r="Z119" s="98" t="str">
        <f>IF($Z$1=I119,"DIASOL", "DIANOSOL")</f>
        <v>DIANOSOL</v>
      </c>
      <c r="AA119" s="98" t="s">
        <v>240</v>
      </c>
      <c r="AB119" s="98" t="s">
        <v>463</v>
      </c>
      <c r="AC119" s="98" t="str">
        <f>IF(H119=$M$1,"SI","NO")</f>
        <v>NO</v>
      </c>
      <c r="AD119" s="98"/>
      <c r="AE119" s="98"/>
      <c r="AF119" s="98"/>
      <c r="AG119" s="163" t="str">
        <f>IF(COUNTIF(C119,"*preso*")&gt;0,"SI","NO")</f>
        <v>NO</v>
      </c>
      <c r="AH119" s="253">
        <f>NroOrden(N119)</f>
        <v>50</v>
      </c>
      <c r="AI119" s="98"/>
      <c r="AJ119" s="48" t="str">
        <f ca="1">IF(OR(Y119="NO",Y119="LIMBO"),"IMP","NOIMP")</f>
        <v>NOIMP</v>
      </c>
    </row>
    <row r="120" spans="1:36" ht="25.5" hidden="1">
      <c r="A120" s="160">
        <v>22</v>
      </c>
      <c r="B120" s="161" t="s">
        <v>516</v>
      </c>
      <c r="C120" s="211"/>
      <c r="D120" s="160" t="s">
        <v>517</v>
      </c>
      <c r="E120" s="160" t="s">
        <v>518</v>
      </c>
      <c r="F120" s="266">
        <v>45083</v>
      </c>
      <c r="G120" s="160" t="s">
        <v>519</v>
      </c>
      <c r="H120" s="160" t="s">
        <v>1649</v>
      </c>
      <c r="I120" s="161">
        <v>45107</v>
      </c>
      <c r="J120" s="164">
        <v>0.39583333333333331</v>
      </c>
      <c r="K120" s="160" t="s">
        <v>364</v>
      </c>
      <c r="L120" s="252"/>
      <c r="M120" s="161" t="s">
        <v>328</v>
      </c>
      <c r="N120" s="160" t="s">
        <v>359</v>
      </c>
      <c r="O120" s="160" t="s">
        <v>2049</v>
      </c>
      <c r="P120" s="160" t="s">
        <v>520</v>
      </c>
      <c r="Q120" s="160" t="s">
        <v>111</v>
      </c>
      <c r="R120" s="255"/>
      <c r="S120" s="160"/>
      <c r="T120" s="160"/>
      <c r="U120" s="160"/>
      <c r="V120" s="160" t="s">
        <v>190</v>
      </c>
      <c r="W120" s="160" t="s">
        <v>140</v>
      </c>
      <c r="X120" s="160" t="s">
        <v>111</v>
      </c>
      <c r="Y120" s="160" t="str">
        <f ca="1">IF(I120&lt;&gt;"",IF(I120&lt;=TODAY(),IF(OR(N120="REPROGRAMADA",N120="SUSPENDIDA",N120="EXCLUSION",N120="COLEGIADO"),"NO HECHA",IF(N120=" ","SINRESULTADO","SI")),"NO"),IF(N120="EXCLUSION","NO HECHA","LIMBO"))</f>
        <v>SI</v>
      </c>
      <c r="Z120" s="160" t="str">
        <f>IF($Z$1=I120,"DIASOL", "DIANOSOL")</f>
        <v>DIANOSOL</v>
      </c>
      <c r="AA120" s="160" t="s">
        <v>240</v>
      </c>
      <c r="AB120" s="160"/>
      <c r="AC120" s="160" t="str">
        <f>IF(H120=$M$1,"SI","NO")</f>
        <v>NO</v>
      </c>
      <c r="AD120" s="160"/>
      <c r="AE120" s="160"/>
      <c r="AF120" s="266">
        <v>45140</v>
      </c>
      <c r="AG120" s="160" t="str">
        <f>IF(COUNTIF(C120,"*preso*")&gt;0,"SI","NO")</f>
        <v>NO</v>
      </c>
      <c r="AH120" s="253">
        <f>NroOrden(N120)</f>
        <v>50</v>
      </c>
      <c r="AI120" s="160"/>
      <c r="AJ120" s="48" t="str">
        <f ca="1">IF(OR(Y120="NO",Y120="LIMBO"),"IMP","NOIMP")</f>
        <v>NOIMP</v>
      </c>
    </row>
    <row r="121" spans="1:36" ht="39.950000000000003" hidden="1" customHeight="1">
      <c r="A121" s="98">
        <v>100</v>
      </c>
      <c r="B121" s="99" t="s">
        <v>944</v>
      </c>
      <c r="C121" s="209"/>
      <c r="D121" s="98" t="s">
        <v>945</v>
      </c>
      <c r="E121" s="98" t="s">
        <v>946</v>
      </c>
      <c r="F121" s="184"/>
      <c r="G121" s="98"/>
      <c r="H121" s="98"/>
      <c r="I121" s="99">
        <v>45107</v>
      </c>
      <c r="J121" s="141">
        <v>0.58333333333333337</v>
      </c>
      <c r="K121" s="182" t="s">
        <v>362</v>
      </c>
      <c r="L121" s="194"/>
      <c r="M121" s="99" t="s">
        <v>329</v>
      </c>
      <c r="N121" s="98" t="s">
        <v>354</v>
      </c>
      <c r="O121" s="98" t="s">
        <v>2356</v>
      </c>
      <c r="P121" s="98" t="s">
        <v>1427</v>
      </c>
      <c r="Q121" s="182" t="s">
        <v>111</v>
      </c>
      <c r="R121" s="194"/>
      <c r="S121" s="98"/>
      <c r="T121" s="182"/>
      <c r="U121" s="182"/>
      <c r="V121" s="98" t="s">
        <v>947</v>
      </c>
      <c r="W121" s="98" t="s">
        <v>948</v>
      </c>
      <c r="X121" s="98" t="s">
        <v>111</v>
      </c>
      <c r="Y121" s="163" t="str">
        <f ca="1">IF(I121&lt;&gt;"",IF(I121&lt;=TODAY(),IF(OR(N121="REPROGRAMADA",N121="SUSPENDIDA",N121="EXCLUSION",N121="COLEGIADO"),"NO HECHA",IF(N121=" ","SINRESULTADO","SI")),"NO"),IF(N121="EXCLUSION","NO HECHA","LIMBO"))</f>
        <v>NO HECHA</v>
      </c>
      <c r="Z121" s="98" t="str">
        <f>IF($Z$1=I121,"DIASOL", "DIANOSOL")</f>
        <v>DIANOSOL</v>
      </c>
      <c r="AA121" s="98" t="s">
        <v>240</v>
      </c>
      <c r="AB121" s="98" t="s">
        <v>949</v>
      </c>
      <c r="AC121" s="185" t="str">
        <f>IF(H121=$M$1,"SI","NO")</f>
        <v>NO</v>
      </c>
      <c r="AD121" s="185"/>
      <c r="AE121" s="182"/>
      <c r="AF121" s="182"/>
      <c r="AG121" s="182" t="str">
        <f>IF(COUNTIF(C121,"*preso*")&gt;0,"SI","NO")</f>
        <v>NO</v>
      </c>
      <c r="AH121" s="265">
        <f>NroOrden(N121)</f>
        <v>50</v>
      </c>
      <c r="AI121" s="182"/>
      <c r="AJ121" s="283" t="str">
        <f ca="1">IF(OR(Y121="NO",Y121="LIMBO"),"IMP","NOIMP")</f>
        <v>NOIMP</v>
      </c>
    </row>
    <row r="122" spans="1:36" ht="39.950000000000003" hidden="1" customHeight="1">
      <c r="A122" s="160">
        <v>111</v>
      </c>
      <c r="B122" s="161" t="s">
        <v>460</v>
      </c>
      <c r="C122" s="211"/>
      <c r="D122" s="160" t="s">
        <v>461</v>
      </c>
      <c r="E122" s="160" t="s">
        <v>462</v>
      </c>
      <c r="F122" s="266">
        <v>45083</v>
      </c>
      <c r="G122" s="160" t="s">
        <v>410</v>
      </c>
      <c r="H122" s="160" t="s">
        <v>1646</v>
      </c>
      <c r="I122" s="161">
        <v>45107</v>
      </c>
      <c r="J122" s="161" t="s">
        <v>282</v>
      </c>
      <c r="K122" s="160" t="s">
        <v>363</v>
      </c>
      <c r="L122" s="255"/>
      <c r="M122" s="161" t="s">
        <v>329</v>
      </c>
      <c r="N122" s="160" t="s">
        <v>357</v>
      </c>
      <c r="O122" s="160" t="s">
        <v>2049</v>
      </c>
      <c r="P122" s="160"/>
      <c r="Q122" s="160" t="s">
        <v>328</v>
      </c>
      <c r="R122" s="252"/>
      <c r="S122" s="160"/>
      <c r="T122" s="160"/>
      <c r="U122" s="160"/>
      <c r="V122" s="160" t="s">
        <v>344</v>
      </c>
      <c r="W122" s="160" t="s">
        <v>135</v>
      </c>
      <c r="X122" s="160" t="s">
        <v>111</v>
      </c>
      <c r="Y122" s="160" t="str">
        <f ca="1">IF(I122&lt;&gt;"",IF(I122&lt;=TODAY(),IF(OR(N122="REPROGRAMADA",N122="SUSPENDIDA",N122="EXCLUSION",N122="COLEGIADO"),"NO HECHA",IF(N122=" ","SINRESULTADO","SI")),"NO"),IF(N122="EXCLUSION","NO HECHA","LIMBO"))</f>
        <v>SI</v>
      </c>
      <c r="Z122" s="160" t="str">
        <f>IF($Z$1=I122,"DIASOL", "DIANOSOL")</f>
        <v>DIANOSOL</v>
      </c>
      <c r="AA122" s="160" t="s">
        <v>240</v>
      </c>
      <c r="AB122" s="160" t="s">
        <v>463</v>
      </c>
      <c r="AC122" s="160" t="str">
        <f>IF(H122=$M$1,"SI","NO")</f>
        <v>NO</v>
      </c>
      <c r="AD122" s="160"/>
      <c r="AE122" s="160"/>
      <c r="AF122" s="266">
        <v>45132</v>
      </c>
      <c r="AG122" s="160" t="str">
        <f>IF(COUNTIF(C122,"*preso*")&gt;0,"SI","NO")</f>
        <v>NO</v>
      </c>
      <c r="AH122" s="253">
        <f>NroOrden(N122)</f>
        <v>50</v>
      </c>
      <c r="AI122" s="160"/>
      <c r="AJ122" s="48" t="str">
        <f ca="1">IF(OR(Y122="NO",Y122="LIMBO"),"IMP","NOIMP")</f>
        <v>NOIMP</v>
      </c>
    </row>
    <row r="123" spans="1:36" ht="39.950000000000003" hidden="1" customHeight="1">
      <c r="A123" s="160">
        <v>144</v>
      </c>
      <c r="B123" s="161" t="s">
        <v>902</v>
      </c>
      <c r="C123" s="211"/>
      <c r="D123" s="160" t="s">
        <v>903</v>
      </c>
      <c r="E123" s="160" t="s">
        <v>904</v>
      </c>
      <c r="F123" s="266">
        <v>45014</v>
      </c>
      <c r="G123" s="160" t="s">
        <v>905</v>
      </c>
      <c r="H123" s="160" t="s">
        <v>1643</v>
      </c>
      <c r="I123" s="161">
        <v>45108</v>
      </c>
      <c r="J123" s="161" t="s">
        <v>282</v>
      </c>
      <c r="K123" s="160" t="s">
        <v>363</v>
      </c>
      <c r="L123" s="255"/>
      <c r="M123" s="161" t="s">
        <v>329</v>
      </c>
      <c r="N123" s="160" t="s">
        <v>357</v>
      </c>
      <c r="O123" s="160" t="s">
        <v>2049</v>
      </c>
      <c r="P123" s="160" t="s">
        <v>1107</v>
      </c>
      <c r="Q123" s="160" t="s">
        <v>328</v>
      </c>
      <c r="R123" s="255"/>
      <c r="S123" s="160"/>
      <c r="T123" s="160"/>
      <c r="U123" s="160"/>
      <c r="V123" s="160" t="s">
        <v>344</v>
      </c>
      <c r="W123" s="160" t="s">
        <v>348</v>
      </c>
      <c r="X123" s="160" t="s">
        <v>111</v>
      </c>
      <c r="Y123" s="160" t="str">
        <f ca="1">IF(I123&lt;&gt;"",IF(I123&lt;=TODAY(),IF(OR(N123="REPROGRAMADA",N123="SUSPENDIDA",N123="EXCLUSION",N123="COLEGIADO"),"NO HECHA",IF(N123=" ","SINRESULTADO","SI")),"NO"),IF(N123="EXCLUSION","NO HECHA","LIMBO"))</f>
        <v>SI</v>
      </c>
      <c r="Z123" s="160" t="str">
        <f>IF($Z$1=I123,"DIASOL", "DIANOSOL")</f>
        <v>DIANOSOL</v>
      </c>
      <c r="AA123" s="160" t="s">
        <v>907</v>
      </c>
      <c r="AB123" s="160" t="s">
        <v>908</v>
      </c>
      <c r="AC123" s="160" t="str">
        <f>IF(H123=$M$1,"SI","NO")</f>
        <v>NO</v>
      </c>
      <c r="AD123" s="160"/>
      <c r="AE123" s="160"/>
      <c r="AF123" s="266">
        <v>45131</v>
      </c>
      <c r="AG123" s="160" t="str">
        <f>IF(COUNTIF(C123,"*preso*")&gt;0,"SI","NO")</f>
        <v>NO</v>
      </c>
      <c r="AH123" s="253">
        <f>NroOrden(N123)</f>
        <v>50</v>
      </c>
      <c r="AI123" s="160"/>
      <c r="AJ123" s="48" t="str">
        <f ca="1">IF(OR(Y123="NO",Y123="LIMBO"),"IMP","NOIMP")</f>
        <v>NOIMP</v>
      </c>
    </row>
    <row r="124" spans="1:36" ht="38.25" hidden="1">
      <c r="A124" s="160">
        <v>26</v>
      </c>
      <c r="B124" s="161" t="s">
        <v>539</v>
      </c>
      <c r="C124" s="212"/>
      <c r="D124" s="160" t="s">
        <v>540</v>
      </c>
      <c r="E124" s="160" t="s">
        <v>541</v>
      </c>
      <c r="F124" s="266">
        <v>45079</v>
      </c>
      <c r="G124" s="160" t="s">
        <v>542</v>
      </c>
      <c r="H124" s="160" t="s">
        <v>1643</v>
      </c>
      <c r="I124" s="161">
        <v>45110</v>
      </c>
      <c r="J124" s="164">
        <v>0.52083333333333337</v>
      </c>
      <c r="K124" s="160" t="s">
        <v>365</v>
      </c>
      <c r="L124" s="255"/>
      <c r="M124" s="161" t="s">
        <v>331</v>
      </c>
      <c r="N124" s="160" t="s">
        <v>355</v>
      </c>
      <c r="O124" s="160" t="s">
        <v>2049</v>
      </c>
      <c r="P124" s="160" t="s">
        <v>543</v>
      </c>
      <c r="Q124" s="160" t="s">
        <v>111</v>
      </c>
      <c r="R124" s="255"/>
      <c r="S124" s="160"/>
      <c r="T124" s="160"/>
      <c r="U124" s="160"/>
      <c r="V124" s="160" t="s">
        <v>193</v>
      </c>
      <c r="W124" s="160" t="s">
        <v>544</v>
      </c>
      <c r="X124" s="160" t="s">
        <v>111</v>
      </c>
      <c r="Y124" s="160" t="str">
        <f ca="1">IF(I124&lt;&gt;"",IF(I124&lt;=TODAY(),IF(OR(N124="REPROGRAMADA",N124="SUSPENDIDA",N124="EXCLUSION",N124="COLEGIADO"),"NO HECHA",IF(N124=" ","SINRESULTADO","SI")),"NO"),IF(N124="EXCLUSION","NO HECHA","LIMBO"))</f>
        <v>SI</v>
      </c>
      <c r="Z124" s="160" t="str">
        <f>IF($Z$1=I124,"DIASOL", "DIANOSOL")</f>
        <v>DIANOSOL</v>
      </c>
      <c r="AA124" s="160" t="s">
        <v>240</v>
      </c>
      <c r="AB124" s="160" t="s">
        <v>545</v>
      </c>
      <c r="AC124" s="160" t="str">
        <f>IF(H124=$M$1,"SI","NO")</f>
        <v>NO</v>
      </c>
      <c r="AD124" s="160"/>
      <c r="AE124" s="160"/>
      <c r="AF124" s="266">
        <v>45131</v>
      </c>
      <c r="AG124" s="160" t="str">
        <f>IF(COUNTIF(C124,"*preso*")&gt;0,"SI","NO")</f>
        <v>NO</v>
      </c>
      <c r="AH124" s="253">
        <f>NroOrden(N124)</f>
        <v>50</v>
      </c>
      <c r="AI124" s="160" t="s">
        <v>546</v>
      </c>
      <c r="AJ124" s="48" t="str">
        <f ca="1">IF(OR(Y124="NO",Y124="LIMBO"),"IMP","NOIMP")</f>
        <v>NOIMP</v>
      </c>
    </row>
    <row r="125" spans="1:36" ht="39.950000000000003" hidden="1" customHeight="1">
      <c r="A125" s="160">
        <v>28</v>
      </c>
      <c r="B125" s="161" t="s">
        <v>437</v>
      </c>
      <c r="C125" s="212"/>
      <c r="D125" s="160" t="s">
        <v>556</v>
      </c>
      <c r="E125" s="160" t="s">
        <v>439</v>
      </c>
      <c r="F125" s="266">
        <v>45079</v>
      </c>
      <c r="G125" s="160" t="s">
        <v>410</v>
      </c>
      <c r="H125" s="160" t="s">
        <v>1646</v>
      </c>
      <c r="I125" s="161">
        <v>45111</v>
      </c>
      <c r="J125" s="164">
        <v>0.39583333333333331</v>
      </c>
      <c r="K125" s="160" t="s">
        <v>363</v>
      </c>
      <c r="L125" s="255"/>
      <c r="M125" s="161" t="s">
        <v>331</v>
      </c>
      <c r="N125" s="160" t="s">
        <v>355</v>
      </c>
      <c r="O125" s="160" t="s">
        <v>2049</v>
      </c>
      <c r="P125" s="160" t="s">
        <v>557</v>
      </c>
      <c r="Q125" s="160" t="s">
        <v>111</v>
      </c>
      <c r="R125" s="255"/>
      <c r="S125" s="160"/>
      <c r="T125" s="160"/>
      <c r="U125" s="160"/>
      <c r="V125" s="160" t="s">
        <v>345</v>
      </c>
      <c r="W125" s="160" t="s">
        <v>440</v>
      </c>
      <c r="X125" s="160" t="s">
        <v>434</v>
      </c>
      <c r="Y125" s="160" t="str">
        <f ca="1">IF(I125&lt;&gt;"",IF(I125&lt;=TODAY(),IF(OR(N125="REPROGRAMADA",N125="SUSPENDIDA",N125="EXCLUSION",N125="COLEGIADO"),"NO HECHA",IF(N125=" ","SINRESULTADO","SI")),"NO"),IF(N125="EXCLUSION","NO HECHA","LIMBO"))</f>
        <v>SI</v>
      </c>
      <c r="Z125" s="160" t="str">
        <f>IF($Z$1=I125,"DIASOL", "DIANOSOL")</f>
        <v>DIANOSOL</v>
      </c>
      <c r="AA125" s="160" t="s">
        <v>240</v>
      </c>
      <c r="AB125" s="160" t="s">
        <v>441</v>
      </c>
      <c r="AC125" s="160" t="str">
        <f>IF(H125=$M$1,"SI","NO")</f>
        <v>NO</v>
      </c>
      <c r="AD125" s="160"/>
      <c r="AE125" s="160"/>
      <c r="AF125" s="266">
        <v>45131</v>
      </c>
      <c r="AG125" s="160" t="str">
        <f>IF(COUNTIF(C125,"*preso*")&gt;0,"SI","NO")</f>
        <v>NO</v>
      </c>
      <c r="AH125" s="253">
        <f>NroOrden(N125)</f>
        <v>50</v>
      </c>
      <c r="AI125" s="160" t="s">
        <v>546</v>
      </c>
      <c r="AJ125" s="48" t="str">
        <f ca="1">IF(OR(Y125="NO",Y125="LIMBO"),"IMP","NOIMP")</f>
        <v>NOIMP</v>
      </c>
    </row>
    <row r="126" spans="1:36" ht="39.950000000000003" hidden="1" customHeight="1">
      <c r="A126" s="160">
        <v>93</v>
      </c>
      <c r="B126" s="161" t="s">
        <v>917</v>
      </c>
      <c r="C126" s="212"/>
      <c r="D126" s="160" t="s">
        <v>918</v>
      </c>
      <c r="E126" s="160" t="s">
        <v>919</v>
      </c>
      <c r="F126" s="266">
        <v>45040</v>
      </c>
      <c r="G126" s="160" t="s">
        <v>762</v>
      </c>
      <c r="H126" s="160" t="s">
        <v>1646</v>
      </c>
      <c r="I126" s="161">
        <v>45112</v>
      </c>
      <c r="J126" s="164">
        <v>0.375</v>
      </c>
      <c r="K126" s="160" t="s">
        <v>364</v>
      </c>
      <c r="L126" s="255"/>
      <c r="M126" s="161" t="s">
        <v>328</v>
      </c>
      <c r="N126" s="160" t="s">
        <v>359</v>
      </c>
      <c r="O126" s="160" t="s">
        <v>2049</v>
      </c>
      <c r="P126" s="160" t="s">
        <v>812</v>
      </c>
      <c r="Q126" s="160" t="s">
        <v>111</v>
      </c>
      <c r="R126" s="255"/>
      <c r="S126" s="160"/>
      <c r="T126" s="160"/>
      <c r="U126" s="160"/>
      <c r="V126" s="160" t="s">
        <v>184</v>
      </c>
      <c r="W126" s="160" t="s">
        <v>119</v>
      </c>
      <c r="X126" s="160" t="s">
        <v>111</v>
      </c>
      <c r="Y126" s="160" t="str">
        <f ca="1">IF(I126&lt;&gt;"",IF(I126&lt;=TODAY(),IF(OR(N126="REPROGRAMADA",N126="SUSPENDIDA",N126="EXCLUSION",N126="COLEGIADO"),"NO HECHA",IF(N126=" ","SINRESULTADO","SI")),"NO"),IF(N126="EXCLUSION","NO HECHA","LIMBO"))</f>
        <v>SI</v>
      </c>
      <c r="Z126" s="160" t="str">
        <f>IF($Z$1=I126,"DIASOL", "DIANOSOL")</f>
        <v>DIANOSOL</v>
      </c>
      <c r="AA126" s="160" t="s">
        <v>240</v>
      </c>
      <c r="AB126" s="160" t="s">
        <v>920</v>
      </c>
      <c r="AC126" s="160" t="str">
        <f>IF(H126=$M$1,"SI","NO")</f>
        <v>NO</v>
      </c>
      <c r="AD126" s="160"/>
      <c r="AE126" s="160"/>
      <c r="AF126" s="266">
        <v>45131</v>
      </c>
      <c r="AG126" s="160" t="str">
        <f>IF(COUNTIF(C126,"*preso*")&gt;0,"SI","NO")</f>
        <v>NO</v>
      </c>
      <c r="AH126" s="253">
        <f>NroOrden(N126)</f>
        <v>50</v>
      </c>
      <c r="AI126" s="160" t="s">
        <v>921</v>
      </c>
      <c r="AJ126" s="48" t="str">
        <f ca="1">IF(OR(Y126="NO",Y126="LIMBO"),"IMP","NOIMP")</f>
        <v>NOIMP</v>
      </c>
    </row>
    <row r="127" spans="1:36" ht="101.25" hidden="1" customHeight="1">
      <c r="A127" s="98">
        <v>101</v>
      </c>
      <c r="B127" s="99" t="s">
        <v>950</v>
      </c>
      <c r="C127" s="209"/>
      <c r="D127" s="98" t="s">
        <v>951</v>
      </c>
      <c r="E127" s="98" t="s">
        <v>952</v>
      </c>
      <c r="F127" s="153"/>
      <c r="G127" s="98"/>
      <c r="H127" s="98" t="s">
        <v>111</v>
      </c>
      <c r="I127" s="99">
        <v>45112</v>
      </c>
      <c r="J127" s="141">
        <v>0.39583333333333331</v>
      </c>
      <c r="K127" s="98" t="s">
        <v>364</v>
      </c>
      <c r="L127" s="194"/>
      <c r="M127" s="99" t="s">
        <v>330</v>
      </c>
      <c r="N127" s="98" t="s">
        <v>354</v>
      </c>
      <c r="O127" s="98" t="s">
        <v>2303</v>
      </c>
      <c r="P127" s="98" t="s">
        <v>954</v>
      </c>
      <c r="Q127" s="98" t="s">
        <v>111</v>
      </c>
      <c r="R127" s="194"/>
      <c r="S127" s="98"/>
      <c r="T127" s="98"/>
      <c r="U127" s="98"/>
      <c r="V127" s="98" t="s">
        <v>193</v>
      </c>
      <c r="W127" s="98" t="s">
        <v>140</v>
      </c>
      <c r="X127" s="98" t="s">
        <v>111</v>
      </c>
      <c r="Y127" s="163" t="str">
        <f ca="1">IF(I127&lt;&gt;"",IF(I127&lt;=TODAY(),IF(OR(N127="REPROGRAMADA",N127="SUSPENDIDA",N127="EXCLUSION",N127="COLEGIADO"),"NO HECHA",IF(N127=" ","SINRESULTADO","SI")),"NO"),IF(N127="EXCLUSION","NO HECHA","LIMBO"))</f>
        <v>NO HECHA</v>
      </c>
      <c r="Z127" s="98" t="str">
        <f>IF($Z$1=I127,"DIASOL", "DIANOSOL")</f>
        <v>DIANOSOL</v>
      </c>
      <c r="AA127" s="98" t="s">
        <v>240</v>
      </c>
      <c r="AB127" s="98" t="s">
        <v>955</v>
      </c>
      <c r="AC127" s="98" t="str">
        <f>IF(H127=$M$1,"SI","NO")</f>
        <v>NO</v>
      </c>
      <c r="AD127" s="98"/>
      <c r="AE127" s="98"/>
      <c r="AF127" s="98"/>
      <c r="AG127" s="163" t="str">
        <f>IF(COUNTIF(C127,"*preso*")&gt;0,"SI","NO")</f>
        <v>NO</v>
      </c>
      <c r="AH127" s="253">
        <f>NroOrden(N127)</f>
        <v>50</v>
      </c>
      <c r="AI127" s="98"/>
      <c r="AJ127" s="48" t="str">
        <f ca="1">IF(OR(Y127="NO",Y127="LIMBO"),"IMP","NOIMP")</f>
        <v>NOIMP</v>
      </c>
    </row>
    <row r="128" spans="1:36" ht="39.950000000000003" hidden="1" customHeight="1">
      <c r="A128" s="160">
        <v>61</v>
      </c>
      <c r="B128" s="161" t="s">
        <v>739</v>
      </c>
      <c r="C128" s="212"/>
      <c r="D128" s="160" t="s">
        <v>740</v>
      </c>
      <c r="E128" s="160" t="s">
        <v>741</v>
      </c>
      <c r="F128" s="266">
        <v>45042</v>
      </c>
      <c r="G128" s="160" t="s">
        <v>742</v>
      </c>
      <c r="H128" s="160" t="s">
        <v>1646</v>
      </c>
      <c r="I128" s="161">
        <v>45112</v>
      </c>
      <c r="J128" s="164">
        <v>0.45833333333333331</v>
      </c>
      <c r="K128" s="160" t="s">
        <v>362</v>
      </c>
      <c r="L128" s="255"/>
      <c r="M128" s="161" t="s">
        <v>330</v>
      </c>
      <c r="N128" s="160" t="s">
        <v>355</v>
      </c>
      <c r="O128" s="160" t="s">
        <v>2049</v>
      </c>
      <c r="P128" s="160" t="s">
        <v>557</v>
      </c>
      <c r="Q128" s="160" t="s">
        <v>111</v>
      </c>
      <c r="R128" s="255"/>
      <c r="S128" s="160"/>
      <c r="T128" s="160"/>
      <c r="U128" s="160"/>
      <c r="V128" s="160" t="s">
        <v>347</v>
      </c>
      <c r="W128" s="160" t="s">
        <v>744</v>
      </c>
      <c r="X128" s="160" t="s">
        <v>111</v>
      </c>
      <c r="Y128" s="160" t="str">
        <f ca="1">IF(I128&lt;&gt;"",IF(I128&lt;=TODAY(),IF(OR(N128="REPROGRAMADA",N128="SUSPENDIDA",N128="EXCLUSION",N128="COLEGIADO"),"NO HECHA",IF(N128=" ","SINRESULTADO","SI")),"NO"),IF(N128="EXCLUSION","NO HECHA","LIMBO"))</f>
        <v>SI</v>
      </c>
      <c r="Z128" s="160" t="str">
        <f>IF($Z$1=I128,"DIASOL", "DIANOSOL")</f>
        <v>DIANOSOL</v>
      </c>
      <c r="AA128" s="160" t="s">
        <v>240</v>
      </c>
      <c r="AB128" s="160" t="s">
        <v>745</v>
      </c>
      <c r="AC128" s="160" t="str">
        <f>IF(H128=$M$1,"SI","NO")</f>
        <v>NO</v>
      </c>
      <c r="AD128" s="160"/>
      <c r="AE128" s="160"/>
      <c r="AF128" s="266">
        <v>45131</v>
      </c>
      <c r="AG128" s="160" t="str">
        <f>IF(COUNTIF(C128,"*preso*")&gt;0,"SI","NO")</f>
        <v>NO</v>
      </c>
      <c r="AH128" s="253">
        <f>NroOrden(N128)</f>
        <v>50</v>
      </c>
      <c r="AI128" s="160"/>
      <c r="AJ128" s="48" t="str">
        <f ca="1">IF(OR(Y128="NO",Y128="LIMBO"),"IMP","NOIMP")</f>
        <v>NOIMP</v>
      </c>
    </row>
    <row r="129" spans="1:36" ht="39.950000000000003" hidden="1" customHeight="1">
      <c r="A129" s="160">
        <v>102</v>
      </c>
      <c r="B129" s="161" t="s">
        <v>430</v>
      </c>
      <c r="C129" s="212"/>
      <c r="D129" s="160" t="s">
        <v>431</v>
      </c>
      <c r="E129" s="160" t="s">
        <v>432</v>
      </c>
      <c r="F129" s="162">
        <v>45068</v>
      </c>
      <c r="G129" s="160" t="s">
        <v>433</v>
      </c>
      <c r="H129" s="160" t="s">
        <v>1643</v>
      </c>
      <c r="I129" s="161">
        <v>45113</v>
      </c>
      <c r="J129" s="164">
        <v>0.4375</v>
      </c>
      <c r="K129" s="160" t="s">
        <v>365</v>
      </c>
      <c r="L129" s="255"/>
      <c r="M129" s="161" t="s">
        <v>333</v>
      </c>
      <c r="N129" s="160" t="s">
        <v>357</v>
      </c>
      <c r="O129" s="160" t="s">
        <v>2049</v>
      </c>
      <c r="P129" s="160"/>
      <c r="Q129" s="160" t="s">
        <v>331</v>
      </c>
      <c r="R129" s="255"/>
      <c r="S129" s="160"/>
      <c r="T129" s="160"/>
      <c r="U129" s="160"/>
      <c r="V129" s="160" t="s">
        <v>182</v>
      </c>
      <c r="W129" s="160" t="s">
        <v>119</v>
      </c>
      <c r="X129" s="160" t="s">
        <v>434</v>
      </c>
      <c r="Y129" s="160" t="str">
        <f ca="1">IF(I129&lt;&gt;"",IF(I129&lt;=TODAY(),IF(OR(N129="REPROGRAMADA",N129="SUSPENDIDA",N129="EXCLUSION",N129="COLEGIADO"),"NO HECHA",IF(N129=" ","SINRESULTADO","SI")),"NO"),IF(N129="EXCLUSION","NO HECHA","LIMBO"))</f>
        <v>SI</v>
      </c>
      <c r="Z129" s="160" t="str">
        <f>IF($Z$1=I129,"DIASOL", "DIANOSOL")</f>
        <v>DIANOSOL</v>
      </c>
      <c r="AA129" s="160" t="s">
        <v>240</v>
      </c>
      <c r="AB129" s="160" t="s">
        <v>435</v>
      </c>
      <c r="AC129" s="160" t="str">
        <f>IF(H129=$M$1,"SI","NO")</f>
        <v>NO</v>
      </c>
      <c r="AD129" s="160"/>
      <c r="AE129" s="160"/>
      <c r="AF129" s="266">
        <v>45131</v>
      </c>
      <c r="AG129" s="160" t="str">
        <f>IF(COUNTIF(C129,"*preso*")&gt;0,"SI","NO")</f>
        <v>NO</v>
      </c>
      <c r="AH129" s="253">
        <f>NroOrden(N129)</f>
        <v>50</v>
      </c>
      <c r="AI129" s="160"/>
      <c r="AJ129" s="48" t="str">
        <f ca="1">IF(OR(Y129="NO",Y129="LIMBO"),"IMP","NOIMP")</f>
        <v>NOIMP</v>
      </c>
    </row>
    <row r="130" spans="1:36" ht="39.950000000000003" hidden="1" customHeight="1">
      <c r="A130" s="98">
        <v>95</v>
      </c>
      <c r="B130" s="99" t="s">
        <v>927</v>
      </c>
      <c r="C130" s="209"/>
      <c r="D130" s="98" t="s">
        <v>928</v>
      </c>
      <c r="E130" s="98" t="s">
        <v>590</v>
      </c>
      <c r="F130" s="184">
        <v>45068</v>
      </c>
      <c r="G130" s="98"/>
      <c r="H130" s="98" t="s">
        <v>1649</v>
      </c>
      <c r="I130" s="99">
        <v>45113</v>
      </c>
      <c r="J130" s="141">
        <v>0.54166666666666663</v>
      </c>
      <c r="K130" s="182" t="s">
        <v>362</v>
      </c>
      <c r="L130" s="194"/>
      <c r="M130" s="99" t="s">
        <v>329</v>
      </c>
      <c r="N130" s="98" t="s">
        <v>354</v>
      </c>
      <c r="O130" s="98" t="s">
        <v>2356</v>
      </c>
      <c r="P130" s="98" t="s">
        <v>1427</v>
      </c>
      <c r="Q130" s="182" t="s">
        <v>111</v>
      </c>
      <c r="R130" s="194"/>
      <c r="S130" s="98"/>
      <c r="T130" s="182"/>
      <c r="U130" s="182"/>
      <c r="V130" s="98" t="s">
        <v>346</v>
      </c>
      <c r="W130" s="98" t="s">
        <v>141</v>
      </c>
      <c r="X130" s="98" t="s">
        <v>111</v>
      </c>
      <c r="Y130" s="163" t="str">
        <f ca="1">IF(I130&lt;&gt;"",IF(I130&lt;=TODAY(),IF(OR(N130="REPROGRAMADA",N130="SUSPENDIDA",N130="EXCLUSION",N130="COLEGIADO"),"NO HECHA",IF(N130=" ","SINRESULTADO","SI")),"NO"),IF(N130="EXCLUSION","NO HECHA","LIMBO"))</f>
        <v>NO HECHA</v>
      </c>
      <c r="Z130" s="98" t="str">
        <f>IF($Z$1=I130,"DIASOL", "DIANOSOL")</f>
        <v>DIANOSOL</v>
      </c>
      <c r="AA130" s="98" t="s">
        <v>240</v>
      </c>
      <c r="AB130" s="98" t="s">
        <v>930</v>
      </c>
      <c r="AC130" s="185" t="str">
        <f>IF(H130=$M$1,"SI","NO")</f>
        <v>NO</v>
      </c>
      <c r="AD130" s="185"/>
      <c r="AE130" s="182"/>
      <c r="AF130" s="182"/>
      <c r="AG130" s="182" t="str">
        <f>IF(COUNTIF(C130,"*preso*")&gt;0,"SI","NO")</f>
        <v>NO</v>
      </c>
      <c r="AH130" s="265">
        <f>NroOrden(N130)</f>
        <v>50</v>
      </c>
      <c r="AI130" s="182"/>
      <c r="AJ130" s="283" t="str">
        <f ca="1">IF(OR(Y130="NO",Y130="LIMBO"),"IMP","NOIMP")</f>
        <v>NOIMP</v>
      </c>
    </row>
    <row r="131" spans="1:36" ht="39.950000000000003" hidden="1" customHeight="1">
      <c r="A131" s="160">
        <v>40</v>
      </c>
      <c r="B131" s="187" t="s">
        <v>608</v>
      </c>
      <c r="C131" s="301" t="s">
        <v>609</v>
      </c>
      <c r="D131" s="186" t="s">
        <v>610</v>
      </c>
      <c r="E131" s="186" t="s">
        <v>611</v>
      </c>
      <c r="F131" s="266">
        <v>45090</v>
      </c>
      <c r="G131" s="186" t="s">
        <v>542</v>
      </c>
      <c r="H131" s="186" t="s">
        <v>1649</v>
      </c>
      <c r="I131" s="187">
        <v>45114</v>
      </c>
      <c r="J131" s="304">
        <v>0.41666666666666669</v>
      </c>
      <c r="K131" s="186" t="s">
        <v>365</v>
      </c>
      <c r="L131" s="255"/>
      <c r="M131" s="187" t="s">
        <v>331</v>
      </c>
      <c r="N131" s="160" t="s">
        <v>355</v>
      </c>
      <c r="O131" s="160" t="s">
        <v>2049</v>
      </c>
      <c r="P131" s="160" t="s">
        <v>612</v>
      </c>
      <c r="Q131" s="160" t="s">
        <v>111</v>
      </c>
      <c r="R131" s="255"/>
      <c r="S131" s="160" t="s">
        <v>614</v>
      </c>
      <c r="T131" s="160" t="s">
        <v>615</v>
      </c>
      <c r="U131" s="160" t="s">
        <v>616</v>
      </c>
      <c r="V131" s="186" t="s">
        <v>189</v>
      </c>
      <c r="W131" s="186" t="s">
        <v>423</v>
      </c>
      <c r="X131" s="160" t="s">
        <v>111</v>
      </c>
      <c r="Y131" s="160" t="str">
        <f ca="1">IF(I131&lt;&gt;"",IF(I131&lt;=TODAY(),IF(OR(N131="REPROGRAMADA",N131="SUSPENDIDA",N131="EXCLUSION",N131="COLEGIADO"),"NO HECHA",IF(N131=" ","SINRESULTADO","SI")),"NO"),IF(N131="EXCLUSION","NO HECHA","LIMBO"))</f>
        <v>SI</v>
      </c>
      <c r="Z131" s="160" t="str">
        <f>IF($Z$1=I131,"DIASOL", "DIANOSOL")</f>
        <v>DIANOSOL</v>
      </c>
      <c r="AA131" s="160" t="s">
        <v>240</v>
      </c>
      <c r="AB131" s="160" t="s">
        <v>613</v>
      </c>
      <c r="AC131" s="160" t="str">
        <f>IF(H131=$M$1,"SI","NO")</f>
        <v>NO</v>
      </c>
      <c r="AD131" s="160"/>
      <c r="AE131" s="160"/>
      <c r="AF131" s="266">
        <v>45131</v>
      </c>
      <c r="AG131" s="160" t="str">
        <f>IF(COUNTIF(C131,"*preso*")&gt;0,"SI","NO")</f>
        <v>SI</v>
      </c>
      <c r="AH131" s="253">
        <f>NroOrden(N131)</f>
        <v>50</v>
      </c>
      <c r="AI131" s="160" t="s">
        <v>546</v>
      </c>
      <c r="AJ131" s="48" t="str">
        <f ca="1">IF(OR(Y131="NO",Y131="LIMBO"),"IMP","NOIMP")</f>
        <v>NOIMP</v>
      </c>
    </row>
    <row r="132" spans="1:36" ht="63" hidden="1" customHeight="1">
      <c r="A132" s="160">
        <v>117</v>
      </c>
      <c r="B132" s="161" t="s">
        <v>939</v>
      </c>
      <c r="C132" s="211" t="s">
        <v>889</v>
      </c>
      <c r="D132" s="160" t="s">
        <v>940</v>
      </c>
      <c r="E132" s="160" t="s">
        <v>652</v>
      </c>
      <c r="F132" s="162"/>
      <c r="G132" s="160" t="s">
        <v>941</v>
      </c>
      <c r="H132" s="160" t="s">
        <v>1646</v>
      </c>
      <c r="I132" s="161">
        <v>45114</v>
      </c>
      <c r="J132" s="161" t="s">
        <v>14</v>
      </c>
      <c r="K132" s="160" t="s">
        <v>362</v>
      </c>
      <c r="L132" s="255"/>
      <c r="M132" s="161" t="s">
        <v>329</v>
      </c>
      <c r="N132" s="160" t="s">
        <v>357</v>
      </c>
      <c r="O132" s="160" t="s">
        <v>2049</v>
      </c>
      <c r="P132" s="160"/>
      <c r="Q132" s="160" t="s">
        <v>328</v>
      </c>
      <c r="R132" s="255"/>
      <c r="S132" s="160"/>
      <c r="T132" s="160"/>
      <c r="U132" s="160"/>
      <c r="V132" s="160" t="s">
        <v>340</v>
      </c>
      <c r="W132" s="160" t="s">
        <v>535</v>
      </c>
      <c r="X132" s="160" t="s">
        <v>111</v>
      </c>
      <c r="Y132" s="160" t="str">
        <f ca="1">IF(I132&lt;&gt;"",IF(I132&lt;=TODAY(),IF(OR(N132="REPROGRAMADA",N132="SUSPENDIDA",N132="EXCLUSION",N132="COLEGIADO"),"NO HECHA",IF(N132=" ","SINRESULTADO","SI")),"NO"),IF(N132="EXCLUSION","NO HECHA","LIMBO"))</f>
        <v>SI</v>
      </c>
      <c r="Z132" s="160" t="str">
        <f>IF($Z$1=I132,"DIASOL", "DIANOSOL")</f>
        <v>DIANOSOL</v>
      </c>
      <c r="AA132" s="160" t="s">
        <v>737</v>
      </c>
      <c r="AB132" s="160" t="s">
        <v>943</v>
      </c>
      <c r="AC132" s="160" t="str">
        <f>IF(H132=$M$1,"SI","NO")</f>
        <v>NO</v>
      </c>
      <c r="AD132" s="160"/>
      <c r="AE132" s="160"/>
      <c r="AF132" s="160"/>
      <c r="AG132" s="160" t="str">
        <f>IF(COUNTIF(C132,"*preso*")&gt;0,"SI","NO")</f>
        <v>SI</v>
      </c>
      <c r="AH132" s="253">
        <f>NroOrden(N132)</f>
        <v>50</v>
      </c>
      <c r="AI132" s="160"/>
      <c r="AJ132" s="48" t="str">
        <f ca="1">IF(OR(Y132="NO",Y132="LIMBO"),"IMP","NOIMP")</f>
        <v>NOIMP</v>
      </c>
    </row>
    <row r="133" spans="1:36" ht="39.950000000000003" hidden="1" customHeight="1">
      <c r="A133" s="160">
        <v>107</v>
      </c>
      <c r="B133" s="161" t="s">
        <v>478</v>
      </c>
      <c r="C133" s="211" t="s">
        <v>480</v>
      </c>
      <c r="D133" s="160" t="s">
        <v>479</v>
      </c>
      <c r="E133" s="160" t="s">
        <v>481</v>
      </c>
      <c r="F133" s="266">
        <v>45076</v>
      </c>
      <c r="G133" s="160" t="s">
        <v>451</v>
      </c>
      <c r="H133" s="160" t="s">
        <v>1649</v>
      </c>
      <c r="I133" s="161">
        <v>45117</v>
      </c>
      <c r="J133" s="161" t="s">
        <v>282</v>
      </c>
      <c r="K133" s="160" t="s">
        <v>365</v>
      </c>
      <c r="L133" s="255"/>
      <c r="M133" s="161" t="s">
        <v>331</v>
      </c>
      <c r="N133" s="160" t="s">
        <v>356</v>
      </c>
      <c r="O133" s="160" t="s">
        <v>2049</v>
      </c>
      <c r="P133" s="160" t="s">
        <v>959</v>
      </c>
      <c r="Q133" s="160" t="s">
        <v>111</v>
      </c>
      <c r="R133" s="255"/>
      <c r="S133" s="160" t="s">
        <v>374</v>
      </c>
      <c r="T133" s="160" t="s">
        <v>485</v>
      </c>
      <c r="U133" s="160"/>
      <c r="V133" s="160" t="s">
        <v>189</v>
      </c>
      <c r="W133" s="160" t="s">
        <v>483</v>
      </c>
      <c r="X133" s="160" t="s">
        <v>111</v>
      </c>
      <c r="Y133" s="160" t="str">
        <f ca="1">IF(I133&lt;&gt;"",IF(I133&lt;=TODAY(),IF(OR(N133="REPROGRAMADA",N133="SUSPENDIDA",N133="EXCLUSION",N133="COLEGIADO"),"NO HECHA",IF(N133=" ","SINRESULTADO","SI")),"NO"),IF(N133="EXCLUSION","NO HECHA","LIMBO"))</f>
        <v>SI</v>
      </c>
      <c r="Z133" s="160" t="str">
        <f>IF($Z$1=I133,"DIASOL", "DIANOSOL")</f>
        <v>DIANOSOL</v>
      </c>
      <c r="AA133" s="160" t="s">
        <v>240</v>
      </c>
      <c r="AB133" s="160" t="s">
        <v>484</v>
      </c>
      <c r="AC133" s="160" t="str">
        <f>IF(H133=$M$1,"SI","NO")</f>
        <v>NO</v>
      </c>
      <c r="AD133" s="160"/>
      <c r="AE133" s="160"/>
      <c r="AF133" s="266">
        <v>45155</v>
      </c>
      <c r="AG133" s="160" t="str">
        <f>IF(COUNTIF(C133,"*preso*")&gt;0,"SI","NO")</f>
        <v>SI</v>
      </c>
      <c r="AH133" s="253">
        <f>NroOrden(N133)</f>
        <v>50</v>
      </c>
      <c r="AI133" s="160"/>
      <c r="AJ133" s="48" t="str">
        <f ca="1">IF(OR(Y133="NO",Y133="LIMBO"),"IMP","NOIMP")</f>
        <v>NOIMP</v>
      </c>
    </row>
    <row r="134" spans="1:36" ht="39.950000000000003" hidden="1" customHeight="1">
      <c r="A134" s="98">
        <v>37</v>
      </c>
      <c r="B134" s="99" t="s">
        <v>588</v>
      </c>
      <c r="C134" s="209"/>
      <c r="D134" s="98" t="s">
        <v>589</v>
      </c>
      <c r="E134" s="98" t="s">
        <v>590</v>
      </c>
      <c r="F134" s="153">
        <v>45085</v>
      </c>
      <c r="G134" s="98"/>
      <c r="H134" s="98" t="s">
        <v>111</v>
      </c>
      <c r="I134" s="99">
        <v>45118</v>
      </c>
      <c r="J134" s="141">
        <v>0.39583333333333331</v>
      </c>
      <c r="K134" s="98" t="s">
        <v>365</v>
      </c>
      <c r="L134" s="194"/>
      <c r="M134" s="99" t="s">
        <v>332</v>
      </c>
      <c r="N134" s="98" t="s">
        <v>354</v>
      </c>
      <c r="O134" s="98" t="s">
        <v>2353</v>
      </c>
      <c r="P134" s="98" t="s">
        <v>592</v>
      </c>
      <c r="Q134" s="98" t="s">
        <v>111</v>
      </c>
      <c r="R134" s="194"/>
      <c r="S134" s="98"/>
      <c r="T134" s="98"/>
      <c r="U134" s="98"/>
      <c r="V134" s="98" t="s">
        <v>345</v>
      </c>
      <c r="W134" s="98" t="s">
        <v>593</v>
      </c>
      <c r="X134" s="98" t="s">
        <v>111</v>
      </c>
      <c r="Y134" s="163" t="str">
        <f ca="1">IF(I134&lt;&gt;"",IF(I134&lt;=TODAY(),IF(OR(N134="REPROGRAMADA",N134="SUSPENDIDA",N134="EXCLUSION",N134="COLEGIADO"),"NO HECHA",IF(N134=" ","SINRESULTADO","SI")),"NO"),IF(N134="EXCLUSION","NO HECHA","LIMBO"))</f>
        <v>NO HECHA</v>
      </c>
      <c r="Z134" s="98" t="str">
        <f>IF($Z$1=I134,"DIASOL", "DIANOSOL")</f>
        <v>DIANOSOL</v>
      </c>
      <c r="AA134" s="98" t="s">
        <v>240</v>
      </c>
      <c r="AB134" s="98" t="s">
        <v>594</v>
      </c>
      <c r="AC134" s="98" t="str">
        <f>IF(H134=$M$1,"SI","NO")</f>
        <v>NO</v>
      </c>
      <c r="AD134" s="98"/>
      <c r="AE134" s="98"/>
      <c r="AF134" s="98" t="s">
        <v>2195</v>
      </c>
      <c r="AG134" s="163" t="str">
        <f>IF(COUNTIF(C134,"*preso*")&gt;0,"SI","NO")</f>
        <v>NO</v>
      </c>
      <c r="AH134" s="265">
        <f>NroOrden(N134)</f>
        <v>50</v>
      </c>
      <c r="AI134" s="98"/>
      <c r="AJ134" s="283" t="str">
        <f ca="1">IF(OR(Y134="NO",Y134="LIMBO"),"IMP","NOIMP")</f>
        <v>NOIMP</v>
      </c>
    </row>
    <row r="135" spans="1:36" ht="39.950000000000003" hidden="1" customHeight="1">
      <c r="A135" s="160">
        <v>76</v>
      </c>
      <c r="B135" s="161" t="s">
        <v>815</v>
      </c>
      <c r="C135" s="212" t="s">
        <v>501</v>
      </c>
      <c r="D135" s="160" t="s">
        <v>816</v>
      </c>
      <c r="E135" s="160" t="s">
        <v>817</v>
      </c>
      <c r="F135" s="162">
        <v>45103</v>
      </c>
      <c r="G135" s="160" t="s">
        <v>653</v>
      </c>
      <c r="H135" s="160" t="s">
        <v>111</v>
      </c>
      <c r="I135" s="161">
        <v>45118</v>
      </c>
      <c r="J135" s="164">
        <v>0.4375</v>
      </c>
      <c r="K135" s="160" t="s">
        <v>365</v>
      </c>
      <c r="L135" s="255"/>
      <c r="M135" s="161" t="s">
        <v>332</v>
      </c>
      <c r="N135" s="160" t="s">
        <v>356</v>
      </c>
      <c r="O135" s="160" t="s">
        <v>2049</v>
      </c>
      <c r="P135" s="160" t="s">
        <v>818</v>
      </c>
      <c r="Q135" s="160" t="s">
        <v>111</v>
      </c>
      <c r="R135" s="255"/>
      <c r="S135" s="160" t="s">
        <v>374</v>
      </c>
      <c r="T135" s="160" t="s">
        <v>820</v>
      </c>
      <c r="U135" s="160" t="s">
        <v>821</v>
      </c>
      <c r="V135" s="160" t="s">
        <v>342</v>
      </c>
      <c r="W135" s="160" t="s">
        <v>819</v>
      </c>
      <c r="X135" s="160" t="s">
        <v>605</v>
      </c>
      <c r="Y135" s="160" t="str">
        <f ca="1">IF(I135&lt;&gt;"",IF(I135&lt;=TODAY(),IF(OR(N135="REPROGRAMADA",N135="SUSPENDIDA",N135="EXCLUSION",N135="COLEGIADO"),"NO HECHA",IF(N135=" ","SINRESULTADO","SI")),"NO"),IF(N135="EXCLUSION","NO HECHA","LIMBO"))</f>
        <v>SI</v>
      </c>
      <c r="Z135" s="160" t="str">
        <f>IF($Z$1=I135,"DIASOL", "DIANOSOL")</f>
        <v>DIANOSOL</v>
      </c>
      <c r="AA135" s="160" t="s">
        <v>240</v>
      </c>
      <c r="AB135" s="160"/>
      <c r="AC135" s="160" t="str">
        <f>IF(H135=$M$1,"SI","NO")</f>
        <v>NO</v>
      </c>
      <c r="AD135" s="160"/>
      <c r="AE135" s="160"/>
      <c r="AF135" s="266" t="s">
        <v>1539</v>
      </c>
      <c r="AG135" s="160" t="str">
        <f>IF(COUNTIF(C135,"*preso*")&gt;0,"SI","NO")</f>
        <v>SI</v>
      </c>
      <c r="AH135" s="253">
        <f>NroOrden(N135)</f>
        <v>50</v>
      </c>
      <c r="AI135" s="160" t="s">
        <v>822</v>
      </c>
      <c r="AJ135" s="48" t="str">
        <f ca="1">IF(OR(Y135="NO",Y135="LIMBO"),"IMP","NOIMP")</f>
        <v>NOIMP</v>
      </c>
    </row>
    <row r="136" spans="1:36" ht="39.950000000000003" hidden="1" customHeight="1">
      <c r="A136" s="160">
        <v>72</v>
      </c>
      <c r="B136" s="187" t="s">
        <v>793</v>
      </c>
      <c r="C136" s="301" t="s">
        <v>501</v>
      </c>
      <c r="D136" s="186" t="s">
        <v>794</v>
      </c>
      <c r="E136" s="186" t="s">
        <v>795</v>
      </c>
      <c r="F136" s="266">
        <v>45093</v>
      </c>
      <c r="G136" s="186" t="s">
        <v>773</v>
      </c>
      <c r="H136" s="186" t="s">
        <v>111</v>
      </c>
      <c r="I136" s="187">
        <v>45119</v>
      </c>
      <c r="J136" s="304">
        <v>0.375</v>
      </c>
      <c r="K136" s="186" t="s">
        <v>364</v>
      </c>
      <c r="L136" s="255"/>
      <c r="M136" s="187" t="s">
        <v>328</v>
      </c>
      <c r="N136" s="160" t="s">
        <v>356</v>
      </c>
      <c r="O136" s="160" t="s">
        <v>2049</v>
      </c>
      <c r="P136" s="160" t="s">
        <v>796</v>
      </c>
      <c r="Q136" s="160" t="s">
        <v>111</v>
      </c>
      <c r="R136" s="255"/>
      <c r="S136" s="160" t="s">
        <v>374</v>
      </c>
      <c r="T136" s="160" t="s">
        <v>798</v>
      </c>
      <c r="U136" s="160" t="s">
        <v>799</v>
      </c>
      <c r="V136" s="186" t="s">
        <v>193</v>
      </c>
      <c r="W136" s="186" t="s">
        <v>423</v>
      </c>
      <c r="X136" s="186" t="s">
        <v>111</v>
      </c>
      <c r="Y136" s="160" t="str">
        <f ca="1">IF(I136&lt;&gt;"",IF(I136&lt;=TODAY(),IF(OR(N136="REPROGRAMADA",N136="SUSPENDIDA",N136="EXCLUSION",N136="COLEGIADO"),"NO HECHA",IF(N136=" ","SINRESULTADO","SI")),"NO"),IF(N136="EXCLUSION","NO HECHA","LIMBO"))</f>
        <v>SI</v>
      </c>
      <c r="Z136" s="160" t="str">
        <f>IF($Z$1=I136,"DIASOL", "DIANOSOL")</f>
        <v>DIANOSOL</v>
      </c>
      <c r="AA136" s="186" t="s">
        <v>240</v>
      </c>
      <c r="AB136" s="186" t="s">
        <v>797</v>
      </c>
      <c r="AC136" s="160" t="str">
        <f>IF(H136=$M$1,"SI","NO")</f>
        <v>NO</v>
      </c>
      <c r="AD136" s="160"/>
      <c r="AE136" s="160"/>
      <c r="AF136" s="160"/>
      <c r="AG136" s="160" t="str">
        <f>IF(COUNTIF(C136,"*preso*")&gt;0,"SI","NO")</f>
        <v>SI</v>
      </c>
      <c r="AH136" s="253">
        <f>NroOrden(N136)</f>
        <v>50</v>
      </c>
      <c r="AI136" s="160"/>
      <c r="AJ136" s="48" t="str">
        <f ca="1">IF(OR(Y136="NO",Y136="LIMBO"),"IMP","NOIMP")</f>
        <v>NOIMP</v>
      </c>
    </row>
    <row r="137" spans="1:36" ht="39.950000000000003" hidden="1" customHeight="1">
      <c r="A137" s="98">
        <v>23</v>
      </c>
      <c r="B137" s="326" t="s">
        <v>524</v>
      </c>
      <c r="C137" s="328"/>
      <c r="D137" s="283" t="s">
        <v>521</v>
      </c>
      <c r="E137" s="283"/>
      <c r="F137" s="153"/>
      <c r="G137" s="283"/>
      <c r="H137" s="283" t="s">
        <v>111</v>
      </c>
      <c r="I137" s="326">
        <v>45119</v>
      </c>
      <c r="J137" s="332">
        <v>0.39583333333333331</v>
      </c>
      <c r="K137" s="283" t="s">
        <v>365</v>
      </c>
      <c r="L137" s="194"/>
      <c r="M137" s="326" t="s">
        <v>331</v>
      </c>
      <c r="N137" s="98" t="s">
        <v>354</v>
      </c>
      <c r="O137" s="98" t="s">
        <v>2353</v>
      </c>
      <c r="P137" s="98" t="s">
        <v>522</v>
      </c>
      <c r="Q137" s="98" t="s">
        <v>111</v>
      </c>
      <c r="R137" s="194"/>
      <c r="S137" s="98"/>
      <c r="T137" s="98"/>
      <c r="U137" s="98"/>
      <c r="V137" s="283" t="s">
        <v>339</v>
      </c>
      <c r="W137" s="283" t="s">
        <v>132</v>
      </c>
      <c r="X137" s="98" t="s">
        <v>111</v>
      </c>
      <c r="Y137" s="163" t="str">
        <f ca="1">IF(I137&lt;&gt;"",IF(I137&lt;=TODAY(),IF(OR(N137="REPROGRAMADA",N137="SUSPENDIDA",N137="EXCLUSION",N137="COLEGIADO"),"NO HECHA",IF(N137=" ","SINRESULTADO","SI")),"NO"),IF(N137="EXCLUSION","NO HECHA","LIMBO"))</f>
        <v>NO HECHA</v>
      </c>
      <c r="Z137" s="98" t="str">
        <f>IF($Z$1=I137,"DIASOL", "DIANOSOL")</f>
        <v>DIANOSOL</v>
      </c>
      <c r="AA137" s="98" t="s">
        <v>240</v>
      </c>
      <c r="AB137" s="98" t="s">
        <v>523</v>
      </c>
      <c r="AC137" s="98" t="str">
        <f>IF(H137=$M$1,"SI","NO")</f>
        <v>NO</v>
      </c>
      <c r="AD137" s="98"/>
      <c r="AE137" s="98"/>
      <c r="AF137" s="98" t="s">
        <v>2195</v>
      </c>
      <c r="AG137" s="163" t="str">
        <f>IF(COUNTIF(C137,"*preso*")&gt;0,"SI","NO")</f>
        <v>NO</v>
      </c>
      <c r="AH137" s="265">
        <f>NroOrden(N137)</f>
        <v>50</v>
      </c>
      <c r="AI137" s="98"/>
      <c r="AJ137" s="283" t="str">
        <f ca="1">IF(OR(Y137="NO",Y137="LIMBO"),"IMP","NOIMP")</f>
        <v>NOIMP</v>
      </c>
    </row>
    <row r="138" spans="1:36" ht="39.950000000000003" hidden="1" customHeight="1">
      <c r="A138" s="160">
        <v>105</v>
      </c>
      <c r="B138" s="187" t="s">
        <v>872</v>
      </c>
      <c r="C138" s="214" t="s">
        <v>501</v>
      </c>
      <c r="D138" s="186" t="s">
        <v>873</v>
      </c>
      <c r="E138" s="186" t="s">
        <v>685</v>
      </c>
      <c r="F138" s="266">
        <v>44999</v>
      </c>
      <c r="G138" s="186" t="s">
        <v>874</v>
      </c>
      <c r="H138" s="186" t="s">
        <v>1643</v>
      </c>
      <c r="I138" s="187">
        <v>45120</v>
      </c>
      <c r="J138" s="187" t="s">
        <v>961</v>
      </c>
      <c r="K138" s="186" t="s">
        <v>362</v>
      </c>
      <c r="L138" s="255"/>
      <c r="M138" s="187" t="s">
        <v>329</v>
      </c>
      <c r="N138" s="160" t="s">
        <v>357</v>
      </c>
      <c r="O138" s="160" t="s">
        <v>2049</v>
      </c>
      <c r="P138" s="160"/>
      <c r="Q138" s="160" t="s">
        <v>328</v>
      </c>
      <c r="R138" s="255"/>
      <c r="S138" s="160" t="s">
        <v>374</v>
      </c>
      <c r="T138" s="160" t="s">
        <v>879</v>
      </c>
      <c r="U138" s="160" t="s">
        <v>880</v>
      </c>
      <c r="V138" s="186" t="s">
        <v>340</v>
      </c>
      <c r="W138" s="186" t="s">
        <v>877</v>
      </c>
      <c r="X138" s="186" t="s">
        <v>111</v>
      </c>
      <c r="Y138" s="160" t="str">
        <f ca="1">IF(I138&lt;&gt;"",IF(I138&lt;=TODAY(),IF(OR(N138="REPROGRAMADA",N138="SUSPENDIDA",N138="EXCLUSION",N138="COLEGIADO"),"NO HECHA",IF(N138=" ","SINRESULTADO","SI")),"NO"),IF(N138="EXCLUSION","NO HECHA","LIMBO"))</f>
        <v>SI</v>
      </c>
      <c r="Z138" s="160" t="str">
        <f>IF($Z$1=I138,"DIASOL", "DIANOSOL")</f>
        <v>DIANOSOL</v>
      </c>
      <c r="AA138" s="186" t="s">
        <v>681</v>
      </c>
      <c r="AB138" s="186" t="s">
        <v>878</v>
      </c>
      <c r="AC138" s="160" t="str">
        <f>IF(H138=$M$1,"SI","NO")</f>
        <v>NO</v>
      </c>
      <c r="AD138" s="160"/>
      <c r="AE138" s="160"/>
      <c r="AF138" s="266">
        <v>45131</v>
      </c>
      <c r="AG138" s="160" t="str">
        <f>IF(COUNTIF(C138,"*preso*")&gt;0,"SI","NO")</f>
        <v>SI</v>
      </c>
      <c r="AH138" s="253">
        <f>NroOrden(N138)</f>
        <v>50</v>
      </c>
      <c r="AI138" s="160"/>
      <c r="AJ138" s="48" t="str">
        <f ca="1">IF(OR(Y138="NO",Y138="LIMBO"),"IMP","NOIMP")</f>
        <v>NOIMP</v>
      </c>
    </row>
    <row r="139" spans="1:36" ht="39.950000000000003" hidden="1" customHeight="1">
      <c r="A139" s="160">
        <v>77</v>
      </c>
      <c r="B139" s="161" t="s">
        <v>823</v>
      </c>
      <c r="C139" s="211" t="s">
        <v>501</v>
      </c>
      <c r="D139" s="160" t="s">
        <v>824</v>
      </c>
      <c r="E139" s="160" t="s">
        <v>825</v>
      </c>
      <c r="F139" s="162">
        <v>45098</v>
      </c>
      <c r="G139" s="160" t="s">
        <v>807</v>
      </c>
      <c r="H139" s="160" t="s">
        <v>1649</v>
      </c>
      <c r="I139" s="161">
        <v>45124</v>
      </c>
      <c r="J139" s="164">
        <v>0.39583333333333331</v>
      </c>
      <c r="K139" s="160" t="s">
        <v>364</v>
      </c>
      <c r="L139" s="255"/>
      <c r="M139" s="161" t="s">
        <v>328</v>
      </c>
      <c r="N139" s="160" t="s">
        <v>356</v>
      </c>
      <c r="O139" s="160" t="s">
        <v>2049</v>
      </c>
      <c r="P139" s="160" t="s">
        <v>826</v>
      </c>
      <c r="Q139" s="160" t="s">
        <v>111</v>
      </c>
      <c r="R139" s="255"/>
      <c r="S139" s="160" t="s">
        <v>374</v>
      </c>
      <c r="T139" s="160" t="s">
        <v>828</v>
      </c>
      <c r="U139" s="160" t="s">
        <v>829</v>
      </c>
      <c r="V139" s="160" t="s">
        <v>192</v>
      </c>
      <c r="W139" s="160" t="s">
        <v>180</v>
      </c>
      <c r="X139" s="160" t="s">
        <v>111</v>
      </c>
      <c r="Y139" s="160" t="str">
        <f ca="1">IF(I139&lt;&gt;"",IF(I139&lt;=TODAY(),IF(OR(N139="REPROGRAMADA",N139="SUSPENDIDA",N139="EXCLUSION",N139="COLEGIADO"),"NO HECHA",IF(N139=" ","SINRESULTADO","SI")),"NO"),IF(N139="EXCLUSION","NO HECHA","LIMBO"))</f>
        <v>SI</v>
      </c>
      <c r="Z139" s="160" t="str">
        <f>IF($Z$1=I139,"DIASOL", "DIANOSOL")</f>
        <v>DIANOSOL</v>
      </c>
      <c r="AA139" s="160" t="s">
        <v>240</v>
      </c>
      <c r="AB139" s="160" t="s">
        <v>827</v>
      </c>
      <c r="AC139" s="160" t="str">
        <f>IF(H139=$M$1,"SI","NO")</f>
        <v>NO</v>
      </c>
      <c r="AD139" s="160"/>
      <c r="AE139" s="160"/>
      <c r="AF139" s="160"/>
      <c r="AG139" s="160" t="str">
        <f>IF(COUNTIF(C139,"*preso*")&gt;0,"SI","NO")</f>
        <v>SI</v>
      </c>
      <c r="AH139" s="253">
        <f>NroOrden(N139)</f>
        <v>50</v>
      </c>
      <c r="AI139" s="160"/>
      <c r="AJ139" s="48" t="str">
        <f ca="1">IF(OR(Y139="NO",Y139="LIMBO"),"IMP","NOIMP")</f>
        <v>NOIMP</v>
      </c>
    </row>
    <row r="140" spans="1:36" ht="39.950000000000003" hidden="1" customHeight="1">
      <c r="A140" s="160">
        <v>43</v>
      </c>
      <c r="B140" s="161" t="s">
        <v>636</v>
      </c>
      <c r="C140" s="212" t="s">
        <v>637</v>
      </c>
      <c r="D140" s="160" t="s">
        <v>638</v>
      </c>
      <c r="E140" s="160" t="s">
        <v>383</v>
      </c>
      <c r="F140" s="266">
        <v>45089</v>
      </c>
      <c r="G140" s="160" t="s">
        <v>433</v>
      </c>
      <c r="H140" s="160" t="s">
        <v>1649</v>
      </c>
      <c r="I140" s="161">
        <v>45125</v>
      </c>
      <c r="J140" s="164">
        <v>0.39583333333333331</v>
      </c>
      <c r="K140" s="160" t="s">
        <v>365</v>
      </c>
      <c r="L140" s="255"/>
      <c r="M140" s="161" t="s">
        <v>333</v>
      </c>
      <c r="N140" s="160" t="s">
        <v>357</v>
      </c>
      <c r="O140" s="160" t="s">
        <v>2049</v>
      </c>
      <c r="P140" s="160"/>
      <c r="Q140" s="160" t="s">
        <v>331</v>
      </c>
      <c r="R140" s="255"/>
      <c r="S140" s="160"/>
      <c r="T140" s="160"/>
      <c r="U140" s="160"/>
      <c r="V140" s="160" t="s">
        <v>97</v>
      </c>
      <c r="W140" s="160" t="s">
        <v>639</v>
      </c>
      <c r="X140" s="160" t="s">
        <v>111</v>
      </c>
      <c r="Y140" s="160" t="str">
        <f ca="1">IF(I140&lt;&gt;"",IF(I140&lt;=TODAY(),IF(OR(N140="REPROGRAMADA",N140="SUSPENDIDA",N140="EXCLUSION",N140="COLEGIADO"),"NO HECHA",IF(N140=" ","SINRESULTADO","SI")),"NO"),IF(N140="EXCLUSION","NO HECHA","LIMBO"))</f>
        <v>SI</v>
      </c>
      <c r="Z140" s="160" t="str">
        <f>IF($Z$1=I140,"DIASOL", "DIANOSOL")</f>
        <v>DIANOSOL</v>
      </c>
      <c r="AA140" s="160" t="s">
        <v>640</v>
      </c>
      <c r="AB140" s="160"/>
      <c r="AC140" s="160" t="str">
        <f>IF(H140=$M$1,"SI","NO")</f>
        <v>NO</v>
      </c>
      <c r="AD140" s="160"/>
      <c r="AE140" s="160"/>
      <c r="AF140" s="266">
        <v>45110</v>
      </c>
      <c r="AG140" s="160" t="str">
        <f>IF(COUNTIF(C140,"*preso*")&gt;0,"SI","NO")</f>
        <v>SI</v>
      </c>
      <c r="AH140" s="253">
        <f>NroOrden(N140)</f>
        <v>50</v>
      </c>
      <c r="AI140" s="160" t="s">
        <v>1345</v>
      </c>
      <c r="AJ140" s="48" t="str">
        <f ca="1">IF(OR(Y140="NO",Y140="LIMBO"),"IMP","NOIMP")</f>
        <v>NOIMP</v>
      </c>
    </row>
    <row r="141" spans="1:36" ht="39.950000000000003" hidden="1" customHeight="1">
      <c r="A141" s="160">
        <v>64</v>
      </c>
      <c r="B141" s="161" t="s">
        <v>751</v>
      </c>
      <c r="C141" s="212" t="s">
        <v>501</v>
      </c>
      <c r="D141" s="160" t="s">
        <v>752</v>
      </c>
      <c r="E141" s="160" t="s">
        <v>753</v>
      </c>
      <c r="F141" s="266">
        <v>45091</v>
      </c>
      <c r="G141" s="160" t="s">
        <v>653</v>
      </c>
      <c r="H141" s="160"/>
      <c r="I141" s="161">
        <v>45126</v>
      </c>
      <c r="J141" s="164">
        <v>0.39583333333333331</v>
      </c>
      <c r="K141" s="160" t="s">
        <v>362</v>
      </c>
      <c r="L141" s="255"/>
      <c r="M141" s="161" t="s">
        <v>330</v>
      </c>
      <c r="N141" s="160" t="s">
        <v>378</v>
      </c>
      <c r="O141" s="160" t="s">
        <v>2049</v>
      </c>
      <c r="P141" s="160" t="s">
        <v>754</v>
      </c>
      <c r="Q141" s="160" t="s">
        <v>111</v>
      </c>
      <c r="R141" s="255"/>
      <c r="S141" s="160" t="s">
        <v>374</v>
      </c>
      <c r="T141" s="160" t="s">
        <v>757</v>
      </c>
      <c r="U141" s="160" t="s">
        <v>758</v>
      </c>
      <c r="V141" s="160" t="s">
        <v>347</v>
      </c>
      <c r="W141" s="160" t="s">
        <v>180</v>
      </c>
      <c r="X141" s="160" t="s">
        <v>755</v>
      </c>
      <c r="Y141" s="160" t="str">
        <f ca="1">IF(I141&lt;&gt;"",IF(I141&lt;=TODAY(),IF(OR(N141="REPROGRAMADA",N141="SUSPENDIDA",N141="EXCLUSION",N141="COLEGIADO"),"NO HECHA",IF(N141=" ","SINRESULTADO","SI")),"NO"),IF(N141="EXCLUSION","NO HECHA","LIMBO"))</f>
        <v>SI</v>
      </c>
      <c r="Z141" s="160" t="str">
        <f>IF($Z$1=I141,"DIASOL", "DIANOSOL")</f>
        <v>DIANOSOL</v>
      </c>
      <c r="AA141" s="160" t="s">
        <v>240</v>
      </c>
      <c r="AB141" s="160" t="s">
        <v>756</v>
      </c>
      <c r="AC141" s="160" t="str">
        <f>IF(H141=$M$1,"SI","NO")</f>
        <v>NO</v>
      </c>
      <c r="AD141" s="160"/>
      <c r="AE141" s="160"/>
      <c r="AF141" s="266">
        <v>45131</v>
      </c>
      <c r="AG141" s="160" t="str">
        <f>IF(COUNTIF(C141,"*preso*")&gt;0,"SI","NO")</f>
        <v>SI</v>
      </c>
      <c r="AH141" s="253">
        <f>NroOrden(N141)</f>
        <v>50</v>
      </c>
      <c r="AI141" s="160"/>
      <c r="AJ141" s="48" t="str">
        <f ca="1">IF(OR(Y141="NO",Y141="LIMBO"),"IMP","NOIMP")</f>
        <v>NOIMP</v>
      </c>
    </row>
    <row r="142" spans="1:36" ht="39.950000000000003" hidden="1" customHeight="1">
      <c r="A142" s="160">
        <v>118</v>
      </c>
      <c r="B142" s="161" t="s">
        <v>978</v>
      </c>
      <c r="C142" s="211" t="s">
        <v>619</v>
      </c>
      <c r="D142" s="160" t="s">
        <v>979</v>
      </c>
      <c r="E142" s="160" t="s">
        <v>980</v>
      </c>
      <c r="F142" s="266">
        <v>45107</v>
      </c>
      <c r="G142" s="160" t="s">
        <v>981</v>
      </c>
      <c r="H142" s="160" t="s">
        <v>1649</v>
      </c>
      <c r="I142" s="161">
        <v>45127</v>
      </c>
      <c r="J142" s="161" t="s">
        <v>282</v>
      </c>
      <c r="K142" s="160" t="s">
        <v>365</v>
      </c>
      <c r="L142" s="255"/>
      <c r="M142" s="161" t="s">
        <v>333</v>
      </c>
      <c r="N142" s="160" t="s">
        <v>357</v>
      </c>
      <c r="O142" s="160" t="s">
        <v>2049</v>
      </c>
      <c r="P142" s="160"/>
      <c r="Q142" s="160" t="s">
        <v>331</v>
      </c>
      <c r="R142" s="255"/>
      <c r="S142" s="160" t="s">
        <v>985</v>
      </c>
      <c r="T142" s="160" t="s">
        <v>986</v>
      </c>
      <c r="U142" s="160" t="s">
        <v>987</v>
      </c>
      <c r="V142" s="160" t="s">
        <v>268</v>
      </c>
      <c r="W142" s="160" t="s">
        <v>982</v>
      </c>
      <c r="X142" s="160" t="s">
        <v>111</v>
      </c>
      <c r="Y142" s="160" t="str">
        <f ca="1">IF(I142&lt;&gt;"",IF(I142&lt;=TODAY(),IF(OR(N142="REPROGRAMADA",N142="SUSPENDIDA",N142="EXCLUSION",N142="COLEGIADO"),"NO HECHA",IF(N142=" ","SINRESULTADO","SI")),"NO"),IF(N142="EXCLUSION","NO HECHA","LIMBO"))</f>
        <v>SI</v>
      </c>
      <c r="Z142" s="160" t="str">
        <f>IF($Z$1=I142,"DIASOL", "DIANOSOL")</f>
        <v>DIANOSOL</v>
      </c>
      <c r="AA142" s="160" t="s">
        <v>983</v>
      </c>
      <c r="AB142" s="160" t="s">
        <v>984</v>
      </c>
      <c r="AC142" s="160" t="str">
        <f>IF(H142=$M$1,"SI","NO")</f>
        <v>NO</v>
      </c>
      <c r="AD142" s="160"/>
      <c r="AE142" s="160"/>
      <c r="AF142" s="266">
        <v>45131</v>
      </c>
      <c r="AG142" s="160" t="str">
        <f>IF(COUNTIF(C142,"*preso*")&gt;0,"SI","NO")</f>
        <v>SI</v>
      </c>
      <c r="AH142" s="253">
        <f>NroOrden(N142)</f>
        <v>50</v>
      </c>
      <c r="AI142" s="160"/>
      <c r="AJ142" s="48" t="str">
        <f ca="1">IF(OR(Y142="NO",Y142="LIMBO"),"IMP","NOIMP")</f>
        <v>NOIMP</v>
      </c>
    </row>
    <row r="143" spans="1:36" ht="39.950000000000003" hidden="1" customHeight="1">
      <c r="A143" s="160">
        <v>114</v>
      </c>
      <c r="B143" s="161" t="s">
        <v>963</v>
      </c>
      <c r="C143" s="327" t="s">
        <v>965</v>
      </c>
      <c r="D143" s="160" t="s">
        <v>964</v>
      </c>
      <c r="E143" s="160" t="s">
        <v>966</v>
      </c>
      <c r="F143" s="266">
        <v>45105</v>
      </c>
      <c r="G143" s="160" t="s">
        <v>925</v>
      </c>
      <c r="H143" s="160" t="s">
        <v>1649</v>
      </c>
      <c r="I143" s="161">
        <v>45128</v>
      </c>
      <c r="J143" s="161" t="s">
        <v>282</v>
      </c>
      <c r="K143" s="160" t="s">
        <v>362</v>
      </c>
      <c r="L143" s="255"/>
      <c r="M143" s="161" t="s">
        <v>328</v>
      </c>
      <c r="N143" s="160" t="s">
        <v>356</v>
      </c>
      <c r="O143" s="160" t="s">
        <v>2049</v>
      </c>
      <c r="P143" s="160" t="s">
        <v>967</v>
      </c>
      <c r="Q143" s="160" t="s">
        <v>111</v>
      </c>
      <c r="R143" s="255"/>
      <c r="S143" s="160" t="s">
        <v>969</v>
      </c>
      <c r="T143" s="160"/>
      <c r="U143" s="160" t="s">
        <v>970</v>
      </c>
      <c r="V143" s="160" t="s">
        <v>184</v>
      </c>
      <c r="W143" s="160" t="s">
        <v>387</v>
      </c>
      <c r="X143" s="160" t="s">
        <v>111</v>
      </c>
      <c r="Y143" s="160" t="str">
        <f ca="1">IF(I143&lt;&gt;"",IF(I143&lt;=TODAY(),IF(OR(N143="REPROGRAMADA",N143="SUSPENDIDA",N143="EXCLUSION",N143="COLEGIADO"),"NO HECHA",IF(N143=" ","SINRESULTADO","SI")),"NO"),IF(N143="EXCLUSION","NO HECHA","LIMBO"))</f>
        <v>SI</v>
      </c>
      <c r="Z143" s="160" t="str">
        <f>IF($Z$1=I143,"DIASOL", "DIANOSOL")</f>
        <v>DIANOSOL</v>
      </c>
      <c r="AA143" s="160" t="s">
        <v>240</v>
      </c>
      <c r="AB143" s="160" t="s">
        <v>968</v>
      </c>
      <c r="AC143" s="160" t="str">
        <f>IF(H143=$M$1,"SI","NO")</f>
        <v>NO</v>
      </c>
      <c r="AD143" s="160"/>
      <c r="AE143" s="160"/>
      <c r="AF143" s="266">
        <v>45127</v>
      </c>
      <c r="AG143" s="160" t="e">
        <f>IF(COUNTIF(#REF!,"*preso*")&gt;0,"SI","NO")</f>
        <v>#REF!</v>
      </c>
      <c r="AH143" s="253">
        <f>NroOrden(N143)</f>
        <v>50</v>
      </c>
      <c r="AI143" s="160" t="s">
        <v>971</v>
      </c>
      <c r="AJ143" s="48" t="str">
        <f ca="1">IF(OR(Y143="NO",Y143="LIMBO"),"IMP","NOIMP")</f>
        <v>NOIMP</v>
      </c>
    </row>
    <row r="144" spans="1:36" ht="39.950000000000003" hidden="1" customHeight="1">
      <c r="A144" s="160">
        <v>104</v>
      </c>
      <c r="B144" s="187" t="s">
        <v>399</v>
      </c>
      <c r="C144" s="214"/>
      <c r="D144" s="186" t="s">
        <v>400</v>
      </c>
      <c r="E144" s="186" t="s">
        <v>401</v>
      </c>
      <c r="F144" s="162">
        <v>45069</v>
      </c>
      <c r="G144" s="186" t="s">
        <v>402</v>
      </c>
      <c r="H144" s="186" t="s">
        <v>1643</v>
      </c>
      <c r="I144" s="187">
        <v>45133</v>
      </c>
      <c r="J144" s="187" t="s">
        <v>396</v>
      </c>
      <c r="K144" s="186" t="s">
        <v>365</v>
      </c>
      <c r="L144" s="255"/>
      <c r="M144" s="187" t="s">
        <v>333</v>
      </c>
      <c r="N144" s="160" t="s">
        <v>355</v>
      </c>
      <c r="O144" s="160" t="s">
        <v>2049</v>
      </c>
      <c r="P144" s="160" t="s">
        <v>956</v>
      </c>
      <c r="Q144" s="160" t="s">
        <v>111</v>
      </c>
      <c r="R144" s="255"/>
      <c r="S144" s="160"/>
      <c r="T144" s="160"/>
      <c r="U144" s="160"/>
      <c r="V144" s="186" t="s">
        <v>194</v>
      </c>
      <c r="W144" s="186" t="s">
        <v>141</v>
      </c>
      <c r="X144" s="186" t="s">
        <v>404</v>
      </c>
      <c r="Y144" s="160" t="str">
        <f ca="1">IF(I144&lt;&gt;"",IF(I144&lt;=TODAY(),IF(OR(N144="REPROGRAMADA",N144="SUSPENDIDA",N144="EXCLUSION",N144="COLEGIADO"),"NO HECHA",IF(N144=" ","SINRESULTADO","SI")),"NO"),IF(N144="EXCLUSION","NO HECHA","LIMBO"))</f>
        <v>SI</v>
      </c>
      <c r="Z144" s="160" t="str">
        <f>IF($Z$1=I144,"DIASOL", "DIANOSOL")</f>
        <v>DIANOSOL</v>
      </c>
      <c r="AA144" s="186" t="s">
        <v>240</v>
      </c>
      <c r="AB144" s="186" t="s">
        <v>405</v>
      </c>
      <c r="AC144" s="160" t="str">
        <f>IF(H144=$M$1,"SI","NO")</f>
        <v>NO</v>
      </c>
      <c r="AD144" s="160"/>
      <c r="AE144" s="160"/>
      <c r="AF144" s="266">
        <v>45140</v>
      </c>
      <c r="AG144" s="160" t="str">
        <f>IF(COUNTIF(C144,"*preso*")&gt;0,"SI","NO")</f>
        <v>NO</v>
      </c>
      <c r="AH144" s="253">
        <f>NroOrden(N144)</f>
        <v>50</v>
      </c>
      <c r="AI144" s="160" t="s">
        <v>957</v>
      </c>
      <c r="AJ144" s="48" t="str">
        <f ca="1">IF(OR(Y144="NO",Y144="LIMBO"),"IMP","NOIMP")</f>
        <v>NOIMP</v>
      </c>
    </row>
    <row r="145" spans="1:36" ht="39.950000000000003" hidden="1" customHeight="1">
      <c r="A145" s="160">
        <v>81</v>
      </c>
      <c r="B145" s="161" t="s">
        <v>845</v>
      </c>
      <c r="C145" s="212"/>
      <c r="D145" s="160" t="s">
        <v>846</v>
      </c>
      <c r="E145" s="160" t="s">
        <v>847</v>
      </c>
      <c r="F145" s="162">
        <v>45098</v>
      </c>
      <c r="G145" s="160" t="s">
        <v>807</v>
      </c>
      <c r="H145" s="160" t="s">
        <v>1649</v>
      </c>
      <c r="I145" s="161">
        <v>45134</v>
      </c>
      <c r="J145" s="164">
        <v>0.5</v>
      </c>
      <c r="K145" s="160" t="s">
        <v>363</v>
      </c>
      <c r="L145" s="255"/>
      <c r="M145" s="161" t="s">
        <v>328</v>
      </c>
      <c r="N145" s="160" t="s">
        <v>355</v>
      </c>
      <c r="O145" s="160" t="s">
        <v>2049</v>
      </c>
      <c r="P145" s="160"/>
      <c r="Q145" s="160" t="s">
        <v>111</v>
      </c>
      <c r="R145" s="255"/>
      <c r="S145" s="160"/>
      <c r="T145" s="160"/>
      <c r="U145" s="160"/>
      <c r="V145" s="160" t="s">
        <v>345</v>
      </c>
      <c r="W145" s="160" t="s">
        <v>848</v>
      </c>
      <c r="X145" s="160" t="s">
        <v>111</v>
      </c>
      <c r="Y145" s="160" t="str">
        <f ca="1">IF(I145&lt;&gt;"",IF(I145&lt;=TODAY(),IF(OR(N145="REPROGRAMADA",N145="SUSPENDIDA",N145="EXCLUSION",N145="COLEGIADO"),"NO HECHA",IF(N145=" ","SINRESULTADO","SI")),"NO"),IF(N145="EXCLUSION","NO HECHA","LIMBO"))</f>
        <v>SI</v>
      </c>
      <c r="Z145" s="160" t="str">
        <f>IF($Z$1=I145,"DIASOL", "DIANOSOL")</f>
        <v>DIANOSOL</v>
      </c>
      <c r="AA145" s="160" t="s">
        <v>240</v>
      </c>
      <c r="AB145" s="160" t="s">
        <v>849</v>
      </c>
      <c r="AC145" s="160" t="str">
        <f>IF(H145=$M$1,"SI","NO")</f>
        <v>NO</v>
      </c>
      <c r="AD145" s="160"/>
      <c r="AE145" s="160"/>
      <c r="AF145" s="266">
        <v>45156</v>
      </c>
      <c r="AG145" s="160" t="str">
        <f>IF(COUNTIF(C145,"*preso*")&gt;0,"SI","NO")</f>
        <v>NO</v>
      </c>
      <c r="AH145" s="253">
        <f>NroOrden(N145)</f>
        <v>50</v>
      </c>
      <c r="AI145" s="160"/>
      <c r="AJ145" s="48" t="str">
        <f ca="1">IF(OR(Y145="NO",Y145="LIMBO"),"IMP","NOIMP")</f>
        <v>NOIMP</v>
      </c>
    </row>
    <row r="146" spans="1:36" ht="39.950000000000003" hidden="1" customHeight="1">
      <c r="A146" s="160">
        <v>162</v>
      </c>
      <c r="B146" s="161" t="s">
        <v>1088</v>
      </c>
      <c r="C146" s="211" t="s">
        <v>501</v>
      </c>
      <c r="D146" s="160" t="s">
        <v>1089</v>
      </c>
      <c r="E146" s="160" t="s">
        <v>383</v>
      </c>
      <c r="F146" s="162">
        <v>45114</v>
      </c>
      <c r="G146" s="160" t="s">
        <v>1065</v>
      </c>
      <c r="H146" s="160" t="s">
        <v>1646</v>
      </c>
      <c r="I146" s="161">
        <v>45134</v>
      </c>
      <c r="J146" s="161" t="s">
        <v>16</v>
      </c>
      <c r="K146" s="160" t="s">
        <v>403</v>
      </c>
      <c r="L146" s="255"/>
      <c r="M146" s="161" t="s">
        <v>331</v>
      </c>
      <c r="N146" s="160" t="s">
        <v>356</v>
      </c>
      <c r="O146" s="160" t="s">
        <v>2049</v>
      </c>
      <c r="P146" s="160"/>
      <c r="Q146" s="160" t="s">
        <v>111</v>
      </c>
      <c r="R146" s="255"/>
      <c r="S146" s="160" t="s">
        <v>374</v>
      </c>
      <c r="T146" s="160" t="s">
        <v>1091</v>
      </c>
      <c r="U146" s="160" t="s">
        <v>1092</v>
      </c>
      <c r="V146" s="160" t="s">
        <v>97</v>
      </c>
      <c r="W146" s="160" t="s">
        <v>180</v>
      </c>
      <c r="X146" s="160" t="s">
        <v>111</v>
      </c>
      <c r="Y146" s="160" t="str">
        <f ca="1">IF(I146&lt;&gt;"",IF(I146&lt;=TODAY(),IF(OR(N146="REPROGRAMADA",N146="SUSPENDIDA",N146="EXCLUSION",N146="COLEGIADO"),"NO HECHA",IF(N146=" ","SINRESULTADO","SI")),"NO"),IF(N146="EXCLUSION","NO HECHA","LIMBO"))</f>
        <v>SI</v>
      </c>
      <c r="Z146" s="160" t="str">
        <f>IF($Z$1=I146,"DIASOL", "DIANOSOL")</f>
        <v>DIANOSOL</v>
      </c>
      <c r="AA146" s="160" t="s">
        <v>240</v>
      </c>
      <c r="AB146" s="160"/>
      <c r="AC146" s="160" t="str">
        <f>IF(H146=$M$1,"SI","NO")</f>
        <v>NO</v>
      </c>
      <c r="AD146" s="160"/>
      <c r="AE146" s="160"/>
      <c r="AF146" s="266">
        <v>45114</v>
      </c>
      <c r="AG146" s="160" t="str">
        <f>IF(COUNTIF(C146,"*preso*")&gt;0,"SI","NO")</f>
        <v>SI</v>
      </c>
      <c r="AH146" s="253">
        <f>NroOrden(N146)</f>
        <v>50</v>
      </c>
      <c r="AI146" s="160" t="s">
        <v>1328</v>
      </c>
      <c r="AJ146" s="48" t="str">
        <f ca="1">IF(OR(Y146="NO",Y146="LIMBO"),"IMP","NOIMP")</f>
        <v>NOIMP</v>
      </c>
    </row>
    <row r="147" spans="1:36" ht="39.950000000000003" hidden="1" customHeight="1">
      <c r="A147" s="160">
        <v>146</v>
      </c>
      <c r="B147" s="187" t="s">
        <v>1114</v>
      </c>
      <c r="C147" s="214" t="s">
        <v>1115</v>
      </c>
      <c r="D147" s="186" t="s">
        <v>1116</v>
      </c>
      <c r="E147" s="186" t="s">
        <v>1117</v>
      </c>
      <c r="F147" s="162">
        <v>45124</v>
      </c>
      <c r="G147" s="186" t="s">
        <v>1118</v>
      </c>
      <c r="H147" s="186" t="s">
        <v>1643</v>
      </c>
      <c r="I147" s="187">
        <v>45134</v>
      </c>
      <c r="J147" s="187" t="s">
        <v>14</v>
      </c>
      <c r="K147" s="186" t="s">
        <v>365</v>
      </c>
      <c r="L147" s="255"/>
      <c r="M147" s="187" t="s">
        <v>332</v>
      </c>
      <c r="N147" s="160" t="s">
        <v>356</v>
      </c>
      <c r="O147" s="160" t="s">
        <v>2049</v>
      </c>
      <c r="P147" s="160" t="s">
        <v>1119</v>
      </c>
      <c r="Q147" s="160" t="s">
        <v>111</v>
      </c>
      <c r="R147" s="255"/>
      <c r="S147" s="160" t="s">
        <v>1122</v>
      </c>
      <c r="T147" s="160" t="s">
        <v>1123</v>
      </c>
      <c r="U147" s="160" t="s">
        <v>1124</v>
      </c>
      <c r="V147" s="186" t="s">
        <v>191</v>
      </c>
      <c r="W147" s="186" t="s">
        <v>1120</v>
      </c>
      <c r="X147" s="186" t="s">
        <v>111</v>
      </c>
      <c r="Y147" s="160" t="str">
        <f ca="1">IF(I147&lt;&gt;"",IF(I147&lt;=TODAY(),IF(OR(N147="REPROGRAMADA",N147="SUSPENDIDA",N147="EXCLUSION",N147="COLEGIADO"),"NO HECHA",IF(N147=" ","SINRESULTADO","SI")),"NO"),IF(N147="EXCLUSION","NO HECHA","LIMBO"))</f>
        <v>SI</v>
      </c>
      <c r="Z147" s="160" t="str">
        <f>IF($Z$1=I147,"DIASOL", "DIANOSOL")</f>
        <v>DIANOSOL</v>
      </c>
      <c r="AA147" s="186" t="s">
        <v>240</v>
      </c>
      <c r="AB147" s="186" t="s">
        <v>1121</v>
      </c>
      <c r="AC147" s="160" t="str">
        <f>IF(H147=$M$1,"SI","NO")</f>
        <v>NO</v>
      </c>
      <c r="AD147" s="160"/>
      <c r="AE147" s="160"/>
      <c r="AF147" s="266" t="s">
        <v>1538</v>
      </c>
      <c r="AG147" s="160" t="str">
        <f>IF(COUNTIF(C147,"*preso*")&gt;0,"SI","NO")</f>
        <v>SI</v>
      </c>
      <c r="AH147" s="253">
        <f>NroOrden(N147)</f>
        <v>50</v>
      </c>
      <c r="AI147" s="160" t="s">
        <v>957</v>
      </c>
      <c r="AJ147" s="48" t="str">
        <f ca="1">IF(OR(Y147="NO",Y147="LIMBO"),"IMP","NOIMP")</f>
        <v>NOIMP</v>
      </c>
    </row>
    <row r="148" spans="1:36" ht="39.950000000000003" hidden="1" customHeight="1">
      <c r="A148" s="160">
        <v>79</v>
      </c>
      <c r="B148" s="161" t="s">
        <v>836</v>
      </c>
      <c r="C148" s="212"/>
      <c r="D148" s="160" t="s">
        <v>837</v>
      </c>
      <c r="E148" s="160" t="s">
        <v>838</v>
      </c>
      <c r="F148" s="162">
        <v>46199</v>
      </c>
      <c r="G148" s="160" t="s">
        <v>807</v>
      </c>
      <c r="H148" s="160" t="s">
        <v>1646</v>
      </c>
      <c r="I148" s="161">
        <v>45139</v>
      </c>
      <c r="J148" s="164">
        <v>0.5</v>
      </c>
      <c r="K148" s="160" t="s">
        <v>362</v>
      </c>
      <c r="L148" s="255"/>
      <c r="M148" s="161" t="s">
        <v>329</v>
      </c>
      <c r="N148" s="160" t="s">
        <v>359</v>
      </c>
      <c r="O148" s="160" t="s">
        <v>2049</v>
      </c>
      <c r="P148" s="160"/>
      <c r="Q148" s="160" t="s">
        <v>111</v>
      </c>
      <c r="R148" s="255"/>
      <c r="S148" s="160"/>
      <c r="T148" s="160"/>
      <c r="U148" s="160"/>
      <c r="V148" s="160" t="s">
        <v>300</v>
      </c>
      <c r="W148" s="160" t="s">
        <v>118</v>
      </c>
      <c r="X148" s="160" t="s">
        <v>111</v>
      </c>
      <c r="Y148" s="160" t="str">
        <f ca="1">IF(I148&lt;&gt;"",IF(I148&lt;=TODAY(),IF(OR(N148="REPROGRAMADA",N148="SUSPENDIDA",N148="EXCLUSION",N148="COLEGIADO"),"NO HECHA",IF(N148=" ","SINRESULTADO","SI")),"NO"),IF(N148="EXCLUSION","NO HECHA","LIMBO"))</f>
        <v>SI</v>
      </c>
      <c r="Z148" s="160" t="str">
        <f>IF($Z$1=I148,"DIASOL", "DIANOSOL")</f>
        <v>DIANOSOL</v>
      </c>
      <c r="AA148" s="160" t="s">
        <v>240</v>
      </c>
      <c r="AB148" s="160" t="s">
        <v>839</v>
      </c>
      <c r="AC148" s="160" t="str">
        <f>IF(H148=$M$1,"SI","NO")</f>
        <v>NO</v>
      </c>
      <c r="AD148" s="160"/>
      <c r="AE148" s="160"/>
      <c r="AF148" s="266">
        <v>45156</v>
      </c>
      <c r="AG148" s="160" t="str">
        <f>IF(COUNTIF(C148,"*preso*")&gt;0,"SI","NO")</f>
        <v>NO</v>
      </c>
      <c r="AH148" s="253">
        <f>NroOrden(N148)</f>
        <v>50</v>
      </c>
      <c r="AI148" s="160" t="s">
        <v>1431</v>
      </c>
      <c r="AJ148" s="48" t="str">
        <f ca="1">IF(OR(Y148="NO",Y148="LIMBO"),"IMP","NOIMP")</f>
        <v>NOIMP</v>
      </c>
    </row>
    <row r="149" spans="1:36" ht="39.950000000000003" hidden="1" customHeight="1">
      <c r="A149" s="160">
        <v>134</v>
      </c>
      <c r="B149" s="161" t="s">
        <v>1054</v>
      </c>
      <c r="C149" s="211" t="s">
        <v>501</v>
      </c>
      <c r="D149" s="160" t="s">
        <v>1055</v>
      </c>
      <c r="E149" s="160" t="s">
        <v>1056</v>
      </c>
      <c r="F149" s="266">
        <v>45112</v>
      </c>
      <c r="G149" s="160" t="s">
        <v>1010</v>
      </c>
      <c r="H149" s="160" t="s">
        <v>1649</v>
      </c>
      <c r="I149" s="161">
        <v>45139</v>
      </c>
      <c r="J149" s="161" t="s">
        <v>14</v>
      </c>
      <c r="K149" s="160" t="s">
        <v>403</v>
      </c>
      <c r="L149" s="255"/>
      <c r="M149" s="161" t="s">
        <v>329</v>
      </c>
      <c r="N149" s="160" t="s">
        <v>355</v>
      </c>
      <c r="O149" s="160" t="s">
        <v>2049</v>
      </c>
      <c r="P149" s="160" t="s">
        <v>1335</v>
      </c>
      <c r="Q149" s="160" t="s">
        <v>111</v>
      </c>
      <c r="R149" s="255"/>
      <c r="S149" s="160" t="s">
        <v>374</v>
      </c>
      <c r="T149" s="266" t="s">
        <v>1059</v>
      </c>
      <c r="U149" s="160" t="s">
        <v>1060</v>
      </c>
      <c r="V149" s="160" t="s">
        <v>345</v>
      </c>
      <c r="W149" s="160" t="s">
        <v>1057</v>
      </c>
      <c r="X149" s="160" t="s">
        <v>111</v>
      </c>
      <c r="Y149" s="160" t="str">
        <f ca="1">IF(I149&lt;&gt;"",IF(I149&lt;=TODAY(),IF(OR(N149="REPROGRAMADA",N149="SUSPENDIDA",N149="EXCLUSION",N149="COLEGIADO"),"NO HECHA",IF(N149=" ","SINRESULTADO","SI")),"NO"),IF(N149="EXCLUSION","NO HECHA","LIMBO"))</f>
        <v>SI</v>
      </c>
      <c r="Z149" s="160" t="str">
        <f>IF($Z$1=I149,"DIASOL", "DIANOSOL")</f>
        <v>DIANOSOL</v>
      </c>
      <c r="AA149" s="160" t="s">
        <v>240</v>
      </c>
      <c r="AB149" s="160" t="s">
        <v>1058</v>
      </c>
      <c r="AC149" s="160" t="str">
        <f>IF(H149=$M$1,"SI","NO")</f>
        <v>NO</v>
      </c>
      <c r="AD149" s="160"/>
      <c r="AE149" s="160"/>
      <c r="AF149" s="266">
        <v>45152</v>
      </c>
      <c r="AG149" s="160" t="str">
        <f>IF(COUNTIF(C149,"*preso*")&gt;0,"SI","NO")</f>
        <v>SI</v>
      </c>
      <c r="AH149" s="253">
        <f>NroOrden(N149)</f>
        <v>50</v>
      </c>
      <c r="AI149" s="160" t="s">
        <v>1336</v>
      </c>
      <c r="AJ149" s="48" t="str">
        <f ca="1">IF(OR(Y149="NO",Y149="LIMBO"),"IMP","NOIMP")</f>
        <v>NOIMP</v>
      </c>
    </row>
    <row r="150" spans="1:36" ht="38.25" hidden="1">
      <c r="A150" s="160">
        <v>50</v>
      </c>
      <c r="B150" s="161" t="s">
        <v>683</v>
      </c>
      <c r="C150" s="212"/>
      <c r="D150" s="160" t="s">
        <v>684</v>
      </c>
      <c r="E150" s="160" t="s">
        <v>685</v>
      </c>
      <c r="F150" s="266">
        <v>45089</v>
      </c>
      <c r="G150" s="160" t="s">
        <v>686</v>
      </c>
      <c r="H150" s="160" t="s">
        <v>1643</v>
      </c>
      <c r="I150" s="161">
        <v>45142</v>
      </c>
      <c r="J150" s="164">
        <v>0.39583333333333331</v>
      </c>
      <c r="K150" s="160" t="s">
        <v>363</v>
      </c>
      <c r="L150" s="255"/>
      <c r="M150" s="161" t="s">
        <v>330</v>
      </c>
      <c r="N150" s="160" t="s">
        <v>357</v>
      </c>
      <c r="O150" s="160" t="s">
        <v>2049</v>
      </c>
      <c r="P150" s="160"/>
      <c r="Q150" s="160" t="s">
        <v>329</v>
      </c>
      <c r="R150" s="255"/>
      <c r="S150" s="160"/>
      <c r="T150" s="160"/>
      <c r="U150" s="160"/>
      <c r="V150" s="160" t="s">
        <v>194</v>
      </c>
      <c r="W150" s="160" t="s">
        <v>687</v>
      </c>
      <c r="X150" s="160" t="s">
        <v>688</v>
      </c>
      <c r="Y150" s="160" t="str">
        <f ca="1">IF(I150&lt;&gt;"",IF(I150&lt;=TODAY(),IF(OR(N150="REPROGRAMADA",N150="SUSPENDIDA",N150="EXCLUSION",N150="COLEGIADO"),"NO HECHA",IF(N150=" ","SINRESULTADO","SI")),"NO"),IF(N150="EXCLUSION","NO HECHA","LIMBO"))</f>
        <v>SI</v>
      </c>
      <c r="Z150" s="160" t="str">
        <f>IF($Z$1=I150,"DIASOL", "DIANOSOL")</f>
        <v>DIANOSOL</v>
      </c>
      <c r="AA150" s="160" t="s">
        <v>240</v>
      </c>
      <c r="AB150" s="160"/>
      <c r="AC150" s="160" t="str">
        <f>IF(H150=$M$1,"SI","NO")</f>
        <v>NO</v>
      </c>
      <c r="AD150" s="160"/>
      <c r="AE150" s="160"/>
      <c r="AF150" s="266">
        <v>45152</v>
      </c>
      <c r="AG150" s="160" t="str">
        <f>IF(COUNTIF(C150,"*preso*")&gt;0,"SI","NO")</f>
        <v>NO</v>
      </c>
      <c r="AH150" s="253">
        <f>NroOrden(N150)</f>
        <v>50</v>
      </c>
      <c r="AI150" s="160"/>
      <c r="AJ150" s="48" t="str">
        <f ca="1">IF(OR(Y150="NO",Y150="LIMBO"),"IMP","NOIMP")</f>
        <v>NOIMP</v>
      </c>
    </row>
    <row r="151" spans="1:36" ht="39.950000000000003" hidden="1" customHeight="1">
      <c r="A151" s="142">
        <v>48</v>
      </c>
      <c r="B151" s="143" t="s">
        <v>670</v>
      </c>
      <c r="C151" s="213"/>
      <c r="D151" s="142" t="s">
        <v>671</v>
      </c>
      <c r="E151" s="142" t="s">
        <v>672</v>
      </c>
      <c r="F151" s="159">
        <v>45090</v>
      </c>
      <c r="G151" s="142" t="s">
        <v>673</v>
      </c>
      <c r="H151" s="142" t="s">
        <v>1649</v>
      </c>
      <c r="I151" s="143">
        <v>45142</v>
      </c>
      <c r="J151" s="286">
        <v>0.5625</v>
      </c>
      <c r="K151" s="144" t="s">
        <v>365</v>
      </c>
      <c r="L151" s="218"/>
      <c r="M151" s="143" t="s">
        <v>331</v>
      </c>
      <c r="N151" s="142" t="s">
        <v>378</v>
      </c>
      <c r="O151" s="142" t="s">
        <v>2051</v>
      </c>
      <c r="P151" s="181" t="s">
        <v>1384</v>
      </c>
      <c r="Q151" s="144" t="s">
        <v>111</v>
      </c>
      <c r="R151" s="218"/>
      <c r="S151" s="142"/>
      <c r="T151" s="144"/>
      <c r="U151" s="144"/>
      <c r="V151" s="142" t="s">
        <v>347</v>
      </c>
      <c r="W151" s="142" t="s">
        <v>674</v>
      </c>
      <c r="X151" s="142" t="s">
        <v>111</v>
      </c>
      <c r="Y151" s="191" t="str">
        <f ca="1">IF(I151&lt;&gt;"",IF(I151&lt;=TODAY(),IF(OR(N151="REPROGRAMADA",N151="SUSPENDIDA",N151="EXCLUSION",N151="COLEGIADO"),"NO HECHA",IF(N151=" ","SINRESULTADO","SI")),"NO"),IF(N151="EXCLUSION","NO HECHA","LIMBO"))</f>
        <v>SI</v>
      </c>
      <c r="Z151" s="142" t="str">
        <f>IF($Z$1=I151,"DIASOL", "DIANOSOL")</f>
        <v>DIANOSOL</v>
      </c>
      <c r="AA151" s="142" t="s">
        <v>240</v>
      </c>
      <c r="AB151" s="142" t="s">
        <v>675</v>
      </c>
      <c r="AC151" s="145" t="str">
        <f>IF(H151=$M$1,"SI","NO")</f>
        <v>NO</v>
      </c>
      <c r="AD151" s="145"/>
      <c r="AE151" s="159">
        <v>45083</v>
      </c>
      <c r="AF151" s="159">
        <v>45154</v>
      </c>
      <c r="AG151" s="144" t="str">
        <f>IF(COUNTIF(C151,"*preso*")&gt;0,"SI","NO")</f>
        <v>NO</v>
      </c>
      <c r="AH151" s="253">
        <f>NroOrden(N151)</f>
        <v>50</v>
      </c>
      <c r="AI151" s="144" t="s">
        <v>669</v>
      </c>
      <c r="AJ151" s="48" t="str">
        <f ca="1">IF(OR(Y151="NO",Y151="LIMBO"),"IMP","NOIMP")</f>
        <v>NOIMP</v>
      </c>
    </row>
    <row r="152" spans="1:36" ht="39.950000000000003" hidden="1" customHeight="1">
      <c r="A152" s="186">
        <v>160</v>
      </c>
      <c r="B152" s="187" t="s">
        <v>1329</v>
      </c>
      <c r="C152" s="214" t="s">
        <v>501</v>
      </c>
      <c r="D152" s="186" t="s">
        <v>1330</v>
      </c>
      <c r="E152" s="186" t="s">
        <v>952</v>
      </c>
      <c r="F152" s="225">
        <v>45114</v>
      </c>
      <c r="G152" s="186" t="s">
        <v>1065</v>
      </c>
      <c r="H152" s="186" t="s">
        <v>1650</v>
      </c>
      <c r="I152" s="187">
        <v>45142</v>
      </c>
      <c r="J152" s="187" t="s">
        <v>14</v>
      </c>
      <c r="K152" s="186" t="s">
        <v>403</v>
      </c>
      <c r="L152" s="255"/>
      <c r="M152" s="187" t="s">
        <v>333</v>
      </c>
      <c r="N152" s="186" t="s">
        <v>355</v>
      </c>
      <c r="O152" s="186" t="s">
        <v>2049</v>
      </c>
      <c r="P152" s="186" t="s">
        <v>1332</v>
      </c>
      <c r="Q152" s="186" t="s">
        <v>111</v>
      </c>
      <c r="R152" s="255"/>
      <c r="S152" s="186"/>
      <c r="T152" s="186"/>
      <c r="U152" s="186"/>
      <c r="V152" s="186" t="s">
        <v>339</v>
      </c>
      <c r="W152" s="186" t="s">
        <v>202</v>
      </c>
      <c r="X152" s="186" t="s">
        <v>111</v>
      </c>
      <c r="Y152" s="186" t="str">
        <f ca="1">IF(I152&lt;&gt;"",IF(I152&lt;=TODAY(),IF(OR(N152="REPROGRAMADA",N152="SUSPENDIDA",N152="EXCLUSION",N152="COLEGIADO"),"NO HECHA",IF(N152=" ","SINRESULTADO","SI")),"NO"),IF(N152="EXCLUSION","NO HECHA","LIMBO"))</f>
        <v>SI</v>
      </c>
      <c r="Z152" s="186" t="str">
        <f>IF($Z$1=I152,"DIASOL", "DIANOSOL")</f>
        <v>DIANOSOL</v>
      </c>
      <c r="AA152" s="186" t="s">
        <v>240</v>
      </c>
      <c r="AB152" s="186" t="s">
        <v>1333</v>
      </c>
      <c r="AC152" s="186" t="str">
        <f>IF(H152=$M$1,"SI","NO")</f>
        <v>NO</v>
      </c>
      <c r="AD152" s="186"/>
      <c r="AE152" s="186"/>
      <c r="AF152" s="225">
        <v>45152</v>
      </c>
      <c r="AG152" s="186" t="str">
        <f>IF(COUNTIF(C152,"*preso*")&gt;0,"SI","NO")</f>
        <v>SI</v>
      </c>
      <c r="AH152" s="253">
        <f>NroOrden(N152)</f>
        <v>50</v>
      </c>
      <c r="AI152" s="186" t="s">
        <v>1334</v>
      </c>
      <c r="AJ152" s="48" t="str">
        <f ca="1">IF(OR(Y152="NO",Y152="LIMBO"),"IMP","NOIMP")</f>
        <v>NOIMP</v>
      </c>
    </row>
    <row r="153" spans="1:36" ht="39.950000000000003" hidden="1" customHeight="1">
      <c r="A153" s="299">
        <v>96</v>
      </c>
      <c r="B153" s="300" t="s">
        <v>931</v>
      </c>
      <c r="C153" s="302" t="s">
        <v>501</v>
      </c>
      <c r="D153" s="299" t="s">
        <v>932</v>
      </c>
      <c r="E153" s="299" t="s">
        <v>383</v>
      </c>
      <c r="F153" s="303">
        <v>45104</v>
      </c>
      <c r="G153" s="299" t="s">
        <v>925</v>
      </c>
      <c r="H153" s="299" t="s">
        <v>1646</v>
      </c>
      <c r="I153" s="300">
        <v>45145</v>
      </c>
      <c r="J153" s="305">
        <v>0.4375</v>
      </c>
      <c r="K153" s="299" t="s">
        <v>363</v>
      </c>
      <c r="L153" s="255"/>
      <c r="M153" s="300" t="s">
        <v>329</v>
      </c>
      <c r="N153" s="299" t="s">
        <v>357</v>
      </c>
      <c r="O153" s="299" t="s">
        <v>2049</v>
      </c>
      <c r="P153" s="299"/>
      <c r="Q153" s="299" t="s">
        <v>328</v>
      </c>
      <c r="R153" s="308"/>
      <c r="S153" s="299"/>
      <c r="T153" s="299"/>
      <c r="U153" s="299"/>
      <c r="V153" s="299" t="s">
        <v>97</v>
      </c>
      <c r="W153" s="299" t="s">
        <v>169</v>
      </c>
      <c r="X153" s="299" t="s">
        <v>111</v>
      </c>
      <c r="Y153" s="299" t="str">
        <f ca="1">IF(I153&lt;&gt;"",IF(I153&lt;=TODAY(),IF(OR(N153="REPROGRAMADA",N153="SUSPENDIDA",N153="EXCLUSION",N153="COLEGIADO"),"NO HECHA",IF(N153=" ","SINRESULTADO","SI")),"NO"),IF(N153="EXCLUSION","NO HECHA","LIMBO"))</f>
        <v>SI</v>
      </c>
      <c r="Z153" s="299" t="str">
        <f>IF($Z$1=I153,"DIASOL", "DIANOSOL")</f>
        <v>DIANOSOL</v>
      </c>
      <c r="AA153" s="299" t="s">
        <v>240</v>
      </c>
      <c r="AB153" s="299"/>
      <c r="AC153" s="299" t="str">
        <f>IF(H153=$M$1,"SI","NO")</f>
        <v>NO</v>
      </c>
      <c r="AD153" s="299"/>
      <c r="AE153" s="299"/>
      <c r="AF153" s="303">
        <v>45152</v>
      </c>
      <c r="AG153" s="299" t="str">
        <f>IF(COUNTIF(C153,"*preso*")&gt;0,"SI","NO")</f>
        <v>SI</v>
      </c>
      <c r="AH153" s="253">
        <f>NroOrden(N153)</f>
        <v>50</v>
      </c>
      <c r="AI153" s="299"/>
      <c r="AJ153" s="48" t="str">
        <f ca="1">IF(OR(Y153="NO",Y153="LIMBO"),"IMP","NOIMP")</f>
        <v>NOIMP</v>
      </c>
    </row>
    <row r="154" spans="1:36" ht="68.25" hidden="1" customHeight="1">
      <c r="A154" s="160">
        <v>163</v>
      </c>
      <c r="B154" s="187" t="s">
        <v>650</v>
      </c>
      <c r="C154" s="214"/>
      <c r="D154" s="186" t="s">
        <v>651</v>
      </c>
      <c r="E154" s="186" t="s">
        <v>652</v>
      </c>
      <c r="F154" s="266">
        <v>45091</v>
      </c>
      <c r="G154" s="186" t="s">
        <v>653</v>
      </c>
      <c r="H154" s="186" t="s">
        <v>1643</v>
      </c>
      <c r="I154" s="187">
        <v>45145</v>
      </c>
      <c r="J154" s="187" t="s">
        <v>282</v>
      </c>
      <c r="K154" s="186" t="s">
        <v>403</v>
      </c>
      <c r="L154" s="255"/>
      <c r="M154" s="187" t="s">
        <v>331</v>
      </c>
      <c r="N154" s="160" t="s">
        <v>355</v>
      </c>
      <c r="O154" s="160" t="s">
        <v>2049</v>
      </c>
      <c r="P154" s="160" t="s">
        <v>1326</v>
      </c>
      <c r="Q154" s="160" t="s">
        <v>111</v>
      </c>
      <c r="R154" s="255"/>
      <c r="S154" s="160"/>
      <c r="T154" s="160"/>
      <c r="U154" s="160"/>
      <c r="V154" s="186" t="s">
        <v>186</v>
      </c>
      <c r="W154" s="186" t="s">
        <v>654</v>
      </c>
      <c r="X154" s="186" t="s">
        <v>111</v>
      </c>
      <c r="Y154" s="160" t="str">
        <f ca="1">IF(I154&lt;&gt;"",IF(I154&lt;=TODAY(),IF(OR(N154="REPROGRAMADA",N154="SUSPENDIDA",N154="EXCLUSION",N154="COLEGIADO"),"NO HECHA",IF(N154=" ","SINRESULTADO","SI")),"NO"),IF(N154="EXCLUSION","NO HECHA","LIMBO"))</f>
        <v>SI</v>
      </c>
      <c r="Z154" s="160" t="str">
        <f>IF($Z$1=I154,"DIASOL", "DIANOSOL")</f>
        <v>DIANOSOL</v>
      </c>
      <c r="AA154" s="186" t="s">
        <v>240</v>
      </c>
      <c r="AB154" s="186" t="s">
        <v>655</v>
      </c>
      <c r="AC154" s="160" t="str">
        <f>IF(H154=$M$1,"SI","NO")</f>
        <v>NO</v>
      </c>
      <c r="AD154" s="160"/>
      <c r="AE154" s="160"/>
      <c r="AF154" s="266">
        <v>45152</v>
      </c>
      <c r="AG154" s="160" t="str">
        <f>IF(COUNTIF(C154,"*preso*")&gt;0,"SI","NO")</f>
        <v>NO</v>
      </c>
      <c r="AH154" s="253">
        <f>NroOrden(N154)</f>
        <v>50</v>
      </c>
      <c r="AI154" s="160" t="s">
        <v>1327</v>
      </c>
      <c r="AJ154" s="48" t="str">
        <f ca="1">IF(OR(Y154="NO",Y154="LIMBO"),"IMP","NOIMP")</f>
        <v>NOIMP</v>
      </c>
    </row>
    <row r="155" spans="1:36" ht="39.950000000000003" hidden="1" customHeight="1">
      <c r="A155" s="160">
        <v>88</v>
      </c>
      <c r="B155" s="161" t="s">
        <v>884</v>
      </c>
      <c r="C155" s="212"/>
      <c r="D155" s="160" t="s">
        <v>885</v>
      </c>
      <c r="E155" s="160" t="s">
        <v>886</v>
      </c>
      <c r="F155" s="266">
        <v>45104</v>
      </c>
      <c r="G155" s="160" t="s">
        <v>861</v>
      </c>
      <c r="H155" s="160" t="s">
        <v>1649</v>
      </c>
      <c r="I155" s="161">
        <v>45147</v>
      </c>
      <c r="J155" s="164">
        <v>0.52083333333333337</v>
      </c>
      <c r="K155" s="160" t="s">
        <v>365</v>
      </c>
      <c r="L155" s="255"/>
      <c r="M155" s="161" t="s">
        <v>332</v>
      </c>
      <c r="N155" s="160" t="s">
        <v>357</v>
      </c>
      <c r="O155" s="160" t="s">
        <v>2049</v>
      </c>
      <c r="P155" s="160"/>
      <c r="Q155" s="160" t="s">
        <v>333</v>
      </c>
      <c r="R155" s="255"/>
      <c r="S155" s="160"/>
      <c r="T155" s="160"/>
      <c r="U155" s="160"/>
      <c r="V155" s="160" t="s">
        <v>189</v>
      </c>
      <c r="W155" s="160" t="s">
        <v>117</v>
      </c>
      <c r="X155" s="160" t="s">
        <v>111</v>
      </c>
      <c r="Y155" s="160" t="str">
        <f ca="1">IF(I155&lt;&gt;"",IF(I155&lt;=TODAY(),IF(OR(N155="REPROGRAMADA",N155="SUSPENDIDA",N155="EXCLUSION",N155="COLEGIADO"),"NO HECHA",IF(N155=" ","SINRESULTADO","SI")),"NO"),IF(N155="EXCLUSION","NO HECHA","LIMBO"))</f>
        <v>SI</v>
      </c>
      <c r="Z155" s="160" t="str">
        <f>IF($Z$1=I155,"DIASOL", "DIANOSOL")</f>
        <v>DIANOSOL</v>
      </c>
      <c r="AA155" s="160" t="s">
        <v>240</v>
      </c>
      <c r="AB155" s="160" t="s">
        <v>887</v>
      </c>
      <c r="AC155" s="160" t="str">
        <f>IF(H155=$M$1,"SI","NO")</f>
        <v>NO</v>
      </c>
      <c r="AD155" s="160"/>
      <c r="AE155" s="160"/>
      <c r="AF155" s="266">
        <v>45153</v>
      </c>
      <c r="AG155" s="160" t="str">
        <f>IF(COUNTIF(C155,"*preso*")&gt;0,"SI","NO")</f>
        <v>NO</v>
      </c>
      <c r="AH155" s="253">
        <f>NroOrden(N155)</f>
        <v>50</v>
      </c>
      <c r="AI155" s="160"/>
      <c r="AJ155" s="48" t="str">
        <f ca="1">IF(OR(Y155="NO",Y155="LIMBO"),"IMP","NOIMP")</f>
        <v>NOIMP</v>
      </c>
    </row>
    <row r="156" spans="1:36" s="96" customFormat="1" ht="39.950000000000003" hidden="1" customHeight="1">
      <c r="A156" s="160">
        <v>128</v>
      </c>
      <c r="B156" s="161" t="s">
        <v>1025</v>
      </c>
      <c r="C156" s="211"/>
      <c r="D156" s="160" t="s">
        <v>1026</v>
      </c>
      <c r="E156" s="160" t="s">
        <v>1023</v>
      </c>
      <c r="F156" s="266">
        <v>45105</v>
      </c>
      <c r="G156" s="160" t="s">
        <v>925</v>
      </c>
      <c r="H156" s="160" t="s">
        <v>1646</v>
      </c>
      <c r="I156" s="161">
        <v>45147</v>
      </c>
      <c r="J156" s="161" t="s">
        <v>396</v>
      </c>
      <c r="K156" s="160" t="s">
        <v>363</v>
      </c>
      <c r="L156" s="255"/>
      <c r="M156" s="161" t="s">
        <v>328</v>
      </c>
      <c r="N156" s="160" t="s">
        <v>355</v>
      </c>
      <c r="O156" s="160" t="s">
        <v>2049</v>
      </c>
      <c r="P156" s="160" t="s">
        <v>1432</v>
      </c>
      <c r="Q156" s="160" t="s">
        <v>111</v>
      </c>
      <c r="R156" s="255"/>
      <c r="S156" s="160"/>
      <c r="T156" s="160"/>
      <c r="U156" s="160"/>
      <c r="V156" s="160" t="s">
        <v>345</v>
      </c>
      <c r="W156" s="160" t="s">
        <v>133</v>
      </c>
      <c r="X156" s="160" t="s">
        <v>111</v>
      </c>
      <c r="Y156" s="160" t="str">
        <f ca="1">IF(I156&lt;&gt;"",IF(I156&lt;=TODAY(),IF(OR(N156="REPROGRAMADA",N156="SUSPENDIDA",N156="EXCLUSION",N156="COLEGIADO"),"NO HECHA",IF(N156=" ","SINRESULTADO","SI")),"NO"),IF(N156="EXCLUSION","NO HECHA","LIMBO"))</f>
        <v>SI</v>
      </c>
      <c r="Z156" s="254" t="str">
        <f>IF($Z$1=I156,"DIASOL", "DIANOSOL")</f>
        <v>DIANOSOL</v>
      </c>
      <c r="AA156" s="160" t="s">
        <v>240</v>
      </c>
      <c r="AB156" s="160" t="s">
        <v>1027</v>
      </c>
      <c r="AC156" s="256" t="str">
        <f>IF(H156=$M$1,"SI","NO")</f>
        <v>NO</v>
      </c>
      <c r="AD156" s="256"/>
      <c r="AE156" s="266">
        <v>45063</v>
      </c>
      <c r="AF156" s="266">
        <v>45156</v>
      </c>
      <c r="AG156" s="170" t="str">
        <f>IF(COUNTIF(C156,"*preso*")&gt;0,"SI","NO")</f>
        <v>NO</v>
      </c>
      <c r="AH156" s="253">
        <f>NroOrden(N156)</f>
        <v>50</v>
      </c>
      <c r="AI156" s="160"/>
      <c r="AJ156" s="48" t="str">
        <f ca="1">IF(OR(Y156="NO",Y156="LIMBO"),"IMP","NOIMP")</f>
        <v>NOIMP</v>
      </c>
    </row>
    <row r="157" spans="1:36" ht="39.950000000000003" hidden="1" customHeight="1">
      <c r="A157" s="160">
        <v>131</v>
      </c>
      <c r="B157" s="161" t="s">
        <v>1038</v>
      </c>
      <c r="C157" s="211"/>
      <c r="D157" s="160" t="s">
        <v>1039</v>
      </c>
      <c r="E157" s="160" t="s">
        <v>1040</v>
      </c>
      <c r="F157" s="266">
        <v>45111</v>
      </c>
      <c r="G157" s="160" t="s">
        <v>1005</v>
      </c>
      <c r="H157" s="160" t="s">
        <v>1649</v>
      </c>
      <c r="I157" s="161">
        <v>45148</v>
      </c>
      <c r="J157" s="161" t="s">
        <v>282</v>
      </c>
      <c r="K157" s="160" t="s">
        <v>362</v>
      </c>
      <c r="L157" s="255"/>
      <c r="M157" s="161" t="s">
        <v>328</v>
      </c>
      <c r="N157" s="160" t="s">
        <v>359</v>
      </c>
      <c r="O157" s="160" t="s">
        <v>2049</v>
      </c>
      <c r="P157" s="160" t="s">
        <v>1339</v>
      </c>
      <c r="Q157" s="160" t="s">
        <v>111</v>
      </c>
      <c r="R157" s="255"/>
      <c r="S157" s="160"/>
      <c r="T157" s="160"/>
      <c r="U157" s="160"/>
      <c r="V157" s="160" t="s">
        <v>182</v>
      </c>
      <c r="W157" s="160" t="s">
        <v>1041</v>
      </c>
      <c r="X157" s="160" t="s">
        <v>111</v>
      </c>
      <c r="Y157" s="160" t="str">
        <f ca="1">IF(I157&lt;&gt;"",IF(I157&lt;=TODAY(),IF(OR(N157="REPROGRAMADA",N157="SUSPENDIDA",N157="EXCLUSION",N157="COLEGIADO"),"NO HECHA",IF(N157=" ","SINRESULTADO","SI")),"NO"),IF(N157="EXCLUSION","NO HECHA","LIMBO"))</f>
        <v>SI</v>
      </c>
      <c r="Z157" s="160" t="str">
        <f>IF($Z$1=I157,"DIASOL", "DIANOSOL")</f>
        <v>DIANOSOL</v>
      </c>
      <c r="AA157" s="160" t="s">
        <v>240</v>
      </c>
      <c r="AB157" s="160" t="s">
        <v>1042</v>
      </c>
      <c r="AC157" s="160" t="str">
        <f>IF(H157=$M$1,"SI","NO")</f>
        <v>NO</v>
      </c>
      <c r="AD157" s="160"/>
      <c r="AE157" s="266">
        <v>45107</v>
      </c>
      <c r="AF157" s="266">
        <v>45161</v>
      </c>
      <c r="AG157" s="160" t="str">
        <f>IF(COUNTIF(C157,"*preso*")&gt;0,"SI","NO")</f>
        <v>NO</v>
      </c>
      <c r="AH157" s="253">
        <f>NroOrden(N157)</f>
        <v>50</v>
      </c>
      <c r="AI157" s="160" t="s">
        <v>1440</v>
      </c>
      <c r="AJ157" s="48" t="str">
        <f ca="1">IF(OR(Y157="NO",Y157="LIMBO"),"IMP","NOIMP")</f>
        <v>NOIMP</v>
      </c>
    </row>
    <row r="158" spans="1:36" ht="39.950000000000003" hidden="1" customHeight="1">
      <c r="A158" s="160">
        <v>110</v>
      </c>
      <c r="B158" s="161" t="s">
        <v>588</v>
      </c>
      <c r="C158" s="211"/>
      <c r="D158" s="160" t="s">
        <v>589</v>
      </c>
      <c r="E158" s="160" t="s">
        <v>590</v>
      </c>
      <c r="F158" s="162">
        <v>45085</v>
      </c>
      <c r="G158" s="160" t="s">
        <v>591</v>
      </c>
      <c r="H158" s="160" t="s">
        <v>1643</v>
      </c>
      <c r="I158" s="161">
        <v>45148</v>
      </c>
      <c r="J158" s="161" t="s">
        <v>396</v>
      </c>
      <c r="K158" s="160" t="s">
        <v>365</v>
      </c>
      <c r="L158" s="255"/>
      <c r="M158" s="161" t="s">
        <v>332</v>
      </c>
      <c r="N158" s="160" t="s">
        <v>357</v>
      </c>
      <c r="O158" s="160" t="s">
        <v>2049</v>
      </c>
      <c r="P158" s="160"/>
      <c r="Q158" s="160" t="s">
        <v>333</v>
      </c>
      <c r="R158" s="255"/>
      <c r="S158" s="160"/>
      <c r="T158" s="160"/>
      <c r="U158" s="160"/>
      <c r="V158" s="160" t="s">
        <v>345</v>
      </c>
      <c r="W158" s="160" t="s">
        <v>593</v>
      </c>
      <c r="X158" s="160" t="s">
        <v>111</v>
      </c>
      <c r="Y158" s="160" t="str">
        <f ca="1">IF(I158&lt;&gt;"",IF(I158&lt;=TODAY(),IF(OR(N158="REPROGRAMADA",N158="SUSPENDIDA",N158="EXCLUSION",N158="COLEGIADO"),"NO HECHA",IF(N158=" ","SINRESULTADO","SI")),"NO"),IF(N158="EXCLUSION","NO HECHA","LIMBO"))</f>
        <v>SI</v>
      </c>
      <c r="Z158" s="160" t="str">
        <f>IF($Z$1=I158,"DIASOL", "DIANOSOL")</f>
        <v>DIANOSOL</v>
      </c>
      <c r="AA158" s="160" t="s">
        <v>240</v>
      </c>
      <c r="AB158" s="160" t="s">
        <v>594</v>
      </c>
      <c r="AC158" s="160" t="str">
        <f>IF(H158=$M$1,"SI","NO")</f>
        <v>NO</v>
      </c>
      <c r="AD158" s="160"/>
      <c r="AE158" s="160"/>
      <c r="AF158" s="266" t="s">
        <v>1537</v>
      </c>
      <c r="AG158" s="160" t="str">
        <f>IF(COUNTIF(C158,"*preso*")&gt;0,"SI","NO")</f>
        <v>NO</v>
      </c>
      <c r="AH158" s="253">
        <f>NroOrden(N158)</f>
        <v>50</v>
      </c>
      <c r="AI158" s="160"/>
      <c r="AJ158" s="48" t="str">
        <f ca="1">IF(OR(Y158="NO",Y158="LIMBO"),"IMP","NOIMP")</f>
        <v>NOIMP</v>
      </c>
    </row>
    <row r="159" spans="1:36" ht="108.75" hidden="1" customHeight="1">
      <c r="A159" s="160">
        <v>90</v>
      </c>
      <c r="B159" s="161" t="s">
        <v>896</v>
      </c>
      <c r="C159" s="212"/>
      <c r="D159" s="160" t="s">
        <v>897</v>
      </c>
      <c r="E159" s="160" t="s">
        <v>898</v>
      </c>
      <c r="F159" s="266">
        <v>45104</v>
      </c>
      <c r="G159" s="160" t="s">
        <v>899</v>
      </c>
      <c r="H159" s="160" t="s">
        <v>1646</v>
      </c>
      <c r="I159" s="161">
        <v>45149</v>
      </c>
      <c r="J159" s="164">
        <v>0.39583333333333331</v>
      </c>
      <c r="K159" s="160" t="s">
        <v>403</v>
      </c>
      <c r="L159" s="255"/>
      <c r="M159" s="161" t="s">
        <v>330</v>
      </c>
      <c r="N159" s="160" t="s">
        <v>357</v>
      </c>
      <c r="O159" s="160" t="s">
        <v>2049</v>
      </c>
      <c r="P159" s="160"/>
      <c r="Q159" s="160" t="s">
        <v>329</v>
      </c>
      <c r="R159" s="255"/>
      <c r="S159" s="160"/>
      <c r="T159" s="160"/>
      <c r="U159" s="160"/>
      <c r="V159" s="160" t="s">
        <v>342</v>
      </c>
      <c r="W159" s="160" t="s">
        <v>900</v>
      </c>
      <c r="X159" s="160" t="s">
        <v>111</v>
      </c>
      <c r="Y159" s="160" t="str">
        <f ca="1">IF(I159&lt;&gt;"",IF(I159&lt;=TODAY(),IF(OR(N159="REPROGRAMADA",N159="SUSPENDIDA",N159="EXCLUSION",N159="COLEGIADO"),"NO HECHA",IF(N159=" ","SINRESULTADO","SI")),"NO"),IF(N159="EXCLUSION","NO HECHA","LIMBO"))</f>
        <v>SI</v>
      </c>
      <c r="Z159" s="254" t="str">
        <f>IF($Z$1=I159,"DIASOL", "DIANOSOL")</f>
        <v>DIANOSOL</v>
      </c>
      <c r="AA159" s="160" t="s">
        <v>240</v>
      </c>
      <c r="AB159" s="160" t="s">
        <v>901</v>
      </c>
      <c r="AC159" s="256" t="str">
        <f>IF(H159=$M$1,"SI","NO")</f>
        <v>NO</v>
      </c>
      <c r="AD159" s="256"/>
      <c r="AE159" s="266">
        <v>45100</v>
      </c>
      <c r="AF159" s="266">
        <v>45154</v>
      </c>
      <c r="AG159" s="170" t="str">
        <f>IF(COUNTIF(C159,"*preso*")&gt;0,"SI","NO")</f>
        <v>NO</v>
      </c>
      <c r="AH159" s="253">
        <f>NroOrden(N159)</f>
        <v>50</v>
      </c>
      <c r="AI159" s="160"/>
      <c r="AJ159" s="48" t="str">
        <f ca="1">IF(OR(Y159="NO",Y159="LIMBO"),"IMP","NOIMP")</f>
        <v>NOIMP</v>
      </c>
    </row>
    <row r="160" spans="1:36" ht="167.25" hidden="1" customHeight="1">
      <c r="A160" s="98">
        <v>94</v>
      </c>
      <c r="B160" s="99" t="s">
        <v>922</v>
      </c>
      <c r="C160" s="209"/>
      <c r="D160" s="98" t="s">
        <v>923</v>
      </c>
      <c r="E160" s="98" t="s">
        <v>924</v>
      </c>
      <c r="F160" s="153">
        <v>45104</v>
      </c>
      <c r="G160" s="98"/>
      <c r="H160" s="98" t="s">
        <v>111</v>
      </c>
      <c r="I160" s="99">
        <v>45149</v>
      </c>
      <c r="J160" s="141">
        <v>0.5</v>
      </c>
      <c r="K160" s="98" t="s">
        <v>363</v>
      </c>
      <c r="L160" s="194"/>
      <c r="M160" s="99" t="s">
        <v>330</v>
      </c>
      <c r="N160" s="98" t="s">
        <v>354</v>
      </c>
      <c r="O160" s="98" t="s">
        <v>2307</v>
      </c>
      <c r="P160" s="98" t="s">
        <v>1442</v>
      </c>
      <c r="Q160" s="98" t="s">
        <v>111</v>
      </c>
      <c r="R160" s="194"/>
      <c r="S160" s="98"/>
      <c r="T160" s="98"/>
      <c r="U160" s="98"/>
      <c r="V160" s="98" t="s">
        <v>342</v>
      </c>
      <c r="W160" s="98" t="s">
        <v>119</v>
      </c>
      <c r="X160" s="98" t="s">
        <v>111</v>
      </c>
      <c r="Y160" s="163" t="str">
        <f ca="1">IF(I160&lt;&gt;"",IF(I160&lt;=TODAY(),IF(OR(N160="REPROGRAMADA",N160="SUSPENDIDA",N160="EXCLUSION",N160="COLEGIADO"),"NO HECHA",IF(N160=" ","SINRESULTADO","SI")),"NO"),IF(N160="EXCLUSION","NO HECHA","LIMBO"))</f>
        <v>NO HECHA</v>
      </c>
      <c r="Z160" s="98" t="str">
        <f>IF($Z$1=I160,"DIASOL", "DIANOSOL")</f>
        <v>DIANOSOL</v>
      </c>
      <c r="AA160" s="98" t="s">
        <v>240</v>
      </c>
      <c r="AB160" s="98" t="s">
        <v>926</v>
      </c>
      <c r="AC160" s="98" t="str">
        <f>IF(H160=$M$1,"SI","NO")</f>
        <v>NO</v>
      </c>
      <c r="AD160" s="98"/>
      <c r="AE160" s="98"/>
      <c r="AF160" s="98"/>
      <c r="AG160" s="163" t="str">
        <f>IF(COUNTIF(C160,"*preso*")&gt;0,"SI","NO")</f>
        <v>NO</v>
      </c>
      <c r="AH160" s="253">
        <f>NroOrden(N160)</f>
        <v>50</v>
      </c>
      <c r="AI160" s="98" t="s">
        <v>1443</v>
      </c>
      <c r="AJ160" s="48" t="str">
        <f ca="1">IF(OR(Y160="NO",Y160="LIMBO"),"IMP","NOIMP")</f>
        <v>NOIMP</v>
      </c>
    </row>
    <row r="161" spans="1:36" ht="91.5" hidden="1" customHeight="1">
      <c r="A161" s="160">
        <v>116</v>
      </c>
      <c r="B161" s="161" t="s">
        <v>972</v>
      </c>
      <c r="C161" s="211" t="s">
        <v>501</v>
      </c>
      <c r="D161" s="160" t="s">
        <v>973</v>
      </c>
      <c r="E161" s="160" t="s">
        <v>974</v>
      </c>
      <c r="F161" s="266">
        <v>45106</v>
      </c>
      <c r="G161" s="160" t="s">
        <v>975</v>
      </c>
      <c r="H161" s="160" t="s">
        <v>1649</v>
      </c>
      <c r="I161" s="161">
        <v>45152</v>
      </c>
      <c r="J161" s="161" t="s">
        <v>282</v>
      </c>
      <c r="K161" s="160" t="s">
        <v>363</v>
      </c>
      <c r="L161" s="255"/>
      <c r="M161" s="161" t="s">
        <v>330</v>
      </c>
      <c r="N161" s="160" t="s">
        <v>357</v>
      </c>
      <c r="O161" s="160" t="s">
        <v>2049</v>
      </c>
      <c r="P161" s="160"/>
      <c r="Q161" s="160" t="s">
        <v>329</v>
      </c>
      <c r="R161" s="255"/>
      <c r="S161" s="160" t="s">
        <v>374</v>
      </c>
      <c r="T161" s="160" t="s">
        <v>977</v>
      </c>
      <c r="U161" s="160" t="s">
        <v>977</v>
      </c>
      <c r="V161" s="160" t="s">
        <v>183</v>
      </c>
      <c r="W161" s="160" t="s">
        <v>132</v>
      </c>
      <c r="X161" s="160" t="s">
        <v>111</v>
      </c>
      <c r="Y161" s="160" t="str">
        <f ca="1">IF(I161&lt;&gt;"",IF(I161&lt;=TODAY(),IF(OR(N161="REPROGRAMADA",N161="SUSPENDIDA",N161="EXCLUSION",N161="COLEGIADO"),"NO HECHA",IF(N161=" ","SINRESULTADO","SI")),"NO"),IF(N161="EXCLUSION","NO HECHA","LIMBO"))</f>
        <v>SI</v>
      </c>
      <c r="Z161" s="254" t="str">
        <f>IF($Z$1=I161,"DIASOL", "DIANOSOL")</f>
        <v>DIANOSOL</v>
      </c>
      <c r="AA161" s="160" t="s">
        <v>240</v>
      </c>
      <c r="AB161" s="160" t="s">
        <v>976</v>
      </c>
      <c r="AC161" s="256" t="str">
        <f>IF(H161=$M$1,"SI","NO")</f>
        <v>NO</v>
      </c>
      <c r="AD161" s="256"/>
      <c r="AE161" s="266">
        <v>45099</v>
      </c>
      <c r="AF161" s="266">
        <v>45161</v>
      </c>
      <c r="AG161" s="170" t="str">
        <f>IF(COUNTIF(C161,"*preso*")&gt;0,"SI","NO")</f>
        <v>SI</v>
      </c>
      <c r="AH161" s="253">
        <f>NroOrden(N161)</f>
        <v>50</v>
      </c>
      <c r="AI161" s="160"/>
      <c r="AJ161" s="48" t="str">
        <f ca="1">IF(OR(Y161="NO",Y161="LIMBO"),"IMP","NOIMP")</f>
        <v>NOIMP</v>
      </c>
    </row>
    <row r="162" spans="1:36" ht="39.950000000000003" hidden="1" customHeight="1">
      <c r="A162" s="98">
        <v>132</v>
      </c>
      <c r="B162" s="99" t="s">
        <v>1043</v>
      </c>
      <c r="C162" s="210"/>
      <c r="D162" s="98" t="s">
        <v>1044</v>
      </c>
      <c r="E162" s="98" t="s">
        <v>1045</v>
      </c>
      <c r="F162" s="98"/>
      <c r="G162" s="98"/>
      <c r="H162" s="98"/>
      <c r="I162" s="99">
        <v>45152</v>
      </c>
      <c r="J162" s="99" t="s">
        <v>1046</v>
      </c>
      <c r="K162" s="98" t="s">
        <v>362</v>
      </c>
      <c r="L162" s="194"/>
      <c r="M162" s="99" t="s">
        <v>328</v>
      </c>
      <c r="N162" s="98" t="s">
        <v>354</v>
      </c>
      <c r="O162" s="98" t="s">
        <v>2356</v>
      </c>
      <c r="P162" s="98" t="s">
        <v>1338</v>
      </c>
      <c r="Q162" s="98" t="s">
        <v>111</v>
      </c>
      <c r="R162" s="194"/>
      <c r="S162" s="98"/>
      <c r="T162" s="98"/>
      <c r="U162" s="98"/>
      <c r="V162" s="98" t="s">
        <v>182</v>
      </c>
      <c r="W162" s="98" t="s">
        <v>1047</v>
      </c>
      <c r="X162" s="98" t="s">
        <v>111</v>
      </c>
      <c r="Y162" s="163" t="str">
        <f ca="1">IF(I162&lt;&gt;"",IF(I162&lt;=TODAY(),IF(OR(N162="REPROGRAMADA",N162="SUSPENDIDA",N162="EXCLUSION",N162="COLEGIADO"),"NO HECHA",IF(N162=" ","SINRESULTADO","SI")),"NO"),IF(N162="EXCLUSION","NO HECHA","LIMBO"))</f>
        <v>NO HECHA</v>
      </c>
      <c r="Z162" s="98" t="str">
        <f>IF($Z$1=I162,"DIASOL", "DIANOSOL")</f>
        <v>DIANOSOL</v>
      </c>
      <c r="AA162" s="98" t="s">
        <v>240</v>
      </c>
      <c r="AB162" s="98" t="s">
        <v>1048</v>
      </c>
      <c r="AC162" s="98" t="str">
        <f>IF(H162=$M$1,"SI","NO")</f>
        <v>NO</v>
      </c>
      <c r="AD162" s="98"/>
      <c r="AE162" s="98"/>
      <c r="AF162" s="98"/>
      <c r="AG162" s="163" t="str">
        <f>IF(COUNTIF(C162,"*preso*")&gt;0,"SI","NO")</f>
        <v>NO</v>
      </c>
      <c r="AH162" s="265">
        <f>NroOrden(N162)</f>
        <v>50</v>
      </c>
      <c r="AI162" s="98" t="s">
        <v>1447</v>
      </c>
      <c r="AJ162" s="283" t="str">
        <f ca="1">IF(OR(Y162="NO",Y162="LIMBO"),"IMP","NOIMP")</f>
        <v>NOIMP</v>
      </c>
    </row>
    <row r="163" spans="1:36" ht="39.950000000000003" hidden="1" customHeight="1">
      <c r="A163" s="160">
        <v>157</v>
      </c>
      <c r="B163" s="161" t="s">
        <v>1170</v>
      </c>
      <c r="C163" s="211" t="s">
        <v>501</v>
      </c>
      <c r="D163" s="160" t="s">
        <v>1171</v>
      </c>
      <c r="E163" s="160" t="s">
        <v>1172</v>
      </c>
      <c r="F163" s="162">
        <v>45125</v>
      </c>
      <c r="G163" s="160" t="s">
        <v>1173</v>
      </c>
      <c r="H163" s="160" t="s">
        <v>1643</v>
      </c>
      <c r="I163" s="161">
        <v>45153</v>
      </c>
      <c r="J163" s="161" t="s">
        <v>1174</v>
      </c>
      <c r="K163" s="160" t="s">
        <v>403</v>
      </c>
      <c r="L163" s="255"/>
      <c r="M163" s="161" t="s">
        <v>331</v>
      </c>
      <c r="N163" s="160" t="s">
        <v>356</v>
      </c>
      <c r="O163" s="160" t="s">
        <v>2049</v>
      </c>
      <c r="P163" s="160" t="s">
        <v>1391</v>
      </c>
      <c r="Q163" s="160" t="s">
        <v>111</v>
      </c>
      <c r="R163" s="255"/>
      <c r="S163" s="160" t="s">
        <v>374</v>
      </c>
      <c r="T163" s="160"/>
      <c r="U163" s="160" t="s">
        <v>1177</v>
      </c>
      <c r="V163" s="160" t="s">
        <v>345</v>
      </c>
      <c r="W163" s="160" t="s">
        <v>1175</v>
      </c>
      <c r="X163" s="160" t="s">
        <v>111</v>
      </c>
      <c r="Y163" s="160" t="str">
        <f ca="1">IF(I163&lt;&gt;"",IF(I163&lt;=TODAY(),IF(OR(N163="REPROGRAMADA",N163="SUSPENDIDA",N163="EXCLUSION",N163="COLEGIADO"),"NO HECHA",IF(N163=" ","SINRESULTADO","SI")),"NO"),IF(N163="EXCLUSION","NO HECHA","LIMBO"))</f>
        <v>SI</v>
      </c>
      <c r="Z163" s="160" t="str">
        <f>IF($Z$1=I163,"DIASOL", "DIANOSOL")</f>
        <v>DIANOSOL</v>
      </c>
      <c r="AA163" s="160" t="s">
        <v>240</v>
      </c>
      <c r="AB163" s="160" t="s">
        <v>1176</v>
      </c>
      <c r="AC163" s="160" t="str">
        <f>IF(H163=$M$1,"SI","NO")</f>
        <v>NO</v>
      </c>
      <c r="AD163" s="160"/>
      <c r="AE163" s="160"/>
      <c r="AF163" s="266">
        <v>45156</v>
      </c>
      <c r="AG163" s="170" t="str">
        <f>IF(COUNTIF(C163,"*preso*")&gt;0,"SI","NO")</f>
        <v>SI</v>
      </c>
      <c r="AH163" s="253">
        <f>NroOrden(N163)</f>
        <v>50</v>
      </c>
      <c r="AI163" s="160"/>
      <c r="AJ163" s="48" t="str">
        <f ca="1">IF(OR(Y163="NO",Y163="LIMBO"),"IMP","NOIMP")</f>
        <v>NOIMP</v>
      </c>
    </row>
    <row r="164" spans="1:36" ht="122.25" hidden="1" customHeight="1">
      <c r="A164" s="160">
        <v>154</v>
      </c>
      <c r="B164" s="161" t="s">
        <v>1158</v>
      </c>
      <c r="C164" s="211"/>
      <c r="D164" s="160" t="s">
        <v>1159</v>
      </c>
      <c r="E164" s="160" t="s">
        <v>468</v>
      </c>
      <c r="F164" s="266">
        <v>45114</v>
      </c>
      <c r="G164" s="160" t="s">
        <v>1065</v>
      </c>
      <c r="H164" s="160" t="s">
        <v>1649</v>
      </c>
      <c r="I164" s="161">
        <v>45153</v>
      </c>
      <c r="J164" s="161" t="s">
        <v>961</v>
      </c>
      <c r="K164" s="160" t="s">
        <v>362</v>
      </c>
      <c r="L164" s="255"/>
      <c r="M164" s="161" t="s">
        <v>328</v>
      </c>
      <c r="N164" s="160" t="s">
        <v>1392</v>
      </c>
      <c r="O164" s="160" t="s">
        <v>2050</v>
      </c>
      <c r="P164" s="160" t="s">
        <v>1393</v>
      </c>
      <c r="Q164" s="160" t="s">
        <v>111</v>
      </c>
      <c r="R164" s="255"/>
      <c r="S164" s="160"/>
      <c r="T164" s="160"/>
      <c r="U164" s="160"/>
      <c r="V164" s="160" t="s">
        <v>114</v>
      </c>
      <c r="W164" s="160" t="s">
        <v>1160</v>
      </c>
      <c r="X164" s="160" t="s">
        <v>111</v>
      </c>
      <c r="Y164" s="160" t="str">
        <f ca="1">IF(I164&lt;&gt;"",IF(I164&lt;=TODAY(),IF(OR(N164="REPROGRAMADA",N164="SUSPENDIDA",N164="EXCLUSION",N164="COLEGIADO"),"NO HECHA",IF(N164=" ","SINRESULTADO","SI")),"NO"),IF(N164="EXCLUSION","NO HECHA","LIMBO"))</f>
        <v>SI</v>
      </c>
      <c r="Z164" s="254" t="str">
        <f>IF($Z$1=I164,"DIASOL", "DIANOSOL")</f>
        <v>DIANOSOL</v>
      </c>
      <c r="AA164" s="160" t="s">
        <v>240</v>
      </c>
      <c r="AB164" s="160" t="s">
        <v>1161</v>
      </c>
      <c r="AC164" s="256" t="str">
        <f>IF(H164=$M$1,"SI","NO")</f>
        <v>NO</v>
      </c>
      <c r="AD164" s="256"/>
      <c r="AE164" s="160"/>
      <c r="AF164" s="160"/>
      <c r="AG164" s="170" t="str">
        <f>IF(COUNTIF(C164,"*preso*")&gt;0,"SI","NO")</f>
        <v>NO</v>
      </c>
      <c r="AH164" s="253">
        <f>NroOrden(N164)</f>
        <v>50</v>
      </c>
      <c r="AI164" s="160"/>
      <c r="AJ164" s="48" t="str">
        <f ca="1">IF(OR(Y164="NO",Y164="LIMBO"),"IMP","NOIMP")</f>
        <v>NOIMP</v>
      </c>
    </row>
    <row r="165" spans="1:36" ht="102" hidden="1" customHeight="1">
      <c r="A165" s="160">
        <v>164</v>
      </c>
      <c r="B165" s="161" t="s">
        <v>1192</v>
      </c>
      <c r="C165" s="211" t="s">
        <v>501</v>
      </c>
      <c r="D165" s="160" t="s">
        <v>1193</v>
      </c>
      <c r="E165" s="160" t="s">
        <v>1194</v>
      </c>
      <c r="F165" s="162">
        <v>45139</v>
      </c>
      <c r="G165" s="160" t="s">
        <v>1195</v>
      </c>
      <c r="H165" s="160" t="s">
        <v>1646</v>
      </c>
      <c r="I165" s="161">
        <v>45153</v>
      </c>
      <c r="J165" s="161" t="s">
        <v>1325</v>
      </c>
      <c r="K165" s="160" t="s">
        <v>365</v>
      </c>
      <c r="L165" s="255"/>
      <c r="M165" s="161" t="s">
        <v>332</v>
      </c>
      <c r="N165" s="160" t="s">
        <v>355</v>
      </c>
      <c r="O165" s="160" t="s">
        <v>2049</v>
      </c>
      <c r="P165" s="160" t="s">
        <v>1428</v>
      </c>
      <c r="Q165" s="160" t="s">
        <v>111</v>
      </c>
      <c r="R165" s="255"/>
      <c r="S165" s="160" t="s">
        <v>374</v>
      </c>
      <c r="T165" s="160" t="s">
        <v>1198</v>
      </c>
      <c r="U165" s="160" t="s">
        <v>1199</v>
      </c>
      <c r="V165" s="160" t="s">
        <v>342</v>
      </c>
      <c r="W165" s="160" t="s">
        <v>1196</v>
      </c>
      <c r="X165" s="160" t="s">
        <v>111</v>
      </c>
      <c r="Y165" s="160" t="str">
        <f ca="1">IF(I165&lt;&gt;"",IF(I165&lt;=TODAY(),IF(OR(N165="REPROGRAMADA",N165="SUSPENDIDA",N165="EXCLUSION",N165="COLEGIADO"),"NO HECHA",IF(N165=" ","SINRESULTADO","SI")),"NO"),IF(N165="EXCLUSION","NO HECHA","LIMBO"))</f>
        <v>SI</v>
      </c>
      <c r="Z165" s="160" t="str">
        <f>IF($Z$1=I165,"DIASOL", "DIANOSOL")</f>
        <v>DIANOSOL</v>
      </c>
      <c r="AA165" s="160" t="s">
        <v>240</v>
      </c>
      <c r="AB165" s="160" t="s">
        <v>1197</v>
      </c>
      <c r="AC165" s="160" t="str">
        <f>IF(H165=$M$1,"SI","NO")</f>
        <v>NO</v>
      </c>
      <c r="AD165" s="160"/>
      <c r="AE165" s="160"/>
      <c r="AF165" s="266" t="s">
        <v>1537</v>
      </c>
      <c r="AG165" s="160" t="str">
        <f>IF(COUNTIF(C165,"*preso*")&gt;0,"SI","NO")</f>
        <v>SI</v>
      </c>
      <c r="AH165" s="253">
        <f>NroOrden(N165)</f>
        <v>50</v>
      </c>
      <c r="AI165" s="160"/>
      <c r="AJ165" s="48" t="str">
        <f ca="1">IF(OR(Y165="NO",Y165="LIMBO"),"IMP","NOIMP")</f>
        <v>NOIMP</v>
      </c>
    </row>
    <row r="166" spans="1:36" ht="39.950000000000003" hidden="1" customHeight="1">
      <c r="A166" s="160">
        <v>201</v>
      </c>
      <c r="B166" s="161" t="s">
        <v>1021</v>
      </c>
      <c r="C166" s="211"/>
      <c r="D166" s="160" t="s">
        <v>1022</v>
      </c>
      <c r="E166" s="160" t="s">
        <v>1023</v>
      </c>
      <c r="F166" s="266">
        <v>45105</v>
      </c>
      <c r="G166" s="160" t="s">
        <v>925</v>
      </c>
      <c r="H166" s="160" t="s">
        <v>1643</v>
      </c>
      <c r="I166" s="161">
        <v>45154</v>
      </c>
      <c r="J166" s="161" t="s">
        <v>1182</v>
      </c>
      <c r="K166" s="160" t="s">
        <v>362</v>
      </c>
      <c r="L166" s="255"/>
      <c r="M166" s="161" t="s">
        <v>328</v>
      </c>
      <c r="N166" s="160" t="s">
        <v>355</v>
      </c>
      <c r="O166" s="160" t="s">
        <v>2049</v>
      </c>
      <c r="P166" s="160" t="s">
        <v>1430</v>
      </c>
      <c r="Q166" s="160" t="s">
        <v>111</v>
      </c>
      <c r="R166" s="255"/>
      <c r="S166" s="160"/>
      <c r="T166" s="160"/>
      <c r="U166" s="160"/>
      <c r="V166" s="160" t="s">
        <v>185</v>
      </c>
      <c r="W166" s="160" t="s">
        <v>116</v>
      </c>
      <c r="X166" s="160" t="s">
        <v>111</v>
      </c>
      <c r="Y166" s="160" t="str">
        <f ca="1">IF(I166&lt;&gt;"",IF(I166&lt;=TODAY(),IF(OR(N166="REPROGRAMADA",N166="SUSPENDIDA",N166="EXCLUSION",N166="COLEGIADO"),"NO HECHA",IF(N166=" ","SINRESULTADO","SI")),"NO"),IF(N166="EXCLUSION","NO HECHA","LIMBO"))</f>
        <v>SI</v>
      </c>
      <c r="Z166" s="160" t="str">
        <f>IF($Z$1=I166,"DIASOL", "DIANOSOL")</f>
        <v>DIANOSOL</v>
      </c>
      <c r="AA166" s="160" t="s">
        <v>240</v>
      </c>
      <c r="AB166" s="160" t="s">
        <v>1024</v>
      </c>
      <c r="AC166" s="160" t="str">
        <f>IF(H166=$M$1,"SI","NO")</f>
        <v>NO</v>
      </c>
      <c r="AD166" s="160"/>
      <c r="AE166" s="266">
        <v>45099</v>
      </c>
      <c r="AF166" s="266">
        <v>45169</v>
      </c>
      <c r="AG166" s="160" t="str">
        <f>IF(COUNTIF(C166,"*preso*")&gt;0,"SI","NO")</f>
        <v>NO</v>
      </c>
      <c r="AH166" s="253">
        <f>NroOrden(N166)</f>
        <v>50</v>
      </c>
      <c r="AI166" s="160"/>
      <c r="AJ166" s="48" t="str">
        <f ca="1">IF(OR(Y166="NO",Y166="LIMBO"),"IMP","NOIMP")</f>
        <v>NOIMP</v>
      </c>
    </row>
    <row r="167" spans="1:36" ht="39.950000000000003" hidden="1" customHeight="1">
      <c r="A167" s="160">
        <v>137</v>
      </c>
      <c r="B167" s="161" t="s">
        <v>1070</v>
      </c>
      <c r="C167" s="211" t="s">
        <v>501</v>
      </c>
      <c r="D167" s="160" t="s">
        <v>1071</v>
      </c>
      <c r="E167" s="160" t="s">
        <v>1072</v>
      </c>
      <c r="F167" s="266">
        <v>45114</v>
      </c>
      <c r="G167" s="160" t="s">
        <v>1065</v>
      </c>
      <c r="H167" s="160" t="s">
        <v>1643</v>
      </c>
      <c r="I167" s="161">
        <v>45155</v>
      </c>
      <c r="J167" s="161" t="s">
        <v>282</v>
      </c>
      <c r="K167" s="160" t="s">
        <v>363</v>
      </c>
      <c r="L167" s="255"/>
      <c r="M167" s="161" t="s">
        <v>330</v>
      </c>
      <c r="N167" s="160" t="s">
        <v>357</v>
      </c>
      <c r="O167" s="160" t="s">
        <v>2049</v>
      </c>
      <c r="P167" s="160"/>
      <c r="Q167" s="160" t="s">
        <v>329</v>
      </c>
      <c r="R167" s="255"/>
      <c r="S167" s="160" t="s">
        <v>374</v>
      </c>
      <c r="T167" s="160" t="s">
        <v>1074</v>
      </c>
      <c r="U167" s="160" t="s">
        <v>1075</v>
      </c>
      <c r="V167" s="160" t="s">
        <v>184</v>
      </c>
      <c r="W167" s="160" t="s">
        <v>535</v>
      </c>
      <c r="X167" s="160" t="s">
        <v>111</v>
      </c>
      <c r="Y167" s="160" t="str">
        <f ca="1">IF(I167&lt;&gt;"",IF(I167&lt;=TODAY(),IF(OR(N167="REPROGRAMADA",N167="SUSPENDIDA",N167="EXCLUSION",N167="COLEGIADO"),"NO HECHA",IF(N167=" ","SINRESULTADO","SI")),"NO"),IF(N167="EXCLUSION","NO HECHA","LIMBO"))</f>
        <v>SI</v>
      </c>
      <c r="Z167" s="254" t="str">
        <f>IF($Z$1=I167,"DIASOL", "DIANOSOL")</f>
        <v>DIANOSOL</v>
      </c>
      <c r="AA167" s="160" t="s">
        <v>240</v>
      </c>
      <c r="AB167" s="160" t="s">
        <v>1073</v>
      </c>
      <c r="AC167" s="256" t="str">
        <f>IF(H167=$M$1,"SI","NO")</f>
        <v>NO</v>
      </c>
      <c r="AD167" s="256"/>
      <c r="AE167" s="266">
        <v>45114</v>
      </c>
      <c r="AF167" s="266">
        <v>45156</v>
      </c>
      <c r="AG167" s="170" t="str">
        <f>IF(COUNTIF(C167,"*preso*")&gt;0,"SI","NO")</f>
        <v>SI</v>
      </c>
      <c r="AH167" s="253">
        <f>NroOrden(N167)</f>
        <v>50</v>
      </c>
      <c r="AI167" s="160"/>
      <c r="AJ167" s="48" t="str">
        <f ca="1">IF(OR(Y167="NO",Y167="LIMBO"),"IMP","NOIMP")</f>
        <v>NOIMP</v>
      </c>
    </row>
    <row r="168" spans="1:36" ht="39.950000000000003" hidden="1" customHeight="1">
      <c r="A168" s="160">
        <v>138</v>
      </c>
      <c r="B168" s="161" t="s">
        <v>1076</v>
      </c>
      <c r="C168" s="211" t="s">
        <v>990</v>
      </c>
      <c r="D168" s="160" t="s">
        <v>1077</v>
      </c>
      <c r="E168" s="160" t="s">
        <v>1078</v>
      </c>
      <c r="F168" s="266">
        <v>45114</v>
      </c>
      <c r="G168" s="160" t="s">
        <v>1065</v>
      </c>
      <c r="H168" s="160" t="s">
        <v>1649</v>
      </c>
      <c r="I168" s="161">
        <v>45155</v>
      </c>
      <c r="J168" s="161" t="s">
        <v>282</v>
      </c>
      <c r="K168" s="160" t="s">
        <v>365</v>
      </c>
      <c r="L168" s="255"/>
      <c r="M168" s="161" t="s">
        <v>331</v>
      </c>
      <c r="N168" s="160" t="s">
        <v>356</v>
      </c>
      <c r="O168" s="160" t="s">
        <v>2049</v>
      </c>
      <c r="P168" s="160" t="s">
        <v>1435</v>
      </c>
      <c r="Q168" s="160" t="s">
        <v>111</v>
      </c>
      <c r="R168" s="186"/>
      <c r="S168" s="160" t="s">
        <v>614</v>
      </c>
      <c r="T168" s="160" t="s">
        <v>1081</v>
      </c>
      <c r="U168" s="160"/>
      <c r="V168" s="160" t="s">
        <v>268</v>
      </c>
      <c r="W168" s="160" t="s">
        <v>1079</v>
      </c>
      <c r="X168" s="160" t="s">
        <v>111</v>
      </c>
      <c r="Y168" s="160" t="str">
        <f ca="1">IF(I168&lt;&gt;"",IF(I168&lt;=TODAY(),IF(OR(N168="REPROGRAMADA",N168="SUSPENDIDA",N168="EXCLUSION",N168="COLEGIADO"),"NO HECHA",IF(N168=" ","SINRESULTADO","SI")),"NO"),IF(N168="EXCLUSION","NO HECHA","LIMBO"))</f>
        <v>SI</v>
      </c>
      <c r="Z168" s="254" t="str">
        <f>IF($Z$1=I168,"DIASOL", "DIANOSOL")</f>
        <v>DIANOSOL</v>
      </c>
      <c r="AA168" s="160" t="s">
        <v>240</v>
      </c>
      <c r="AB168" s="160" t="s">
        <v>1080</v>
      </c>
      <c r="AC168" s="256" t="str">
        <f>IF(H168=$M$1,"SI","NO")</f>
        <v>NO</v>
      </c>
      <c r="AD168" s="256"/>
      <c r="AE168" s="160" t="s">
        <v>1540</v>
      </c>
      <c r="AF168" s="266" t="s">
        <v>1535</v>
      </c>
      <c r="AG168" s="170" t="str">
        <f>IF(COUNTIF(C168,"*preso*")&gt;0,"SI","NO")</f>
        <v>SI</v>
      </c>
      <c r="AH168" s="253">
        <f>NroOrden(N168)</f>
        <v>50</v>
      </c>
      <c r="AI168" s="160" t="s">
        <v>1436</v>
      </c>
      <c r="AJ168" s="48" t="str">
        <f ca="1">IF(OR(Y168="NO",Y168="LIMBO"),"IMP","NOIMP")</f>
        <v>NOIMP</v>
      </c>
    </row>
    <row r="169" spans="1:36" ht="173.25" hidden="1" customHeight="1">
      <c r="A169" s="160">
        <v>145</v>
      </c>
      <c r="B169" s="187" t="s">
        <v>1108</v>
      </c>
      <c r="C169" s="214" t="s">
        <v>501</v>
      </c>
      <c r="D169" s="186" t="s">
        <v>1109</v>
      </c>
      <c r="E169" s="186" t="s">
        <v>1045</v>
      </c>
      <c r="F169" s="266">
        <v>45119</v>
      </c>
      <c r="G169" s="186" t="s">
        <v>1110</v>
      </c>
      <c r="H169" s="186" t="s">
        <v>1646</v>
      </c>
      <c r="I169" s="187">
        <v>45155</v>
      </c>
      <c r="J169" s="187" t="s">
        <v>309</v>
      </c>
      <c r="K169" s="186" t="s">
        <v>363</v>
      </c>
      <c r="L169" s="255"/>
      <c r="M169" s="187" t="s">
        <v>330</v>
      </c>
      <c r="N169" s="160" t="s">
        <v>356</v>
      </c>
      <c r="O169" s="160" t="s">
        <v>2049</v>
      </c>
      <c r="P169" s="160" t="s">
        <v>1439</v>
      </c>
      <c r="Q169" s="160" t="s">
        <v>111</v>
      </c>
      <c r="R169" s="255"/>
      <c r="S169" s="160" t="s">
        <v>374</v>
      </c>
      <c r="T169" s="160" t="s">
        <v>1112</v>
      </c>
      <c r="U169" s="160" t="s">
        <v>1113</v>
      </c>
      <c r="V169" s="186" t="s">
        <v>191</v>
      </c>
      <c r="W169" s="186" t="s">
        <v>135</v>
      </c>
      <c r="X169" s="160" t="s">
        <v>111</v>
      </c>
      <c r="Y169" s="160" t="str">
        <f ca="1">IF(I169&lt;&gt;"",IF(I169&lt;=TODAY(),IF(OR(N169="REPROGRAMADA",N169="SUSPENDIDA",N169="EXCLUSION",N169="COLEGIADO"),"NO HECHA",IF(N169=" ","SINRESULTADO","SI")),"NO"),IF(N169="EXCLUSION","NO HECHA","LIMBO"))</f>
        <v>SI</v>
      </c>
      <c r="Z169" s="254" t="str">
        <f>IF($Z$1=I169,"DIASOL", "DIANOSOL")</f>
        <v>DIANOSOL</v>
      </c>
      <c r="AA169" s="160" t="s">
        <v>240</v>
      </c>
      <c r="AB169" s="160" t="s">
        <v>1111</v>
      </c>
      <c r="AC169" s="256" t="str">
        <f>IF(H169=$M$1,"SI","NO")</f>
        <v>NO</v>
      </c>
      <c r="AD169" s="256"/>
      <c r="AE169" s="266">
        <v>45113</v>
      </c>
      <c r="AF169" s="266">
        <v>45161</v>
      </c>
      <c r="AG169" s="170" t="str">
        <f>IF(COUNTIF(C169,"*preso*")&gt;0,"SI","NO")</f>
        <v>SI</v>
      </c>
      <c r="AH169" s="253">
        <f>NroOrden(N169)</f>
        <v>50</v>
      </c>
      <c r="AI169" s="160"/>
      <c r="AJ169" s="48" t="str">
        <f ca="1">IF(OR(Y169="NO",Y169="LIMBO"),"IMP","NOIMP")</f>
        <v>NOIMP</v>
      </c>
    </row>
    <row r="170" spans="1:36" ht="39.950000000000003" hidden="1" customHeight="1">
      <c r="A170" s="160">
        <v>141</v>
      </c>
      <c r="B170" s="161" t="s">
        <v>1093</v>
      </c>
      <c r="C170" s="211" t="s">
        <v>501</v>
      </c>
      <c r="D170" s="160" t="s">
        <v>1094</v>
      </c>
      <c r="E170" s="160" t="s">
        <v>383</v>
      </c>
      <c r="F170" s="266">
        <v>45114</v>
      </c>
      <c r="G170" s="160" t="s">
        <v>1065</v>
      </c>
      <c r="H170" s="160" t="s">
        <v>1649</v>
      </c>
      <c r="I170" s="161">
        <v>45156</v>
      </c>
      <c r="J170" s="161" t="s">
        <v>282</v>
      </c>
      <c r="K170" s="160" t="s">
        <v>365</v>
      </c>
      <c r="L170" s="255"/>
      <c r="M170" s="161" t="s">
        <v>332</v>
      </c>
      <c r="N170" s="160" t="s">
        <v>1392</v>
      </c>
      <c r="O170" s="160" t="s">
        <v>2050</v>
      </c>
      <c r="P170" s="160" t="s">
        <v>1433</v>
      </c>
      <c r="Q170" s="160" t="s">
        <v>111</v>
      </c>
      <c r="R170" s="255"/>
      <c r="S170" s="160" t="s">
        <v>374</v>
      </c>
      <c r="T170" s="160" t="s">
        <v>1095</v>
      </c>
      <c r="U170" s="160" t="s">
        <v>1096</v>
      </c>
      <c r="V170" s="160" t="s">
        <v>100</v>
      </c>
      <c r="W170" s="160" t="s">
        <v>387</v>
      </c>
      <c r="X170" s="160" t="s">
        <v>111</v>
      </c>
      <c r="Y170" s="160" t="str">
        <f ca="1">IF(I170&lt;&gt;"",IF(I170&lt;=TODAY(),IF(OR(N170="REPROGRAMADA",N170="SUSPENDIDA",N170="EXCLUSION",N170="COLEGIADO"),"NO HECHA",IF(N170=" ","SINRESULTADO","SI")),"NO"),IF(N170="EXCLUSION","NO HECHA","LIMBO"))</f>
        <v>SI</v>
      </c>
      <c r="Z170" s="254" t="str">
        <f>IF($Z$1=I170,"DIASOL", "DIANOSOL")</f>
        <v>DIANOSOL</v>
      </c>
      <c r="AA170" s="160" t="s">
        <v>894</v>
      </c>
      <c r="AB170" s="160"/>
      <c r="AC170" s="256" t="str">
        <f>IF(H170=$M$1,"SI","NO")</f>
        <v>NO</v>
      </c>
      <c r="AD170" s="256"/>
      <c r="AE170" s="266">
        <v>45114</v>
      </c>
      <c r="AF170" s="160" t="s">
        <v>2178</v>
      </c>
      <c r="AG170" s="170" t="str">
        <f>IF(COUNTIF(C170,"*preso*")&gt;0,"SI","NO")</f>
        <v>SI</v>
      </c>
      <c r="AH170" s="253">
        <f>NroOrden(N170)</f>
        <v>50</v>
      </c>
      <c r="AI170" s="160"/>
      <c r="AJ170" s="48" t="str">
        <f ca="1">IF(OR(Y170="NO",Y170="LIMBO"),"IMP","NOIMP")</f>
        <v>NOIMP</v>
      </c>
    </row>
    <row r="171" spans="1:36" ht="39.950000000000003" hidden="1" customHeight="1">
      <c r="A171" s="160">
        <v>159</v>
      </c>
      <c r="B171" s="161" t="s">
        <v>1179</v>
      </c>
      <c r="C171" s="211" t="s">
        <v>501</v>
      </c>
      <c r="D171" s="160" t="s">
        <v>1180</v>
      </c>
      <c r="E171" s="160" t="s">
        <v>1181</v>
      </c>
      <c r="F171" s="266">
        <v>45132</v>
      </c>
      <c r="G171" s="160" t="s">
        <v>1065</v>
      </c>
      <c r="H171" s="160" t="s">
        <v>1643</v>
      </c>
      <c r="I171" s="161">
        <v>45156</v>
      </c>
      <c r="J171" s="161" t="s">
        <v>1182</v>
      </c>
      <c r="K171" s="160" t="s">
        <v>365</v>
      </c>
      <c r="L171" s="255"/>
      <c r="M171" s="161" t="s">
        <v>333</v>
      </c>
      <c r="N171" s="160" t="s">
        <v>357</v>
      </c>
      <c r="O171" s="160" t="s">
        <v>2049</v>
      </c>
      <c r="P171" s="160"/>
      <c r="Q171" s="160" t="s">
        <v>331</v>
      </c>
      <c r="R171" s="255"/>
      <c r="S171" s="160" t="s">
        <v>374</v>
      </c>
      <c r="T171" s="160" t="s">
        <v>1184</v>
      </c>
      <c r="U171" s="160" t="s">
        <v>1185</v>
      </c>
      <c r="V171" s="160" t="s">
        <v>344</v>
      </c>
      <c r="W171" s="160" t="s">
        <v>141</v>
      </c>
      <c r="X171" s="160" t="s">
        <v>111</v>
      </c>
      <c r="Y171" s="160" t="str">
        <f ca="1">IF(I171&lt;&gt;"",IF(I171&lt;=TODAY(),IF(OR(N171="REPROGRAMADA",N171="SUSPENDIDA",N171="EXCLUSION",N171="COLEGIADO"),"NO HECHA",IF(N171=" ","SINRESULTADO","SI")),"NO"),IF(N171="EXCLUSION","NO HECHA","LIMBO"))</f>
        <v>SI</v>
      </c>
      <c r="Z171" s="160" t="str">
        <f>IF($Z$1=I171,"DIASOL", "DIANOSOL")</f>
        <v>DIANOSOL</v>
      </c>
      <c r="AA171" s="160" t="s">
        <v>240</v>
      </c>
      <c r="AB171" s="160" t="s">
        <v>1183</v>
      </c>
      <c r="AC171" s="160" t="str">
        <f>IF(H171=$M$1,"SI","NO")</f>
        <v>NO</v>
      </c>
      <c r="AD171" s="160"/>
      <c r="AE171" s="160"/>
      <c r="AF171" s="266">
        <v>45161</v>
      </c>
      <c r="AG171" s="160" t="str">
        <f>IF(COUNTIF(C171,"*preso*")&gt;0,"SI","NO")</f>
        <v>SI</v>
      </c>
      <c r="AH171" s="253">
        <f>NroOrden(N171)</f>
        <v>50</v>
      </c>
      <c r="AI171" s="160"/>
      <c r="AJ171" s="48" t="str">
        <f ca="1">IF(OR(Y171="NO",Y171="LIMBO"),"IMP","NOIMP")</f>
        <v>NOIMP</v>
      </c>
    </row>
    <row r="172" spans="1:36" ht="39.950000000000003" hidden="1" customHeight="1">
      <c r="A172" s="160">
        <v>199</v>
      </c>
      <c r="B172" s="161" t="s">
        <v>989</v>
      </c>
      <c r="C172" s="211" t="s">
        <v>990</v>
      </c>
      <c r="D172" s="160" t="s">
        <v>991</v>
      </c>
      <c r="E172" s="160" t="s">
        <v>992</v>
      </c>
      <c r="F172" s="266">
        <v>45106</v>
      </c>
      <c r="G172" s="160" t="s">
        <v>993</v>
      </c>
      <c r="H172" s="160" t="s">
        <v>1646</v>
      </c>
      <c r="I172" s="161">
        <v>45156</v>
      </c>
      <c r="J172" s="161" t="s">
        <v>1182</v>
      </c>
      <c r="K172" s="160" t="s">
        <v>403</v>
      </c>
      <c r="L172" s="255"/>
      <c r="M172" s="161" t="s">
        <v>332</v>
      </c>
      <c r="N172" s="160" t="s">
        <v>357</v>
      </c>
      <c r="O172" s="160" t="s">
        <v>2049</v>
      </c>
      <c r="P172" s="160"/>
      <c r="Q172" s="160" t="s">
        <v>333</v>
      </c>
      <c r="R172" s="255"/>
      <c r="S172" s="160" t="s">
        <v>614</v>
      </c>
      <c r="T172" s="160" t="s">
        <v>996</v>
      </c>
      <c r="U172" s="160" t="s">
        <v>997</v>
      </c>
      <c r="V172" s="160" t="s">
        <v>182</v>
      </c>
      <c r="W172" s="160" t="s">
        <v>117</v>
      </c>
      <c r="X172" s="160" t="s">
        <v>111</v>
      </c>
      <c r="Y172" s="160" t="str">
        <f ca="1">IF(I172&lt;&gt;"",IF(I172&lt;=TODAY(),IF(OR(N172="REPROGRAMADA",N172="SUSPENDIDA",N172="EXCLUSION",N172="COLEGIADO"),"NO HECHA",IF(N172=" ","SINRESULTADO","SI")),"NO"),IF(N172="EXCLUSION","NO HECHA","LIMBO"))</f>
        <v>SI</v>
      </c>
      <c r="Z172" s="254" t="str">
        <f>IF($Z$1=I172,"DIASOL", "DIANOSOL")</f>
        <v>DIANOSOL</v>
      </c>
      <c r="AA172" s="160" t="s">
        <v>240</v>
      </c>
      <c r="AB172" s="160" t="s">
        <v>995</v>
      </c>
      <c r="AC172" s="256" t="str">
        <f>IF(H172=$M$1,"SI","NO")</f>
        <v>NO</v>
      </c>
      <c r="AD172" s="256"/>
      <c r="AE172" s="266">
        <v>45105</v>
      </c>
      <c r="AF172" s="266" t="s">
        <v>1536</v>
      </c>
      <c r="AG172" s="170" t="str">
        <f>IF(COUNTIF(C172,"*preso*")&gt;0,"SI","NO")</f>
        <v>SI</v>
      </c>
      <c r="AH172" s="253">
        <f>NroOrden(N172)</f>
        <v>50</v>
      </c>
      <c r="AI172" s="160"/>
      <c r="AJ172" s="48" t="str">
        <f ca="1">IF(OR(Y172="NO",Y172="LIMBO"),"IMP","NOIMP")</f>
        <v>NOIMP</v>
      </c>
    </row>
    <row r="173" spans="1:36" ht="39.950000000000003" hidden="1" customHeight="1">
      <c r="A173" s="160">
        <v>129</v>
      </c>
      <c r="B173" s="161" t="s">
        <v>1028</v>
      </c>
      <c r="C173" s="211"/>
      <c r="D173" s="160" t="s">
        <v>1029</v>
      </c>
      <c r="E173" s="160" t="s">
        <v>1030</v>
      </c>
      <c r="F173" s="266">
        <v>45105</v>
      </c>
      <c r="G173" s="160" t="s">
        <v>925</v>
      </c>
      <c r="H173" s="160" t="s">
        <v>1646</v>
      </c>
      <c r="I173" s="161">
        <v>45156</v>
      </c>
      <c r="J173" s="161" t="s">
        <v>961</v>
      </c>
      <c r="K173" s="160" t="s">
        <v>365</v>
      </c>
      <c r="L173" s="255"/>
      <c r="M173" s="161" t="s">
        <v>333</v>
      </c>
      <c r="N173" s="160" t="s">
        <v>359</v>
      </c>
      <c r="O173" s="160" t="s">
        <v>2049</v>
      </c>
      <c r="P173" s="160" t="s">
        <v>1444</v>
      </c>
      <c r="Q173" s="160" t="s">
        <v>111</v>
      </c>
      <c r="R173" s="255"/>
      <c r="S173" s="160"/>
      <c r="T173" s="160"/>
      <c r="U173" s="160"/>
      <c r="V173" s="160" t="s">
        <v>189</v>
      </c>
      <c r="W173" s="160" t="s">
        <v>269</v>
      </c>
      <c r="X173" s="160" t="s">
        <v>111</v>
      </c>
      <c r="Y173" s="160" t="str">
        <f ca="1">IF(I173&lt;&gt;"",IF(I173&lt;=TODAY(),IF(OR(N173="REPROGRAMADA",N173="SUSPENDIDA",N173="EXCLUSION",N173="COLEGIADO"),"NO HECHA",IF(N173=" ","SINRESULTADO","SI")),"NO"),IF(N173="EXCLUSION","NO HECHA","LIMBO"))</f>
        <v>SI</v>
      </c>
      <c r="Z173" s="160" t="str">
        <f>IF($Z$1=I173,"DIASOL", "DIANOSOL")</f>
        <v>DIANOSOL</v>
      </c>
      <c r="AA173" s="160" t="s">
        <v>240</v>
      </c>
      <c r="AB173" s="160" t="s">
        <v>1031</v>
      </c>
      <c r="AC173" s="160" t="str">
        <f>IF(H173=$M$1,"SI","NO")</f>
        <v>NO</v>
      </c>
      <c r="AD173" s="160"/>
      <c r="AE173" s="266">
        <v>45104</v>
      </c>
      <c r="AF173" s="266">
        <v>45161</v>
      </c>
      <c r="AG173" s="160" t="str">
        <f>IF(COUNTIF(C173,"*preso*")&gt;0,"SI","NO")</f>
        <v>NO</v>
      </c>
      <c r="AH173" s="253">
        <f>NroOrden(N173)</f>
        <v>50</v>
      </c>
      <c r="AI173" s="160" t="s">
        <v>1445</v>
      </c>
      <c r="AJ173" s="48" t="str">
        <f ca="1">IF(OR(Y173="NO",Y173="LIMBO"),"IMP","NOIMP")</f>
        <v>NOIMP</v>
      </c>
    </row>
    <row r="174" spans="1:36" ht="39.950000000000003" hidden="1" customHeight="1">
      <c r="A174" s="186">
        <v>197</v>
      </c>
      <c r="B174" s="187" t="s">
        <v>1062</v>
      </c>
      <c r="C174" s="214" t="s">
        <v>501</v>
      </c>
      <c r="D174" s="186" t="s">
        <v>1063</v>
      </c>
      <c r="E174" s="186" t="s">
        <v>1064</v>
      </c>
      <c r="F174" s="225">
        <v>45114</v>
      </c>
      <c r="G174" s="186" t="s">
        <v>1065</v>
      </c>
      <c r="H174" s="186" t="s">
        <v>1646</v>
      </c>
      <c r="I174" s="187">
        <v>45160</v>
      </c>
      <c r="J174" s="187" t="s">
        <v>396</v>
      </c>
      <c r="K174" s="186" t="s">
        <v>365</v>
      </c>
      <c r="L174" s="255"/>
      <c r="M174" s="187" t="s">
        <v>331</v>
      </c>
      <c r="N174" s="186" t="s">
        <v>356</v>
      </c>
      <c r="O174" s="186" t="s">
        <v>2049</v>
      </c>
      <c r="P174" s="186" t="s">
        <v>1522</v>
      </c>
      <c r="Q174" s="186" t="s">
        <v>111</v>
      </c>
      <c r="R174" s="255"/>
      <c r="S174" s="186" t="s">
        <v>374</v>
      </c>
      <c r="T174" s="186" t="s">
        <v>1068</v>
      </c>
      <c r="U174" s="186" t="s">
        <v>1069</v>
      </c>
      <c r="V174" s="186" t="s">
        <v>192</v>
      </c>
      <c r="W174" s="186" t="s">
        <v>269</v>
      </c>
      <c r="X174" s="186" t="s">
        <v>111</v>
      </c>
      <c r="Y174" s="160" t="str">
        <f ca="1">IF(I174&lt;&gt;"",IF(I174&lt;=TODAY(),IF(OR(N174="REPROGRAMADA",N174="SUSPENDIDA",N174="EXCLUSION",N174="COLEGIADO"),"NO HECHA",IF(N174=" ","SINRESULTADO","SI")),"NO"),IF(N174="EXCLUSION","NO HECHA","LIMBO"))</f>
        <v>SI</v>
      </c>
      <c r="Z174" s="186" t="str">
        <f>IF($Z$1=I174,"DIASOL", "DIANOSOL")</f>
        <v>DIANOSOL</v>
      </c>
      <c r="AA174" s="186" t="s">
        <v>240</v>
      </c>
      <c r="AB174" s="186" t="s">
        <v>1067</v>
      </c>
      <c r="AC174" s="186" t="str">
        <f>IF(H174=$M$1,"SI","NO")</f>
        <v>NO</v>
      </c>
      <c r="AD174" s="186"/>
      <c r="AE174" s="186"/>
      <c r="AF174" s="225">
        <v>45168</v>
      </c>
      <c r="AG174" s="160" t="str">
        <f>IF(COUNTIF(C174,"*preso*")&gt;0,"SI","NO")</f>
        <v>SI</v>
      </c>
      <c r="AH174" s="253">
        <f>NroOrden(N174)</f>
        <v>50</v>
      </c>
      <c r="AI174" s="186"/>
      <c r="AJ174" s="48" t="str">
        <f ca="1">IF(OR(Y174="NO",Y174="LIMBO"),"IMP","NOIMP")</f>
        <v>NOIMP</v>
      </c>
    </row>
    <row r="175" spans="1:36" ht="88.5" hidden="1" customHeight="1">
      <c r="A175" s="160">
        <v>175</v>
      </c>
      <c r="B175" s="161" t="s">
        <v>1261</v>
      </c>
      <c r="C175" s="211" t="s">
        <v>501</v>
      </c>
      <c r="D175" s="160" t="s">
        <v>1262</v>
      </c>
      <c r="E175" s="160" t="s">
        <v>1263</v>
      </c>
      <c r="F175" s="266">
        <v>45134</v>
      </c>
      <c r="G175" s="160" t="s">
        <v>1226</v>
      </c>
      <c r="H175" s="160" t="s">
        <v>1643</v>
      </c>
      <c r="I175" s="161">
        <v>45160</v>
      </c>
      <c r="J175" s="161" t="s">
        <v>309</v>
      </c>
      <c r="K175" s="160" t="s">
        <v>362</v>
      </c>
      <c r="L175" s="255"/>
      <c r="M175" s="161" t="s">
        <v>328</v>
      </c>
      <c r="N175" s="160" t="s">
        <v>355</v>
      </c>
      <c r="O175" s="160" t="s">
        <v>2049</v>
      </c>
      <c r="P175" s="160" t="s">
        <v>1446</v>
      </c>
      <c r="Q175" s="160" t="s">
        <v>111</v>
      </c>
      <c r="R175" s="255"/>
      <c r="S175" s="160" t="s">
        <v>374</v>
      </c>
      <c r="T175" s="160" t="s">
        <v>1266</v>
      </c>
      <c r="U175" s="160" t="s">
        <v>1267</v>
      </c>
      <c r="V175" s="160" t="s">
        <v>192</v>
      </c>
      <c r="W175" s="160" t="s">
        <v>1264</v>
      </c>
      <c r="X175" s="160" t="s">
        <v>111</v>
      </c>
      <c r="Y175" s="160" t="str">
        <f ca="1">IF(I175&lt;&gt;"",IF(I175&lt;=TODAY(),IF(OR(N175="REPROGRAMADA",N175="SUSPENDIDA",N175="EXCLUSION",N175="COLEGIADO"),"NO HECHA",IF(N175=" ","SINRESULTADO","SI")),"NO"),IF(N175="EXCLUSION","NO HECHA","LIMBO"))</f>
        <v>SI</v>
      </c>
      <c r="Z175" s="160" t="str">
        <f>IF($Z$1=I175,"DIASOL", "DIANOSOL")</f>
        <v>DIANOSOL</v>
      </c>
      <c r="AA175" s="160" t="s">
        <v>240</v>
      </c>
      <c r="AB175" s="160" t="s">
        <v>1265</v>
      </c>
      <c r="AC175" s="160" t="str">
        <f>IF(H175=$M$1,"SI","NO")</f>
        <v>NO</v>
      </c>
      <c r="AD175" s="160"/>
      <c r="AE175" s="160"/>
      <c r="AF175" s="266">
        <v>45162</v>
      </c>
      <c r="AG175" s="160" t="str">
        <f>IF(COUNTIF(C175,"*preso*")&gt;0,"SI","NO")</f>
        <v>SI</v>
      </c>
      <c r="AH175" s="253">
        <f>NroOrden(N175)</f>
        <v>50</v>
      </c>
      <c r="AI175" s="160" t="s">
        <v>1525</v>
      </c>
      <c r="AJ175" s="48" t="str">
        <f ca="1">IF(OR(Y175="NO",Y175="LIMBO"),"IMP","NOIMP")</f>
        <v>NOIMP</v>
      </c>
    </row>
    <row r="176" spans="1:36" ht="39.950000000000003" hidden="1" customHeight="1">
      <c r="A176" s="160">
        <v>143</v>
      </c>
      <c r="B176" s="161" t="s">
        <v>1100</v>
      </c>
      <c r="C176" s="211" t="s">
        <v>501</v>
      </c>
      <c r="D176" s="160" t="s">
        <v>1101</v>
      </c>
      <c r="E176" s="160" t="s">
        <v>1102</v>
      </c>
      <c r="F176" s="266">
        <v>45114</v>
      </c>
      <c r="G176" s="160" t="s">
        <v>1065</v>
      </c>
      <c r="H176" s="160" t="s">
        <v>1649</v>
      </c>
      <c r="I176" s="161">
        <v>45161</v>
      </c>
      <c r="J176" s="161" t="s">
        <v>282</v>
      </c>
      <c r="K176" s="160" t="s">
        <v>403</v>
      </c>
      <c r="L176" s="255"/>
      <c r="M176" s="161" t="s">
        <v>330</v>
      </c>
      <c r="N176" s="160" t="s">
        <v>357</v>
      </c>
      <c r="O176" s="160" t="s">
        <v>2049</v>
      </c>
      <c r="P176" s="160"/>
      <c r="Q176" s="160" t="s">
        <v>329</v>
      </c>
      <c r="R176" s="186"/>
      <c r="S176" s="160" t="s">
        <v>1104</v>
      </c>
      <c r="T176" s="160" t="s">
        <v>1105</v>
      </c>
      <c r="U176" s="160" t="s">
        <v>1106</v>
      </c>
      <c r="V176" s="160" t="s">
        <v>193</v>
      </c>
      <c r="W176" s="160" t="s">
        <v>1437</v>
      </c>
      <c r="X176" s="160" t="s">
        <v>111</v>
      </c>
      <c r="Y176" s="160" t="str">
        <f ca="1">IF(I176&lt;&gt;"",IF(I176&lt;=TODAY(),IF(OR(N176="REPROGRAMADA",N176="SUSPENDIDA",N176="EXCLUSION",N176="COLEGIADO"),"NO HECHA",IF(N176=" ","SINRESULTADO","SI")),"NO"),IF(N176="EXCLUSION","NO HECHA","LIMBO"))</f>
        <v>SI</v>
      </c>
      <c r="Z176" s="254" t="str">
        <f>IF($Z$1=I176,"DIASOL", "DIANOSOL")</f>
        <v>DIANOSOL</v>
      </c>
      <c r="AA176" s="160" t="s">
        <v>240</v>
      </c>
      <c r="AB176" s="160" t="s">
        <v>1103</v>
      </c>
      <c r="AC176" s="256" t="str">
        <f>IF(H176=$M$1,"SI","NO")</f>
        <v>NO</v>
      </c>
      <c r="AD176" s="256"/>
      <c r="AE176" s="266">
        <v>45114</v>
      </c>
      <c r="AF176" s="266">
        <v>45169</v>
      </c>
      <c r="AG176" s="170" t="str">
        <f>IF(COUNTIF(C176,"*preso*")&gt;0,"SI","NO")</f>
        <v>SI</v>
      </c>
      <c r="AH176" s="253">
        <f>NroOrden(N176)</f>
        <v>50</v>
      </c>
      <c r="AI176" s="160" t="s">
        <v>1541</v>
      </c>
      <c r="AJ176" s="48" t="str">
        <f ca="1">IF(OR(Y176="NO",Y176="LIMBO"),"IMP","NOIMP")</f>
        <v>NOIMP</v>
      </c>
    </row>
    <row r="177" spans="1:36" s="6" customFormat="1" ht="39.950000000000003" hidden="1" customHeight="1">
      <c r="A177" s="160">
        <v>169</v>
      </c>
      <c r="B177" s="161" t="s">
        <v>1223</v>
      </c>
      <c r="C177" s="211"/>
      <c r="D177" s="160" t="s">
        <v>1224</v>
      </c>
      <c r="E177" s="160" t="s">
        <v>1225</v>
      </c>
      <c r="F177" s="266">
        <v>45139</v>
      </c>
      <c r="G177" s="160" t="s">
        <v>1226</v>
      </c>
      <c r="H177" s="160" t="s">
        <v>1643</v>
      </c>
      <c r="I177" s="161">
        <v>45161</v>
      </c>
      <c r="J177" s="161" t="s">
        <v>282</v>
      </c>
      <c r="K177" s="160" t="s">
        <v>1324</v>
      </c>
      <c r="L177" s="255"/>
      <c r="M177" s="161" t="s">
        <v>333</v>
      </c>
      <c r="N177" s="160" t="s">
        <v>357</v>
      </c>
      <c r="O177" s="160" t="s">
        <v>2049</v>
      </c>
      <c r="P177" s="160"/>
      <c r="Q177" s="160" t="s">
        <v>331</v>
      </c>
      <c r="R177" s="186"/>
      <c r="S177" s="160"/>
      <c r="T177" s="160"/>
      <c r="U177" s="160"/>
      <c r="V177" s="160" t="s">
        <v>186</v>
      </c>
      <c r="W177" s="160" t="s">
        <v>1227</v>
      </c>
      <c r="X177" s="160" t="s">
        <v>111</v>
      </c>
      <c r="Y177" s="160" t="str">
        <f ca="1">IF(I177&lt;&gt;"",IF(I177&lt;=TODAY(),IF(OR(N177="REPROGRAMADA",N177="SUSPENDIDA",N177="EXCLUSION",N177="COLEGIADO"),"NO HECHA",IF(N177=" ","SINRESULTADO","SI")),"NO"),IF(N177="EXCLUSION","NO HECHA","LIMBO"))</f>
        <v>SI</v>
      </c>
      <c r="Z177" s="160" t="str">
        <f>IF($Z$1=I177,"DIASOL", "DIANOSOL")</f>
        <v>DIANOSOL</v>
      </c>
      <c r="AA177" s="160" t="s">
        <v>1228</v>
      </c>
      <c r="AB177" s="160" t="s">
        <v>1229</v>
      </c>
      <c r="AC177" s="160" t="str">
        <f>IF(H177=$M$1,"SI","NO")</f>
        <v>NO</v>
      </c>
      <c r="AD177" s="160"/>
      <c r="AE177" s="160"/>
      <c r="AF177" s="160"/>
      <c r="AG177" s="160" t="str">
        <f>IF(COUNTIF(C177,"*preso*")&gt;0,"SI","NO")</f>
        <v>NO</v>
      </c>
      <c r="AH177" s="253">
        <f>NroOrden(N177)</f>
        <v>50</v>
      </c>
      <c r="AI177" s="160"/>
      <c r="AJ177" s="48" t="str">
        <f ca="1">IF(OR(Y177="NO",Y177="LIMBO"),"IMP","NOIMP")</f>
        <v>NOIMP</v>
      </c>
    </row>
    <row r="178" spans="1:36" ht="39.950000000000003" hidden="1" customHeight="1">
      <c r="A178" s="182">
        <v>121</v>
      </c>
      <c r="B178" s="326" t="s">
        <v>998</v>
      </c>
      <c r="C178" s="330"/>
      <c r="D178" s="283" t="s">
        <v>999</v>
      </c>
      <c r="E178" s="283" t="s">
        <v>1000</v>
      </c>
      <c r="F178" s="184">
        <v>45110</v>
      </c>
      <c r="G178" s="283"/>
      <c r="H178" s="283"/>
      <c r="I178" s="331">
        <v>45161</v>
      </c>
      <c r="J178" s="326" t="s">
        <v>396</v>
      </c>
      <c r="K178" s="194" t="s">
        <v>365</v>
      </c>
      <c r="L178" s="194"/>
      <c r="M178" s="326" t="s">
        <v>333</v>
      </c>
      <c r="N178" s="98" t="s">
        <v>354</v>
      </c>
      <c r="O178" s="98" t="s">
        <v>2307</v>
      </c>
      <c r="P178" s="98" t="s">
        <v>1438</v>
      </c>
      <c r="Q178" s="182" t="s">
        <v>111</v>
      </c>
      <c r="R178" s="194"/>
      <c r="S178" s="98"/>
      <c r="T178" s="182"/>
      <c r="U178" s="182"/>
      <c r="V178" s="283" t="s">
        <v>193</v>
      </c>
      <c r="W178" s="283" t="s">
        <v>133</v>
      </c>
      <c r="X178" s="283" t="s">
        <v>111</v>
      </c>
      <c r="Y178" s="163" t="str">
        <f ca="1">IF(I178&lt;&gt;"",IF(I178&lt;=TODAY(),IF(OR(N178="REPROGRAMADA",N178="SUSPENDIDA",N178="EXCLUSION",N178="COLEGIADO"),"NO HECHA",IF(N178=" ","SINRESULTADO","SI")),"NO"),IF(N178="EXCLUSION","NO HECHA","LIMBO"))</f>
        <v>NO HECHA</v>
      </c>
      <c r="Z178" s="98" t="str">
        <f>IF($Z$1=I178,"DIASOL", "DIANOSOL")</f>
        <v>DIANOSOL</v>
      </c>
      <c r="AA178" s="283" t="s">
        <v>240</v>
      </c>
      <c r="AB178" s="283" t="s">
        <v>1002</v>
      </c>
      <c r="AC178" s="185" t="str">
        <f>IF(H178=$M$1,"SI","NO")</f>
        <v>NO</v>
      </c>
      <c r="AD178" s="185"/>
      <c r="AE178" s="182"/>
      <c r="AF178" s="98" t="s">
        <v>2195</v>
      </c>
      <c r="AG178" s="182" t="str">
        <f>IF(COUNTIF(C178,"*preso*")&gt;0,"SI","NO")</f>
        <v>NO</v>
      </c>
      <c r="AH178" s="253">
        <f>NroOrden(N178)</f>
        <v>50</v>
      </c>
      <c r="AI178" s="182"/>
      <c r="AJ178" s="48" t="str">
        <f ca="1">IF(OR(Y178="NO",Y178="LIMBO"),"IMP","NOIMP")</f>
        <v>NOIMP</v>
      </c>
    </row>
    <row r="179" spans="1:36" ht="39.950000000000003" hidden="1" customHeight="1">
      <c r="A179" s="160">
        <v>87</v>
      </c>
      <c r="B179" s="161" t="s">
        <v>881</v>
      </c>
      <c r="C179" s="212"/>
      <c r="D179" s="160" t="s">
        <v>882</v>
      </c>
      <c r="E179" s="160" t="s">
        <v>573</v>
      </c>
      <c r="F179" s="266">
        <v>45103</v>
      </c>
      <c r="G179" s="160" t="s">
        <v>807</v>
      </c>
      <c r="H179" s="160" t="s">
        <v>1643</v>
      </c>
      <c r="I179" s="161">
        <v>45162</v>
      </c>
      <c r="J179" s="164">
        <v>0.45833333333333331</v>
      </c>
      <c r="K179" s="160" t="s">
        <v>363</v>
      </c>
      <c r="L179" s="255"/>
      <c r="M179" s="161" t="s">
        <v>329</v>
      </c>
      <c r="N179" s="160" t="s">
        <v>355</v>
      </c>
      <c r="O179" s="160" t="s">
        <v>2049</v>
      </c>
      <c r="P179" s="160" t="s">
        <v>1526</v>
      </c>
      <c r="Q179" s="160" t="s">
        <v>111</v>
      </c>
      <c r="R179" s="186"/>
      <c r="S179" s="160"/>
      <c r="T179" s="160"/>
      <c r="U179" s="160"/>
      <c r="V179" s="160" t="s">
        <v>346</v>
      </c>
      <c r="W179" s="160" t="s">
        <v>32</v>
      </c>
      <c r="X179" s="160" t="s">
        <v>111</v>
      </c>
      <c r="Y179" s="160" t="str">
        <f ca="1">IF(I179&lt;&gt;"",IF(I179&lt;=TODAY(),IF(OR(N179="REPROGRAMADA",N179="SUSPENDIDA",N179="EXCLUSION",N179="COLEGIADO"),"NO HECHA",IF(N179=" ","SINRESULTADO","SI")),"NO"),IF(N179="EXCLUSION","NO HECHA","LIMBO"))</f>
        <v>SI</v>
      </c>
      <c r="Z179" s="160" t="str">
        <f>IF($Z$1=I179,"DIASOL", "DIANOSOL")</f>
        <v>DIANOSOL</v>
      </c>
      <c r="AA179" s="160" t="s">
        <v>240</v>
      </c>
      <c r="AB179" s="160" t="s">
        <v>883</v>
      </c>
      <c r="AC179" s="160" t="str">
        <f>IF(H179=$M$1,"SI","NO")</f>
        <v>NO</v>
      </c>
      <c r="AD179" s="160"/>
      <c r="AE179" s="266">
        <v>45091</v>
      </c>
      <c r="AF179" s="266">
        <v>45169</v>
      </c>
      <c r="AG179" s="160" t="str">
        <f>IF(COUNTIF(C179,"*preso*")&gt;0,"SI","NO")</f>
        <v>NO</v>
      </c>
      <c r="AH179" s="253">
        <f>NroOrden(N179)</f>
        <v>50</v>
      </c>
      <c r="AI179" s="160"/>
      <c r="AJ179" s="48" t="str">
        <f ca="1">IF(OR(Y179="NO",Y179="LIMBO"),"IMP","NOIMP")</f>
        <v>NOIMP</v>
      </c>
    </row>
    <row r="180" spans="1:36" ht="174" hidden="1" customHeight="1">
      <c r="A180" s="160">
        <v>147</v>
      </c>
      <c r="B180" s="161" t="s">
        <v>1125</v>
      </c>
      <c r="C180" s="211" t="s">
        <v>501</v>
      </c>
      <c r="D180" s="160" t="s">
        <v>1126</v>
      </c>
      <c r="E180" s="160" t="s">
        <v>1127</v>
      </c>
      <c r="F180" s="266">
        <v>45002</v>
      </c>
      <c r="G180" s="160" t="s">
        <v>1110</v>
      </c>
      <c r="H180" s="160" t="s">
        <v>1646</v>
      </c>
      <c r="I180" s="161">
        <v>45162</v>
      </c>
      <c r="J180" s="161" t="s">
        <v>14</v>
      </c>
      <c r="K180" s="160" t="s">
        <v>365</v>
      </c>
      <c r="L180" s="255"/>
      <c r="M180" s="161" t="s">
        <v>332</v>
      </c>
      <c r="N180" s="160" t="s">
        <v>356</v>
      </c>
      <c r="O180" s="160" t="s">
        <v>2049</v>
      </c>
      <c r="P180" s="160" t="s">
        <v>1524</v>
      </c>
      <c r="Q180" s="160" t="s">
        <v>111</v>
      </c>
      <c r="R180" s="186"/>
      <c r="S180" s="160"/>
      <c r="T180" s="160"/>
      <c r="U180" s="160"/>
      <c r="V180" s="160" t="s">
        <v>340</v>
      </c>
      <c r="W180" s="160" t="s">
        <v>119</v>
      </c>
      <c r="X180" s="160" t="s">
        <v>111</v>
      </c>
      <c r="Y180" s="160" t="str">
        <f ca="1">IF(I180&lt;&gt;"",IF(I180&lt;=TODAY(),IF(OR(N180="REPROGRAMADA",N180="SUSPENDIDA",N180="EXCLUSION",N180="COLEGIADO"),"NO HECHA",IF(N180=" ","SINRESULTADO","SI")),"NO"),IF(N180="EXCLUSION","NO HECHA","LIMBO"))</f>
        <v>SI</v>
      </c>
      <c r="Z180" s="160" t="str">
        <f>IF($Z$1=I180,"DIASOL", "DIANOSOL")</f>
        <v>DIANOSOL</v>
      </c>
      <c r="AA180" s="160" t="s">
        <v>1130</v>
      </c>
      <c r="AB180" s="160"/>
      <c r="AC180" s="160" t="str">
        <f>IF(H180=$M$1,"SI","NO")</f>
        <v>NO</v>
      </c>
      <c r="AD180" s="160"/>
      <c r="AE180" s="160"/>
      <c r="AF180" s="160" t="s">
        <v>1535</v>
      </c>
      <c r="AG180" s="160" t="str">
        <f>IF(COUNTIF(C180,"*preso*")&gt;0,"SI","NO")</f>
        <v>SI</v>
      </c>
      <c r="AH180" s="253">
        <f>NroOrden(N180)</f>
        <v>50</v>
      </c>
      <c r="AI180" s="160"/>
      <c r="AJ180" s="48" t="str">
        <f ca="1">IF(OR(Y180="NO",Y180="LIMBO"),"IMP","NOIMP")</f>
        <v>NOIMP</v>
      </c>
    </row>
    <row r="181" spans="1:36" ht="39.950000000000003" hidden="1" customHeight="1">
      <c r="A181" s="160">
        <v>177</v>
      </c>
      <c r="B181" s="161" t="s">
        <v>1270</v>
      </c>
      <c r="C181" s="211" t="s">
        <v>501</v>
      </c>
      <c r="D181" s="160" t="s">
        <v>1271</v>
      </c>
      <c r="E181" s="160" t="s">
        <v>1272</v>
      </c>
      <c r="F181" s="266">
        <v>45142</v>
      </c>
      <c r="G181" s="160" t="s">
        <v>1273</v>
      </c>
      <c r="H181" s="160" t="s">
        <v>1649</v>
      </c>
      <c r="I181" s="161">
        <v>45162</v>
      </c>
      <c r="J181" s="161" t="s">
        <v>1275</v>
      </c>
      <c r="K181" s="160" t="s">
        <v>365</v>
      </c>
      <c r="L181" s="255"/>
      <c r="M181" s="161" t="s">
        <v>333</v>
      </c>
      <c r="N181" s="160" t="s">
        <v>357</v>
      </c>
      <c r="O181" s="160" t="s">
        <v>2049</v>
      </c>
      <c r="P181" s="160"/>
      <c r="Q181" s="160" t="s">
        <v>331</v>
      </c>
      <c r="R181" s="255"/>
      <c r="S181" s="160"/>
      <c r="T181" s="160"/>
      <c r="U181" s="160"/>
      <c r="V181" s="160" t="s">
        <v>343</v>
      </c>
      <c r="W181" s="160" t="s">
        <v>119</v>
      </c>
      <c r="X181" s="160" t="s">
        <v>111</v>
      </c>
      <c r="Y181" s="160" t="str">
        <f ca="1">IF(I181&lt;&gt;"",IF(I181&lt;=TODAY(),IF(OR(N181="REPROGRAMADA",N181="SUSPENDIDA",N181="EXCLUSION",N181="COLEGIADO"),"NO HECHA",IF(N181=" ","SINRESULTADO","SI")),"NO"),IF(N181="EXCLUSION","NO HECHA","LIMBO"))</f>
        <v>SI</v>
      </c>
      <c r="Z181" s="160" t="str">
        <f>IF($Z$1=I181,"DIASOL", "DIANOSOL")</f>
        <v>DIANOSOL</v>
      </c>
      <c r="AA181" s="160" t="s">
        <v>240</v>
      </c>
      <c r="AB181" s="160" t="s">
        <v>1276</v>
      </c>
      <c r="AC181" s="160" t="str">
        <f>IF(H181=$M$1,"SI","NO")</f>
        <v>NO</v>
      </c>
      <c r="AD181" s="160"/>
      <c r="AE181" s="160"/>
      <c r="AF181" s="266">
        <v>45168</v>
      </c>
      <c r="AG181" s="160" t="str">
        <f>IF(COUNTIF(C181,"*preso*")&gt;0,"SI","NO")</f>
        <v>SI</v>
      </c>
      <c r="AH181" s="253">
        <f>NroOrden(N181)</f>
        <v>50</v>
      </c>
      <c r="AI181" s="160" t="s">
        <v>1523</v>
      </c>
      <c r="AJ181" s="48" t="str">
        <f ca="1">IF(OR(Y181="NO",Y181="LIMBO"),"IMP","NOIMP")</f>
        <v>NOIMP</v>
      </c>
    </row>
    <row r="182" spans="1:36" ht="119.25" hidden="1" customHeight="1">
      <c r="A182" s="160">
        <v>196</v>
      </c>
      <c r="B182" s="161" t="s">
        <v>1158</v>
      </c>
      <c r="C182" s="211"/>
      <c r="D182" s="160" t="s">
        <v>1159</v>
      </c>
      <c r="E182" s="160" t="s">
        <v>468</v>
      </c>
      <c r="F182" s="266">
        <v>45114</v>
      </c>
      <c r="G182" s="160" t="s">
        <v>1065</v>
      </c>
      <c r="H182" s="160" t="s">
        <v>1649</v>
      </c>
      <c r="I182" s="161">
        <v>45163</v>
      </c>
      <c r="J182" s="161" t="s">
        <v>13</v>
      </c>
      <c r="K182" s="160" t="s">
        <v>403</v>
      </c>
      <c r="L182" s="186"/>
      <c r="M182" s="161" t="s">
        <v>328</v>
      </c>
      <c r="N182" s="160" t="s">
        <v>355</v>
      </c>
      <c r="O182" s="160" t="s">
        <v>2049</v>
      </c>
      <c r="P182" s="160" t="s">
        <v>1527</v>
      </c>
      <c r="Q182" s="160" t="s">
        <v>111</v>
      </c>
      <c r="R182" s="186"/>
      <c r="S182" s="160"/>
      <c r="T182" s="160"/>
      <c r="U182" s="160"/>
      <c r="V182" s="160" t="s">
        <v>114</v>
      </c>
      <c r="W182" s="160" t="s">
        <v>1160</v>
      </c>
      <c r="X182" s="160" t="s">
        <v>111</v>
      </c>
      <c r="Y182" s="160" t="str">
        <f ca="1">IF(I182&lt;&gt;"",IF(I182&lt;=TODAY(),IF(OR(N182="REPROGRAMADA",N182="SUSPENDIDA",N182="EXCLUSION",N182="COLEGIADO"),"NO HECHA",IF(N182=" ","SINRESULTADO","SI")),"NO"),IF(N182="EXCLUSION","NO HECHA","LIMBO"))</f>
        <v>SI</v>
      </c>
      <c r="Z182" s="160" t="str">
        <f>IF($Z$1=I182,"DIASOL", "DIANOSOL")</f>
        <v>DIANOSOL</v>
      </c>
      <c r="AA182" s="160" t="s">
        <v>240</v>
      </c>
      <c r="AB182" s="160" t="s">
        <v>1161</v>
      </c>
      <c r="AC182" s="160" t="str">
        <f>IF(H182=$M$1,"SI","NO")</f>
        <v>NO</v>
      </c>
      <c r="AD182" s="160"/>
      <c r="AE182" s="160"/>
      <c r="AF182" s="160"/>
      <c r="AG182" s="160" t="str">
        <f>IF(COUNTIF(C182,"*preso*")&gt;0,"SI","NO")</f>
        <v>NO</v>
      </c>
      <c r="AH182" s="253">
        <f>NroOrden(N182)</f>
        <v>50</v>
      </c>
      <c r="AI182" s="160" t="s">
        <v>1568</v>
      </c>
      <c r="AJ182" s="48" t="str">
        <f ca="1">IF(OR(Y182="NO",Y182="LIMBO"),"IMP","NOIMP")</f>
        <v>NOIMP</v>
      </c>
    </row>
    <row r="183" spans="1:36" ht="156.75" hidden="1" customHeight="1">
      <c r="A183" s="160">
        <v>174</v>
      </c>
      <c r="B183" s="161" t="s">
        <v>1254</v>
      </c>
      <c r="C183" s="211" t="s">
        <v>501</v>
      </c>
      <c r="D183" s="160" t="s">
        <v>1255</v>
      </c>
      <c r="E183" s="160" t="s">
        <v>1256</v>
      </c>
      <c r="F183" s="160"/>
      <c r="G183" s="160" t="s">
        <v>1203</v>
      </c>
      <c r="H183" s="160" t="s">
        <v>1646</v>
      </c>
      <c r="I183" s="161">
        <v>45163</v>
      </c>
      <c r="J183" s="161" t="s">
        <v>396</v>
      </c>
      <c r="K183" s="160" t="s">
        <v>363</v>
      </c>
      <c r="L183" s="255"/>
      <c r="M183" s="161" t="s">
        <v>328</v>
      </c>
      <c r="N183" s="160" t="s">
        <v>357</v>
      </c>
      <c r="O183" s="160" t="s">
        <v>2049</v>
      </c>
      <c r="P183" s="160"/>
      <c r="Q183" s="160" t="s">
        <v>330</v>
      </c>
      <c r="R183" s="255"/>
      <c r="S183" s="160" t="s">
        <v>374</v>
      </c>
      <c r="T183" s="160" t="s">
        <v>1259</v>
      </c>
      <c r="U183" s="160" t="s">
        <v>1260</v>
      </c>
      <c r="V183" s="160" t="s">
        <v>1128</v>
      </c>
      <c r="W183" s="160" t="s">
        <v>1257</v>
      </c>
      <c r="X183" s="160" t="s">
        <v>605</v>
      </c>
      <c r="Y183" s="160" t="str">
        <f ca="1">IF(I183&lt;&gt;"",IF(I183&lt;=TODAY(),IF(OR(N183="REPROGRAMADA",N183="SUSPENDIDA",N183="EXCLUSION",N183="COLEGIADO"),"NO HECHA",IF(N183=" ","SINRESULTADO","SI")),"NO"),IF(N183="EXCLUSION","NO HECHA","LIMBO"))</f>
        <v>SI</v>
      </c>
      <c r="Z183" s="160" t="str">
        <f>IF($Z$1=I183,"DIASOL", "DIANOSOL")</f>
        <v>DIANOSOL</v>
      </c>
      <c r="AA183" s="160" t="s">
        <v>1448</v>
      </c>
      <c r="AB183" s="160" t="s">
        <v>1258</v>
      </c>
      <c r="AC183" s="160" t="str">
        <f>IF(H183=$M$1,"SI","NO")</f>
        <v>NO</v>
      </c>
      <c r="AD183" s="160"/>
      <c r="AE183" s="160"/>
      <c r="AF183" s="160"/>
      <c r="AG183" s="160" t="str">
        <f>IF(COUNTIF(C183,"*preso*")&gt;0,"SI","NO")</f>
        <v>SI</v>
      </c>
      <c r="AH183" s="253">
        <f>NroOrden(N183)</f>
        <v>50</v>
      </c>
      <c r="AI183" s="160" t="s">
        <v>1530</v>
      </c>
      <c r="AJ183" s="48" t="str">
        <f ca="1">IF(OR(Y183="NO",Y183="LIMBO"),"IMP","NOIMP")</f>
        <v>NOIMP</v>
      </c>
    </row>
    <row r="184" spans="1:36" ht="92.25" hidden="1" customHeight="1">
      <c r="A184" s="160">
        <v>181</v>
      </c>
      <c r="B184" s="187" t="s">
        <v>1302</v>
      </c>
      <c r="C184" s="214" t="s">
        <v>501</v>
      </c>
      <c r="D184" s="186" t="s">
        <v>1303</v>
      </c>
      <c r="E184" s="186" t="s">
        <v>1304</v>
      </c>
      <c r="F184" s="266">
        <v>45142</v>
      </c>
      <c r="G184" s="186" t="s">
        <v>1305</v>
      </c>
      <c r="H184" s="186" t="s">
        <v>1643</v>
      </c>
      <c r="I184" s="187">
        <v>45167</v>
      </c>
      <c r="J184" s="187" t="s">
        <v>282</v>
      </c>
      <c r="K184" s="186" t="s">
        <v>365</v>
      </c>
      <c r="L184" s="255"/>
      <c r="M184" s="187" t="s">
        <v>333</v>
      </c>
      <c r="N184" s="160" t="s">
        <v>356</v>
      </c>
      <c r="O184" s="160" t="s">
        <v>2049</v>
      </c>
      <c r="P184" s="160" t="s">
        <v>1529</v>
      </c>
      <c r="Q184" s="160" t="s">
        <v>111</v>
      </c>
      <c r="R184" s="186"/>
      <c r="S184" s="160"/>
      <c r="T184" s="160" t="s">
        <v>1308</v>
      </c>
      <c r="U184" s="160" t="s">
        <v>1309</v>
      </c>
      <c r="V184" s="186" t="s">
        <v>100</v>
      </c>
      <c r="W184" s="186" t="s">
        <v>1306</v>
      </c>
      <c r="X184" s="186" t="s">
        <v>111</v>
      </c>
      <c r="Y184" s="160" t="str">
        <f ca="1">IF(I184&lt;&gt;"",IF(I184&lt;=TODAY(),IF(OR(N184="REPROGRAMADA",N184="SUSPENDIDA",N184="EXCLUSION",N184="COLEGIADO"),"NO HECHA",IF(N184=" ","SINRESULTADO","SI")),"NO"),IF(N184="EXCLUSION","NO HECHA","LIMBO"))</f>
        <v>SI</v>
      </c>
      <c r="Z184" s="254" t="str">
        <f>IF($Z$1=I184,"DIASOL", "DIANOSOL")</f>
        <v>DIANOSOL</v>
      </c>
      <c r="AA184" s="186" t="s">
        <v>240</v>
      </c>
      <c r="AB184" s="186" t="s">
        <v>1307</v>
      </c>
      <c r="AC184" s="256" t="str">
        <f>IF(H184=$M$1,"SI","NO")</f>
        <v>NO</v>
      </c>
      <c r="AD184" s="256"/>
      <c r="AE184" s="266">
        <v>45138</v>
      </c>
      <c r="AF184" s="266">
        <v>45175</v>
      </c>
      <c r="AG184" s="170" t="str">
        <f>IF(COUNTIF(C184,"*preso*")&gt;0,"SI","NO")</f>
        <v>SI</v>
      </c>
      <c r="AH184" s="253">
        <f>NroOrden(N184)</f>
        <v>50</v>
      </c>
      <c r="AI184" s="160"/>
      <c r="AJ184" s="48" t="str">
        <f ca="1">IF(OR(Y184="NO",Y184="LIMBO"),"IMP","NOIMP")</f>
        <v>NOIMP</v>
      </c>
    </row>
    <row r="185" spans="1:36" ht="80.25" hidden="1" customHeight="1">
      <c r="A185" s="160">
        <v>193</v>
      </c>
      <c r="B185" s="161" t="s">
        <v>393</v>
      </c>
      <c r="C185" s="211"/>
      <c r="D185" s="160" t="s">
        <v>394</v>
      </c>
      <c r="E185" s="160" t="s">
        <v>395</v>
      </c>
      <c r="F185" s="266">
        <v>45076</v>
      </c>
      <c r="G185" s="160" t="s">
        <v>1274</v>
      </c>
      <c r="H185" s="160" t="s">
        <v>1646</v>
      </c>
      <c r="I185" s="161">
        <v>45169</v>
      </c>
      <c r="J185" s="161" t="s">
        <v>1424</v>
      </c>
      <c r="K185" s="160" t="s">
        <v>365</v>
      </c>
      <c r="L185" s="255"/>
      <c r="M185" s="161" t="s">
        <v>332</v>
      </c>
      <c r="N185" s="160" t="s">
        <v>359</v>
      </c>
      <c r="O185" s="160" t="s">
        <v>2049</v>
      </c>
      <c r="P185" s="160"/>
      <c r="Q185" s="160" t="s">
        <v>111</v>
      </c>
      <c r="R185" s="186"/>
      <c r="S185" s="160"/>
      <c r="T185" s="160"/>
      <c r="U185" s="160"/>
      <c r="V185" s="160" t="s">
        <v>189</v>
      </c>
      <c r="W185" s="160" t="s">
        <v>264</v>
      </c>
      <c r="X185" s="160" t="s">
        <v>111</v>
      </c>
      <c r="Y185" s="160" t="str">
        <f ca="1">IF(I185&lt;&gt;"",IF(I185&lt;=TODAY(),IF(OR(N185="REPROGRAMADA",N185="SUSPENDIDA",N185="EXCLUSION",N185="COLEGIADO"),"NO HECHA",IF(N185=" ","SINRESULTADO","SI")),"NO"),IF(N185="EXCLUSION","NO HECHA","LIMBO"))</f>
        <v>SI</v>
      </c>
      <c r="Z185" s="254" t="str">
        <f>IF($Z$1=I185,"DIASOL", "DIANOSOL")</f>
        <v>DIANOSOL</v>
      </c>
      <c r="AA185" s="160" t="s">
        <v>240</v>
      </c>
      <c r="AB185" s="160" t="s">
        <v>397</v>
      </c>
      <c r="AC185" s="256" t="str">
        <f>IF(H185=$M$1,"SI","NO")</f>
        <v>NO</v>
      </c>
      <c r="AD185" s="256"/>
      <c r="AE185" s="160"/>
      <c r="AF185" s="266">
        <v>45175</v>
      </c>
      <c r="AG185" s="170" t="str">
        <f>IF(COUNTIF(C185,"*preso*")&gt;0,"SI","NO")</f>
        <v>NO</v>
      </c>
      <c r="AH185" s="253">
        <f>NroOrden(N185)</f>
        <v>50</v>
      </c>
      <c r="AI185" s="160" t="s">
        <v>1596</v>
      </c>
      <c r="AJ185" s="48" t="str">
        <f ca="1">IF(OR(Y185="NO",Y185="LIMBO"),"IMP","NOIMP")</f>
        <v>NOIMP</v>
      </c>
    </row>
    <row r="186" spans="1:36" ht="39.950000000000003" hidden="1" customHeight="1">
      <c r="A186" s="142">
        <v>66</v>
      </c>
      <c r="B186" s="143" t="s">
        <v>764</v>
      </c>
      <c r="C186" s="213"/>
      <c r="D186" s="142" t="s">
        <v>765</v>
      </c>
      <c r="E186" s="142" t="s">
        <v>766</v>
      </c>
      <c r="F186" s="284">
        <v>45092</v>
      </c>
      <c r="G186" s="142" t="s">
        <v>673</v>
      </c>
      <c r="H186" s="142" t="s">
        <v>1649</v>
      </c>
      <c r="I186" s="143">
        <v>45170</v>
      </c>
      <c r="J186" s="286">
        <v>0.39583333333333331</v>
      </c>
      <c r="K186" s="142" t="s">
        <v>362</v>
      </c>
      <c r="L186" s="270"/>
      <c r="M186" s="143" t="s">
        <v>330</v>
      </c>
      <c r="N186" s="142" t="s">
        <v>357</v>
      </c>
      <c r="O186" s="142" t="s">
        <v>2049</v>
      </c>
      <c r="P186" s="142"/>
      <c r="Q186" s="142" t="s">
        <v>111</v>
      </c>
      <c r="R186" s="270"/>
      <c r="S186" s="142"/>
      <c r="T186" s="142"/>
      <c r="U186" s="142"/>
      <c r="V186" s="142" t="s">
        <v>182</v>
      </c>
      <c r="W186" s="142" t="s">
        <v>767</v>
      </c>
      <c r="X186" s="142" t="s">
        <v>111</v>
      </c>
      <c r="Y186" s="142" t="str">
        <f ca="1">IF(I186&lt;&gt;"",IF(I186&lt;=TODAY(),IF(OR(N186="REPROGRAMADA",N186="SUSPENDIDA",N186="EXCLUSION",N186="COLEGIADO"),"NO HECHA",IF(N186=" ","SINRESULTADO","SI")),"NO"),IF(N186="EXCLUSION","NO HECHA","LIMBO"))</f>
        <v>SI</v>
      </c>
      <c r="Z186" s="142" t="str">
        <f>IF($Z$1=I186,"DIASOL", "DIANOSOL")</f>
        <v>DIANOSOL</v>
      </c>
      <c r="AA186" s="142" t="s">
        <v>240</v>
      </c>
      <c r="AB186" s="142" t="s">
        <v>768</v>
      </c>
      <c r="AC186" s="142" t="str">
        <f>IF(H186=$M$1,"SI","NO")</f>
        <v>NO</v>
      </c>
      <c r="AD186" s="142"/>
      <c r="AE186" s="142"/>
      <c r="AF186" s="142"/>
      <c r="AG186" s="142" t="str">
        <f>IF(COUNTIF(C186,"*preso*")&gt;0,"SI","NO")</f>
        <v>NO</v>
      </c>
      <c r="AH186" s="269">
        <f>NroOrden(N186)</f>
        <v>50</v>
      </c>
      <c r="AI186" s="142" t="s">
        <v>1742</v>
      </c>
      <c r="AJ186" s="270" t="str">
        <f ca="1">IF(OR(Y186="NO",Y186="LIMBO"),"IMP","NOIMP")</f>
        <v>NOIMP</v>
      </c>
    </row>
    <row r="187" spans="1:36" ht="78" hidden="1" customHeight="1">
      <c r="A187" s="160">
        <v>126</v>
      </c>
      <c r="B187" s="187" t="s">
        <v>1018</v>
      </c>
      <c r="C187" s="214"/>
      <c r="D187" s="186" t="s">
        <v>1019</v>
      </c>
      <c r="E187" s="186" t="s">
        <v>369</v>
      </c>
      <c r="F187" s="160"/>
      <c r="G187" s="186" t="s">
        <v>1010</v>
      </c>
      <c r="H187" s="186"/>
      <c r="I187" s="187">
        <v>45170</v>
      </c>
      <c r="J187" s="187" t="s">
        <v>1422</v>
      </c>
      <c r="K187" s="186" t="s">
        <v>364</v>
      </c>
      <c r="L187" s="186"/>
      <c r="M187" s="187" t="s">
        <v>329</v>
      </c>
      <c r="N187" s="160" t="s">
        <v>1392</v>
      </c>
      <c r="O187" s="160" t="s">
        <v>2050</v>
      </c>
      <c r="P187" s="160" t="s">
        <v>1880</v>
      </c>
      <c r="Q187" s="160" t="s">
        <v>111</v>
      </c>
      <c r="R187" s="186"/>
      <c r="S187" s="160"/>
      <c r="T187" s="160"/>
      <c r="U187" s="160"/>
      <c r="V187" s="186" t="s">
        <v>182</v>
      </c>
      <c r="W187" s="186" t="s">
        <v>136</v>
      </c>
      <c r="X187" s="186" t="s">
        <v>111</v>
      </c>
      <c r="Y187" s="160" t="str">
        <f ca="1">IF(I187&lt;&gt;"",IF(I187&lt;=TODAY(),IF(OR(N187="REPROGRAMADA",N187="SUSPENDIDA",N187="EXCLUSION",N187="COLEGIADO"),"NO HECHA",IF(N187=" ","SINRESULTADO","SI")),"NO"),IF(N187="EXCLUSION","NO HECHA","LIMBO"))</f>
        <v>SI</v>
      </c>
      <c r="Z187" s="160" t="str">
        <f>IF($Z$1=I187,"DIASOL", "DIANOSOL")</f>
        <v>DIANOSOL</v>
      </c>
      <c r="AA187" s="186" t="s">
        <v>240</v>
      </c>
      <c r="AB187" s="186" t="s">
        <v>1020</v>
      </c>
      <c r="AC187" s="160" t="str">
        <f>IF(H187=$M$1,"SI","NO")</f>
        <v>NO</v>
      </c>
      <c r="AD187" s="160"/>
      <c r="AE187" s="266">
        <v>45103</v>
      </c>
      <c r="AF187" s="266">
        <v>45205</v>
      </c>
      <c r="AG187" s="160" t="str">
        <f>IF(COUNTIF(C187,"*preso*")&gt;0,"SI","NO")</f>
        <v>NO</v>
      </c>
      <c r="AH187" s="253">
        <f>NroOrden(N187)</f>
        <v>50</v>
      </c>
      <c r="AI187" s="160"/>
      <c r="AJ187" s="48" t="str">
        <f ca="1">IF(OR(Y187="NO",Y187="LIMBO"),"IMP","NOIMP")</f>
        <v>NOIMP</v>
      </c>
    </row>
    <row r="188" spans="1:36" ht="70.5" hidden="1" customHeight="1">
      <c r="A188" s="160">
        <v>142</v>
      </c>
      <c r="B188" s="161" t="s">
        <v>581</v>
      </c>
      <c r="C188" s="211" t="s">
        <v>990</v>
      </c>
      <c r="D188" s="160" t="s">
        <v>1097</v>
      </c>
      <c r="E188" s="160" t="s">
        <v>383</v>
      </c>
      <c r="F188" s="266">
        <v>45114</v>
      </c>
      <c r="G188" s="160" t="s">
        <v>1065</v>
      </c>
      <c r="H188" s="160" t="s">
        <v>1643</v>
      </c>
      <c r="I188" s="161">
        <v>45170</v>
      </c>
      <c r="J188" s="161" t="s">
        <v>1422</v>
      </c>
      <c r="K188" s="160" t="s">
        <v>362</v>
      </c>
      <c r="L188" s="186"/>
      <c r="M188" s="161" t="s">
        <v>330</v>
      </c>
      <c r="N188" s="160" t="s">
        <v>356</v>
      </c>
      <c r="O188" s="160" t="s">
        <v>2049</v>
      </c>
      <c r="P188" s="160"/>
      <c r="Q188" s="160" t="s">
        <v>111</v>
      </c>
      <c r="R188" s="186"/>
      <c r="S188" s="160" t="s">
        <v>614</v>
      </c>
      <c r="T188" s="160"/>
      <c r="U188" s="160" t="s">
        <v>1099</v>
      </c>
      <c r="V188" s="160" t="s">
        <v>100</v>
      </c>
      <c r="W188" s="160" t="s">
        <v>1098</v>
      </c>
      <c r="X188" s="160" t="s">
        <v>111</v>
      </c>
      <c r="Y188" s="160" t="str">
        <f ca="1">IF(I188&lt;&gt;"",IF(I188&lt;=TODAY(),IF(OR(N188="REPROGRAMADA",N188="SUSPENDIDA",N188="EXCLUSION",N188="COLEGIADO"),"NO HECHA",IF(N188=" ","SINRESULTADO","SI")),"NO"),IF(N188="EXCLUSION","NO HECHA","LIMBO"))</f>
        <v>SI</v>
      </c>
      <c r="Z188" s="160" t="str">
        <f>IF($Z$1=I188,"DIASOL", "DIANOSOL")</f>
        <v>DIANOSOL</v>
      </c>
      <c r="AA188" s="160" t="s">
        <v>240</v>
      </c>
      <c r="AB188" s="160"/>
      <c r="AC188" s="160" t="str">
        <f>IF(H188=$M$1,"SI","NO")</f>
        <v>NO</v>
      </c>
      <c r="AD188" s="160"/>
      <c r="AE188" s="160"/>
      <c r="AF188" s="160"/>
      <c r="AG188" s="160" t="str">
        <f>IF(COUNTIF(C188,"*preso*")&gt;0,"SI","NO")</f>
        <v>SI</v>
      </c>
      <c r="AH188" s="264">
        <f>NroOrden(N188)</f>
        <v>50</v>
      </c>
      <c r="AI188" s="160"/>
      <c r="AJ188" s="186" t="str">
        <f ca="1">IF(OR(Y188="NO",Y188="LIMBO"),"IMP","NOIMP")</f>
        <v>NOIMP</v>
      </c>
    </row>
    <row r="189" spans="1:36" ht="153" hidden="1" customHeight="1">
      <c r="A189" s="160">
        <v>180</v>
      </c>
      <c r="B189" s="187" t="s">
        <v>1289</v>
      </c>
      <c r="C189" s="214" t="s">
        <v>501</v>
      </c>
      <c r="D189" s="186" t="s">
        <v>1290</v>
      </c>
      <c r="E189" s="186" t="s">
        <v>1298</v>
      </c>
      <c r="F189" s="266">
        <v>45141</v>
      </c>
      <c r="G189" s="186" t="s">
        <v>1279</v>
      </c>
      <c r="H189" s="186" t="s">
        <v>1643</v>
      </c>
      <c r="I189" s="187">
        <v>45173</v>
      </c>
      <c r="J189" s="187" t="s">
        <v>282</v>
      </c>
      <c r="K189" s="186" t="s">
        <v>403</v>
      </c>
      <c r="L189" s="255"/>
      <c r="M189" s="187" t="s">
        <v>328</v>
      </c>
      <c r="N189" s="160" t="s">
        <v>355</v>
      </c>
      <c r="O189" s="160" t="s">
        <v>2049</v>
      </c>
      <c r="P189" s="160" t="s">
        <v>1593</v>
      </c>
      <c r="Q189" s="160" t="s">
        <v>111</v>
      </c>
      <c r="R189" s="186"/>
      <c r="S189" s="160" t="s">
        <v>374</v>
      </c>
      <c r="T189" s="160" t="s">
        <v>1300</v>
      </c>
      <c r="U189" s="160" t="s">
        <v>1301</v>
      </c>
      <c r="V189" s="186" t="s">
        <v>341</v>
      </c>
      <c r="W189" s="186" t="s">
        <v>133</v>
      </c>
      <c r="X189" s="186" t="s">
        <v>111</v>
      </c>
      <c r="Y189" s="160" t="str">
        <f ca="1">IF(I189&lt;&gt;"",IF(I189&lt;=TODAY(),IF(OR(N189="REPROGRAMADA",N189="SUSPENDIDA",N189="EXCLUSION",N189="COLEGIADO"),"NO HECHA",IF(N189=" ","SINRESULTADO","SI")),"NO"),IF(N189="EXCLUSION","NO HECHA","LIMBO"))</f>
        <v>SI</v>
      </c>
      <c r="Z189" s="160" t="str">
        <f>IF($Z$1=I189,"DIASOL", "DIANOSOL")</f>
        <v>DIANOSOL</v>
      </c>
      <c r="AA189" s="186" t="s">
        <v>240</v>
      </c>
      <c r="AB189" s="186" t="s">
        <v>1299</v>
      </c>
      <c r="AC189" s="160" t="str">
        <f>IF(H189=$M$1,"SI","NO")</f>
        <v>NO</v>
      </c>
      <c r="AD189" s="160"/>
      <c r="AE189" s="266">
        <v>45141</v>
      </c>
      <c r="AF189" s="266">
        <v>45175</v>
      </c>
      <c r="AG189" s="160" t="str">
        <f>IF(COUNTIF(C189,"*preso*")&gt;0,"SI","NO")</f>
        <v>SI</v>
      </c>
      <c r="AH189" s="253">
        <f>NroOrden(N189)</f>
        <v>50</v>
      </c>
      <c r="AI189" s="160" t="s">
        <v>1594</v>
      </c>
      <c r="AJ189" s="48" t="str">
        <f ca="1">IF(OR(Y189="NO",Y189="LIMBO"),"IMP","NOIMP")</f>
        <v>NOIMP</v>
      </c>
    </row>
    <row r="190" spans="1:36" ht="70.5" hidden="1" customHeight="1">
      <c r="A190" s="230">
        <v>203</v>
      </c>
      <c r="B190" s="319" t="s">
        <v>998</v>
      </c>
      <c r="C190" s="320"/>
      <c r="D190" s="230" t="s">
        <v>999</v>
      </c>
      <c r="E190" s="230" t="s">
        <v>1000</v>
      </c>
      <c r="F190" s="231">
        <v>45110</v>
      </c>
      <c r="G190" s="230" t="s">
        <v>1001</v>
      </c>
      <c r="H190" s="230" t="s">
        <v>1646</v>
      </c>
      <c r="I190" s="319">
        <v>45174</v>
      </c>
      <c r="J190" s="319" t="s">
        <v>282</v>
      </c>
      <c r="K190" s="230" t="s">
        <v>364</v>
      </c>
      <c r="L190" s="232"/>
      <c r="M190" s="319" t="s">
        <v>333</v>
      </c>
      <c r="N190" s="230" t="s">
        <v>359</v>
      </c>
      <c r="O190" s="230" t="s">
        <v>2049</v>
      </c>
      <c r="P190" s="230"/>
      <c r="Q190" s="230" t="s">
        <v>111</v>
      </c>
      <c r="R190" s="232"/>
      <c r="S190" s="230"/>
      <c r="T190" s="230"/>
      <c r="U190" s="230"/>
      <c r="V190" s="230" t="s">
        <v>193</v>
      </c>
      <c r="W190" s="230" t="s">
        <v>133</v>
      </c>
      <c r="X190" s="230" t="s">
        <v>111</v>
      </c>
      <c r="Y190" s="230" t="str">
        <f ca="1">IF(I190&lt;&gt;"",IF(I190&lt;=TODAY(),IF(OR(N190="REPROGRAMADA",N190="SUSPENDIDA",N190="EXCLUSION",N190="COLEGIADO"),"NO HECHA",IF(N190=" ","SINRESULTADO","SI")),"NO"),IF(N190="EXCLUSION","NO HECHA","LIMBO"))</f>
        <v>SI</v>
      </c>
      <c r="Z190" s="230" t="str">
        <f>IF($Z$1=I190,"DIASOL", "DIANOSOL")</f>
        <v>DIANOSOL</v>
      </c>
      <c r="AA190" s="230" t="s">
        <v>240</v>
      </c>
      <c r="AB190" s="230" t="s">
        <v>1002</v>
      </c>
      <c r="AC190" s="230" t="str">
        <f>IF(H190=$M$1,"SI","NO")</f>
        <v>NO</v>
      </c>
      <c r="AD190" s="230"/>
      <c r="AE190" s="230"/>
      <c r="AF190" s="230"/>
      <c r="AG190" s="230" t="str">
        <f>IF(COUNTIF(C190,"*preso*")&gt;0,"SI","NO")</f>
        <v>NO</v>
      </c>
      <c r="AH190" s="253">
        <f>NroOrden(N190)</f>
        <v>50</v>
      </c>
      <c r="AI190" s="230" t="s">
        <v>1659</v>
      </c>
      <c r="AJ190" s="48" t="str">
        <f ca="1">IF(OR(Y190="NO",Y190="LIMBO"),"IMP","NOIMP")</f>
        <v>NOIMP</v>
      </c>
    </row>
    <row r="191" spans="1:36" ht="117" hidden="1" customHeight="1">
      <c r="A191" s="160">
        <v>151</v>
      </c>
      <c r="B191" s="187" t="s">
        <v>1145</v>
      </c>
      <c r="C191" s="214"/>
      <c r="D191" s="186" t="s">
        <v>1146</v>
      </c>
      <c r="E191" s="186" t="s">
        <v>1147</v>
      </c>
      <c r="F191" s="266">
        <v>45112</v>
      </c>
      <c r="G191" s="186" t="s">
        <v>1005</v>
      </c>
      <c r="H191" s="186" t="s">
        <v>1649</v>
      </c>
      <c r="I191" s="187">
        <v>45174</v>
      </c>
      <c r="J191" s="187" t="s">
        <v>961</v>
      </c>
      <c r="K191" s="186" t="s">
        <v>403</v>
      </c>
      <c r="L191" s="255"/>
      <c r="M191" s="187" t="s">
        <v>333</v>
      </c>
      <c r="N191" s="160" t="s">
        <v>355</v>
      </c>
      <c r="O191" s="160" t="s">
        <v>2049</v>
      </c>
      <c r="P191" s="288" t="s">
        <v>557</v>
      </c>
      <c r="Q191" s="160" t="s">
        <v>111</v>
      </c>
      <c r="R191" s="186"/>
      <c r="S191" s="160"/>
      <c r="T191" s="160"/>
      <c r="U191" s="160"/>
      <c r="V191" s="186" t="s">
        <v>346</v>
      </c>
      <c r="W191" s="186" t="s">
        <v>116</v>
      </c>
      <c r="X191" s="160" t="s">
        <v>605</v>
      </c>
      <c r="Y191" s="160" t="str">
        <f ca="1">IF(I191&lt;&gt;"",IF(I191&lt;=TODAY(),IF(OR(N191="REPROGRAMADA",N191="SUSPENDIDA",N191="EXCLUSION",N191="COLEGIADO"),"NO HECHA",IF(N191=" ","SINRESULTADO","SI")),"NO"),IF(N191="EXCLUSION","NO HECHA","LIMBO"))</f>
        <v>SI</v>
      </c>
      <c r="Z191" s="160" t="str">
        <f>IF($Z$1=I191,"DIASOL", "DIANOSOL")</f>
        <v>DIANOSOL</v>
      </c>
      <c r="AA191" s="160" t="s">
        <v>240</v>
      </c>
      <c r="AB191" s="160" t="s">
        <v>1148</v>
      </c>
      <c r="AC191" s="160" t="str">
        <f>IF(H191=$M$1,"SI","NO")</f>
        <v>NO</v>
      </c>
      <c r="AD191" s="160"/>
      <c r="AE191" s="266">
        <v>45107</v>
      </c>
      <c r="AF191" s="266">
        <v>45187</v>
      </c>
      <c r="AG191" s="160" t="str">
        <f>IF(COUNTIF(C191,"*preso*")&gt;0,"SI","NO")</f>
        <v>NO</v>
      </c>
      <c r="AH191" s="253">
        <f>NroOrden(N191)</f>
        <v>50</v>
      </c>
      <c r="AI191" s="160"/>
      <c r="AJ191" s="48" t="str">
        <f ca="1">IF(OR(Y191="NO",Y191="LIMBO"),"IMP","NOIMP")</f>
        <v>NOIMP</v>
      </c>
    </row>
    <row r="192" spans="1:36" ht="157.5" hidden="1" customHeight="1">
      <c r="A192" s="142">
        <v>167</v>
      </c>
      <c r="B192" s="143" t="s">
        <v>1211</v>
      </c>
      <c r="C192" s="250" t="s">
        <v>501</v>
      </c>
      <c r="D192" s="142" t="s">
        <v>1212</v>
      </c>
      <c r="E192" s="142" t="s">
        <v>886</v>
      </c>
      <c r="F192" s="284">
        <v>45139</v>
      </c>
      <c r="G192" s="142" t="s">
        <v>1213</v>
      </c>
      <c r="H192" s="142" t="s">
        <v>1646</v>
      </c>
      <c r="I192" s="143">
        <v>45175</v>
      </c>
      <c r="J192" s="143" t="s">
        <v>396</v>
      </c>
      <c r="K192" s="142" t="s">
        <v>364</v>
      </c>
      <c r="L192" s="270"/>
      <c r="M192" s="143" t="s">
        <v>330</v>
      </c>
      <c r="N192" s="142" t="s">
        <v>357</v>
      </c>
      <c r="O192" s="142" t="s">
        <v>2049</v>
      </c>
      <c r="P192" s="142"/>
      <c r="Q192" s="142" t="s">
        <v>111</v>
      </c>
      <c r="R192" s="270"/>
      <c r="S192" s="142" t="s">
        <v>374</v>
      </c>
      <c r="T192" s="142" t="s">
        <v>1216</v>
      </c>
      <c r="U192" s="142"/>
      <c r="V192" s="142" t="s">
        <v>189</v>
      </c>
      <c r="W192" s="142" t="s">
        <v>1214</v>
      </c>
      <c r="X192" s="142" t="s">
        <v>111</v>
      </c>
      <c r="Y192" s="142" t="str">
        <f ca="1">IF(I192&lt;&gt;"",IF(I192&lt;=TODAY(),IF(OR(N192="REPROGRAMADA",N192="SUSPENDIDA",N192="EXCLUSION",N192="COLEGIADO"),"NO HECHA",IF(N192=" ","SINRESULTADO","SI")),"NO"),IF(N192="EXCLUSION","NO HECHA","LIMBO"))</f>
        <v>SI</v>
      </c>
      <c r="Z192" s="142" t="str">
        <f>IF($Z$1=I192,"DIASOL", "DIANOSOL")</f>
        <v>DIANOSOL</v>
      </c>
      <c r="AA192" s="142" t="s">
        <v>240</v>
      </c>
      <c r="AB192" s="142" t="s">
        <v>1215</v>
      </c>
      <c r="AC192" s="142" t="str">
        <f>IF(H192=$M$1,"SI","NO")</f>
        <v>NO</v>
      </c>
      <c r="AD192" s="142"/>
      <c r="AE192" s="142"/>
      <c r="AF192" s="284">
        <v>45181</v>
      </c>
      <c r="AG192" s="142" t="str">
        <f>IF(COUNTIF(C192,"*preso*")&gt;0,"SI","NO")</f>
        <v>SI</v>
      </c>
      <c r="AH192" s="269">
        <f>NroOrden(N192)</f>
        <v>50</v>
      </c>
      <c r="AI192" s="142"/>
      <c r="AJ192" s="270" t="str">
        <f ca="1">IF(OR(Y192="NO",Y192="LIMBO"),"IMP","NOIMP")</f>
        <v>NOIMP</v>
      </c>
    </row>
    <row r="193" spans="1:36" ht="161.25" hidden="1" customHeight="1">
      <c r="A193" s="160">
        <v>173</v>
      </c>
      <c r="B193" s="161" t="s">
        <v>1186</v>
      </c>
      <c r="C193" s="211" t="s">
        <v>501</v>
      </c>
      <c r="D193" s="160" t="s">
        <v>1249</v>
      </c>
      <c r="E193" s="160" t="s">
        <v>1250</v>
      </c>
      <c r="F193" s="266">
        <v>45128</v>
      </c>
      <c r="G193" s="160" t="s">
        <v>1187</v>
      </c>
      <c r="H193" s="160"/>
      <c r="I193" s="161">
        <v>45176</v>
      </c>
      <c r="J193" s="161" t="s">
        <v>1422</v>
      </c>
      <c r="K193" s="160" t="s">
        <v>363</v>
      </c>
      <c r="L193" s="255"/>
      <c r="M193" s="161" t="s">
        <v>328</v>
      </c>
      <c r="N193" s="160" t="s">
        <v>356</v>
      </c>
      <c r="O193" s="160" t="s">
        <v>2049</v>
      </c>
      <c r="P193" s="160" t="s">
        <v>1640</v>
      </c>
      <c r="Q193" s="160" t="s">
        <v>111</v>
      </c>
      <c r="R193" s="186"/>
      <c r="S193" s="160" t="s">
        <v>374</v>
      </c>
      <c r="T193" s="160" t="s">
        <v>1252</v>
      </c>
      <c r="U193" s="160" t="s">
        <v>1253</v>
      </c>
      <c r="V193" s="160" t="s">
        <v>199</v>
      </c>
      <c r="W193" s="160" t="s">
        <v>535</v>
      </c>
      <c r="X193" s="160" t="s">
        <v>111</v>
      </c>
      <c r="Y193" s="160" t="str">
        <f ca="1">IF(I193&lt;&gt;"",IF(I193&lt;=TODAY(),IF(OR(N193="REPROGRAMADA",N193="SUSPENDIDA",N193="EXCLUSION",N193="COLEGIADO"),"NO HECHA",IF(N193=" ","SINRESULTADO","SI")),"NO"),IF(N193="EXCLUSION","NO HECHA","LIMBO"))</f>
        <v>SI</v>
      </c>
      <c r="Z193" s="254" t="str">
        <f>IF($Z$1=I193,"DIASOL", "DIANOSOL")</f>
        <v>DIANOSOL</v>
      </c>
      <c r="AA193" s="160" t="s">
        <v>240</v>
      </c>
      <c r="AB193" s="160" t="s">
        <v>1251</v>
      </c>
      <c r="AC193" s="256" t="str">
        <f>IF(H193=$M$1,"SI","NO")</f>
        <v>NO</v>
      </c>
      <c r="AD193" s="256"/>
      <c r="AE193" s="160"/>
      <c r="AF193" s="160"/>
      <c r="AG193" s="170" t="str">
        <f>IF(COUNTIF(C193,"*preso*")&gt;0,"SI","NO")</f>
        <v>SI</v>
      </c>
      <c r="AH193" s="253">
        <f>NroOrden(N193)</f>
        <v>50</v>
      </c>
      <c r="AI193" s="160" t="s">
        <v>1639</v>
      </c>
      <c r="AJ193" s="48" t="str">
        <f ca="1">IF(OR(Y193="NO",Y193="LIMBO"),"IMP","NOIMP")</f>
        <v>NOIMP</v>
      </c>
    </row>
    <row r="194" spans="1:36" ht="39.950000000000003" hidden="1" customHeight="1">
      <c r="A194" s="160">
        <v>185</v>
      </c>
      <c r="B194" s="187" t="s">
        <v>1346</v>
      </c>
      <c r="C194" s="214" t="s">
        <v>501</v>
      </c>
      <c r="D194" s="186" t="s">
        <v>1347</v>
      </c>
      <c r="E194" s="186" t="s">
        <v>1348</v>
      </c>
      <c r="F194" s="266">
        <v>45149</v>
      </c>
      <c r="G194" s="186" t="s">
        <v>1349</v>
      </c>
      <c r="H194" s="186" t="s">
        <v>1649</v>
      </c>
      <c r="I194" s="187">
        <v>45181</v>
      </c>
      <c r="J194" s="187" t="s">
        <v>16</v>
      </c>
      <c r="K194" s="186" t="s">
        <v>363</v>
      </c>
      <c r="L194" s="186" t="s">
        <v>1663</v>
      </c>
      <c r="M194" s="187" t="s">
        <v>331</v>
      </c>
      <c r="N194" s="160" t="s">
        <v>357</v>
      </c>
      <c r="O194" s="160" t="s">
        <v>2049</v>
      </c>
      <c r="P194" s="160"/>
      <c r="Q194" s="160" t="s">
        <v>1816</v>
      </c>
      <c r="R194" s="186" t="s">
        <v>2071</v>
      </c>
      <c r="S194" s="160" t="s">
        <v>1352</v>
      </c>
      <c r="T194" s="160" t="s">
        <v>1353</v>
      </c>
      <c r="U194" s="160" t="s">
        <v>2072</v>
      </c>
      <c r="V194" s="186" t="s">
        <v>186</v>
      </c>
      <c r="W194" s="186" t="s">
        <v>1350</v>
      </c>
      <c r="X194" s="160" t="s">
        <v>111</v>
      </c>
      <c r="Y194" s="160" t="str">
        <f ca="1">IF(I194&lt;&gt;"",IF(I194&lt;=TODAY(),IF(OR(N194="REPROGRAMADA",N194="SUSPENDIDA",N194="EXCLUSION",N194="COLEGIADO"),"NO HECHA",IF(N194=" ","SINRESULTADO","SI")),"NO"),IF(N194="EXCLUSION","NO HECHA","LIMBO"))</f>
        <v>SI</v>
      </c>
      <c r="Z194" s="160" t="str">
        <f>IF($Z$1=I194,"DIASOL", "DIANOSOL")</f>
        <v>DIANOSOL</v>
      </c>
      <c r="AA194" s="160" t="s">
        <v>240</v>
      </c>
      <c r="AB194" s="160" t="s">
        <v>1351</v>
      </c>
      <c r="AC194" s="160" t="str">
        <f>IF(H194=$M$1,"SI","NO")</f>
        <v>NO</v>
      </c>
      <c r="AD194" s="160"/>
      <c r="AE194" s="266">
        <v>45147</v>
      </c>
      <c r="AF194" s="266">
        <v>45208</v>
      </c>
      <c r="AG194" s="160" t="str">
        <f>IF(COUNTIF(C194,"*preso*")&gt;0,"SI","NO")</f>
        <v>SI</v>
      </c>
      <c r="AH194" s="264">
        <f>NroOrden(N194)</f>
        <v>50</v>
      </c>
      <c r="AI194" s="160"/>
      <c r="AJ194" s="48" t="str">
        <f ca="1">IF(OR(Y194="NO",Y194="LIMBO"),"IMP","NOIMP")</f>
        <v>NOIMP</v>
      </c>
    </row>
    <row r="195" spans="1:36" ht="39.950000000000003" hidden="1" customHeight="1">
      <c r="A195" s="160">
        <v>172</v>
      </c>
      <c r="B195" s="187" t="s">
        <v>1242</v>
      </c>
      <c r="C195" s="214" t="s">
        <v>501</v>
      </c>
      <c r="D195" s="186" t="s">
        <v>1243</v>
      </c>
      <c r="E195" s="186" t="s">
        <v>1244</v>
      </c>
      <c r="F195" s="266">
        <v>45139</v>
      </c>
      <c r="G195" s="186" t="s">
        <v>1203</v>
      </c>
      <c r="H195" s="186" t="s">
        <v>1643</v>
      </c>
      <c r="I195" s="187">
        <v>45187</v>
      </c>
      <c r="J195" s="187" t="s">
        <v>1422</v>
      </c>
      <c r="K195" s="186" t="s">
        <v>363</v>
      </c>
      <c r="L195" s="255"/>
      <c r="M195" s="187" t="s">
        <v>331</v>
      </c>
      <c r="N195" s="160" t="s">
        <v>356</v>
      </c>
      <c r="O195" s="160" t="s">
        <v>2049</v>
      </c>
      <c r="P195" s="160"/>
      <c r="Q195" s="160" t="s">
        <v>111</v>
      </c>
      <c r="R195" s="186"/>
      <c r="S195" s="160" t="s">
        <v>374</v>
      </c>
      <c r="T195" s="160" t="s">
        <v>1247</v>
      </c>
      <c r="U195" s="160" t="s">
        <v>1248</v>
      </c>
      <c r="V195" s="186" t="s">
        <v>1129</v>
      </c>
      <c r="W195" s="186" t="s">
        <v>1245</v>
      </c>
      <c r="X195" s="186" t="s">
        <v>111</v>
      </c>
      <c r="Y195" s="160" t="str">
        <f ca="1">IF(I195&lt;&gt;"",IF(I195&lt;=TODAY(),IF(OR(N195="REPROGRAMADA",N195="SUSPENDIDA",N195="EXCLUSION",N195="COLEGIADO"),"NO HECHA",IF(N195=" ","SINRESULTADO","SI")),"NO"),IF(N195="EXCLUSION","NO HECHA","LIMBO"))</f>
        <v>SI</v>
      </c>
      <c r="Z195" s="186" t="str">
        <f>IF($Z$1=I195,"DIASOL", "DIANOSOL")</f>
        <v>DIANOSOL</v>
      </c>
      <c r="AA195" s="186" t="s">
        <v>1434</v>
      </c>
      <c r="AB195" s="186" t="s">
        <v>1246</v>
      </c>
      <c r="AC195" s="160" t="str">
        <f>IF(H195=$M$1,"SI","NO")</f>
        <v>NO</v>
      </c>
      <c r="AD195" s="160"/>
      <c r="AE195" s="160"/>
      <c r="AF195" s="160"/>
      <c r="AG195" s="160" t="str">
        <f>IF(COUNTIF(C195,"*preso*")&gt;0,"SI","NO")</f>
        <v>SI</v>
      </c>
      <c r="AH195" s="253">
        <f>NroOrden(N195)</f>
        <v>50</v>
      </c>
      <c r="AI195" s="160" t="s">
        <v>1657</v>
      </c>
      <c r="AJ195" s="48" t="str">
        <f ca="1">IF(OR(Y195="NO",Y195="LIMBO"),"IMP","NOIMP")</f>
        <v>NOIMP</v>
      </c>
    </row>
    <row r="196" spans="1:36" ht="39.950000000000003" hidden="1" customHeight="1">
      <c r="A196" s="160">
        <v>226</v>
      </c>
      <c r="B196" s="161" t="s">
        <v>572</v>
      </c>
      <c r="C196" s="211"/>
      <c r="D196" s="160" t="s">
        <v>1340</v>
      </c>
      <c r="E196" s="160" t="s">
        <v>573</v>
      </c>
      <c r="F196" s="266">
        <v>45079</v>
      </c>
      <c r="G196" s="160"/>
      <c r="H196" s="160" t="s">
        <v>1649</v>
      </c>
      <c r="I196" s="161">
        <v>45187</v>
      </c>
      <c r="J196" s="161" t="s">
        <v>1275</v>
      </c>
      <c r="K196" s="160" t="s">
        <v>362</v>
      </c>
      <c r="L196" s="255"/>
      <c r="M196" s="161" t="s">
        <v>329</v>
      </c>
      <c r="N196" s="160" t="s">
        <v>359</v>
      </c>
      <c r="O196" s="160" t="s">
        <v>2049</v>
      </c>
      <c r="P196" s="160"/>
      <c r="Q196" s="160" t="s">
        <v>111</v>
      </c>
      <c r="R196" s="186"/>
      <c r="S196" s="160"/>
      <c r="T196" s="160"/>
      <c r="U196" s="160"/>
      <c r="V196" s="160" t="s">
        <v>191</v>
      </c>
      <c r="W196" s="160" t="s">
        <v>111</v>
      </c>
      <c r="X196" s="160" t="s">
        <v>111</v>
      </c>
      <c r="Y196" s="160" t="str">
        <f ca="1">IF(I196&lt;&gt;"",IF(I196&lt;=TODAY(),IF(OR(N196="REPROGRAMADA",N196="SUSPENDIDA",N196="EXCLUSION",N196="COLEGIADO"),"NO HECHA",IF(N196=" ","SINRESULTADO","SI")),"NO"),IF(N196="EXCLUSION","NO HECHA","LIMBO"))</f>
        <v>SI</v>
      </c>
      <c r="Z196" s="160" t="str">
        <f>IF($Z$1=I196,"DIASOL", "DIANOSOL")</f>
        <v>DIANOSOL</v>
      </c>
      <c r="AA196" s="160" t="s">
        <v>240</v>
      </c>
      <c r="AB196" s="160" t="s">
        <v>574</v>
      </c>
      <c r="AC196" s="160" t="str">
        <f>IF(H196=$M$1,"SI","NO")</f>
        <v>NO</v>
      </c>
      <c r="AD196" s="160"/>
      <c r="AE196" s="160"/>
      <c r="AF196" s="160"/>
      <c r="AG196" s="160" t="str">
        <f>IF(COUNTIF(C196,"*preso*")&gt;0,"SI","NO")</f>
        <v>NO</v>
      </c>
      <c r="AH196" s="253">
        <f>NroOrden(N196)</f>
        <v>50</v>
      </c>
      <c r="AI196" s="160"/>
      <c r="AJ196" s="48" t="str">
        <f ca="1">IF(OR(Y196="NO",Y196="LIMBO"),"IMP","NOIMP")</f>
        <v>NOIMP</v>
      </c>
    </row>
    <row r="197" spans="1:36" ht="39.950000000000003" hidden="1" customHeight="1">
      <c r="A197" s="160">
        <v>201</v>
      </c>
      <c r="B197" s="161" t="s">
        <v>1414</v>
      </c>
      <c r="C197" s="211" t="s">
        <v>501</v>
      </c>
      <c r="D197" s="160" t="s">
        <v>1415</v>
      </c>
      <c r="E197" s="160" t="s">
        <v>1416</v>
      </c>
      <c r="F197" s="266">
        <v>45151</v>
      </c>
      <c r="G197" s="266" t="s">
        <v>1374</v>
      </c>
      <c r="H197" s="160" t="s">
        <v>1649</v>
      </c>
      <c r="I197" s="161">
        <v>45190</v>
      </c>
      <c r="J197" s="161" t="s">
        <v>961</v>
      </c>
      <c r="K197" s="160" t="s">
        <v>365</v>
      </c>
      <c r="L197" s="186"/>
      <c r="M197" s="161" t="s">
        <v>331</v>
      </c>
      <c r="N197" s="160" t="s">
        <v>356</v>
      </c>
      <c r="O197" s="160" t="s">
        <v>2049</v>
      </c>
      <c r="P197" s="160"/>
      <c r="Q197" s="160" t="s">
        <v>111</v>
      </c>
      <c r="R197" s="186"/>
      <c r="S197" s="160" t="s">
        <v>1418</v>
      </c>
      <c r="T197" s="160" t="s">
        <v>1419</v>
      </c>
      <c r="U197" s="160" t="s">
        <v>1420</v>
      </c>
      <c r="V197" s="160" t="s">
        <v>199</v>
      </c>
      <c r="W197" s="160" t="s">
        <v>202</v>
      </c>
      <c r="X197" s="160" t="s">
        <v>111</v>
      </c>
      <c r="Y197" s="160" t="str">
        <f ca="1">IF(I197&lt;&gt;"",IF(I197&lt;=TODAY(),IF(OR(N197="REPROGRAMADA",N197="SUSPENDIDA",N197="EXCLUSION",N197="COLEGIADO"),"NO HECHA",IF(N197=" ","SINRESULTADO","SI")),"NO"),IF(N197="EXCLUSION","NO HECHA","LIMBO"))</f>
        <v>SI</v>
      </c>
      <c r="Z197" s="166" t="str">
        <f>IF($Z$1=I197,"DIASOL", "DIANOSOL")</f>
        <v>DIANOSOL</v>
      </c>
      <c r="AA197" s="160" t="s">
        <v>240</v>
      </c>
      <c r="AB197" s="160" t="s">
        <v>1417</v>
      </c>
      <c r="AC197" s="166" t="str">
        <f>IF(H197=$M$1,"SI","NO")</f>
        <v>NO</v>
      </c>
      <c r="AD197" s="166"/>
      <c r="AE197" s="160" t="s">
        <v>1421</v>
      </c>
      <c r="AF197" s="160"/>
      <c r="AG197" s="166" t="str">
        <f>IF(COUNTIF(C197,"*preso*")&gt;0,"SI","NO")</f>
        <v>SI</v>
      </c>
      <c r="AH197" s="264">
        <f>NroOrden(N197)</f>
        <v>50</v>
      </c>
      <c r="AI197" s="160"/>
      <c r="AJ197" s="48" t="str">
        <f ca="1">IF(OR(Y197="NO",Y197="LIMBO"),"IMP","NOIMP")</f>
        <v>NOIMP</v>
      </c>
    </row>
    <row r="198" spans="1:36" ht="39.950000000000003" hidden="1" customHeight="1">
      <c r="A198" s="182">
        <v>133</v>
      </c>
      <c r="B198" s="99" t="s">
        <v>1049</v>
      </c>
      <c r="C198" s="210"/>
      <c r="D198" s="182" t="s">
        <v>1050</v>
      </c>
      <c r="E198" s="98" t="s">
        <v>1051</v>
      </c>
      <c r="F198" s="182"/>
      <c r="G198" s="98"/>
      <c r="H198" s="98" t="s">
        <v>1649</v>
      </c>
      <c r="I198" s="183">
        <v>45191</v>
      </c>
      <c r="J198" s="99" t="s">
        <v>396</v>
      </c>
      <c r="K198" s="182" t="s">
        <v>365</v>
      </c>
      <c r="L198" s="194"/>
      <c r="M198" s="99" t="s">
        <v>332</v>
      </c>
      <c r="N198" s="98" t="s">
        <v>354</v>
      </c>
      <c r="O198" s="98" t="s">
        <v>2307</v>
      </c>
      <c r="P198" s="98" t="s">
        <v>2133</v>
      </c>
      <c r="Q198" s="182" t="s">
        <v>111</v>
      </c>
      <c r="R198" s="194"/>
      <c r="S198" s="98"/>
      <c r="T198" s="182"/>
      <c r="U198" s="182"/>
      <c r="V198" s="98" t="s">
        <v>347</v>
      </c>
      <c r="W198" s="98" t="s">
        <v>180</v>
      </c>
      <c r="X198" s="98" t="s">
        <v>1052</v>
      </c>
      <c r="Y198" s="163" t="str">
        <f ca="1">IF(I198&lt;&gt;"",IF(I198&lt;=TODAY(),IF(OR(N198="REPROGRAMADA",N198="SUSPENDIDA",N198="EXCLUSION",N198="COLEGIADO"),"NO HECHA",IF(N198=" ","SINRESULTADO","SI")),"NO"),IF(N198="EXCLUSION","NO HECHA","LIMBO"))</f>
        <v>NO HECHA</v>
      </c>
      <c r="Z198" s="98" t="str">
        <f>IF($Z$1=I198,"DIASOL", "DIANOSOL")</f>
        <v>DIANOSOL</v>
      </c>
      <c r="AA198" s="98" t="s">
        <v>240</v>
      </c>
      <c r="AB198" s="98" t="s">
        <v>1053</v>
      </c>
      <c r="AC198" s="185" t="str">
        <f>IF(H198=$M$1,"SI","NO")</f>
        <v>NO</v>
      </c>
      <c r="AD198" s="185"/>
      <c r="AE198" s="182"/>
      <c r="AF198" s="98" t="s">
        <v>2195</v>
      </c>
      <c r="AG198" s="182" t="str">
        <f>IF(COUNTIF(C198,"*preso*")&gt;0,"SI","NO")</f>
        <v>NO</v>
      </c>
      <c r="AH198" s="253">
        <f>NroOrden(N198)</f>
        <v>50</v>
      </c>
      <c r="AI198" s="182"/>
      <c r="AJ198" s="48" t="str">
        <f ca="1">IF(OR(Y198="NO",Y198="LIMBO"),"IMP","NOIMP")</f>
        <v>NOIMP</v>
      </c>
    </row>
    <row r="199" spans="1:36" ht="39.950000000000003" hidden="1" customHeight="1">
      <c r="A199" s="144">
        <v>212</v>
      </c>
      <c r="B199" s="143" t="s">
        <v>1484</v>
      </c>
      <c r="C199" s="250"/>
      <c r="D199" s="142" t="s">
        <v>1485</v>
      </c>
      <c r="E199" s="142" t="s">
        <v>1486</v>
      </c>
      <c r="F199" s="159">
        <v>45161</v>
      </c>
      <c r="G199" s="142" t="s">
        <v>1453</v>
      </c>
      <c r="H199" s="142" t="s">
        <v>1647</v>
      </c>
      <c r="I199" s="267">
        <v>45191</v>
      </c>
      <c r="J199" s="143" t="s">
        <v>14</v>
      </c>
      <c r="K199" s="144" t="s">
        <v>363</v>
      </c>
      <c r="L199" s="218"/>
      <c r="M199" s="143" t="s">
        <v>330</v>
      </c>
      <c r="N199" s="142" t="s">
        <v>357</v>
      </c>
      <c r="O199" s="142" t="s">
        <v>2049</v>
      </c>
      <c r="P199" s="144"/>
      <c r="Q199" s="144" t="s">
        <v>111</v>
      </c>
      <c r="R199" s="218"/>
      <c r="S199" s="142"/>
      <c r="T199" s="144"/>
      <c r="U199" s="144"/>
      <c r="V199" s="142" t="s">
        <v>914</v>
      </c>
      <c r="W199" s="142" t="s">
        <v>1487</v>
      </c>
      <c r="X199" s="142" t="s">
        <v>111</v>
      </c>
      <c r="Y199" s="191" t="str">
        <f ca="1">IF(I199&lt;&gt;"",IF(I199&lt;=TODAY(),IF(OR(N199="REPROGRAMADA",N199="SUSPENDIDA",N199="EXCLUSION",N199="COLEGIADO"),"NO HECHA",IF(N199=" ","SINRESULTADO","SI")),"NO"),IF(N199="EXCLUSION","NO HECHA","LIMBO"))</f>
        <v>SI</v>
      </c>
      <c r="Z199" s="142" t="str">
        <f>IF($Z$1=I199,"DIASOL", "DIANOSOL")</f>
        <v>DIANOSOL</v>
      </c>
      <c r="AA199" s="142" t="s">
        <v>240</v>
      </c>
      <c r="AB199" s="142" t="s">
        <v>1488</v>
      </c>
      <c r="AC199" s="145" t="str">
        <f>IF(H199=$M$1,"SI","NO")</f>
        <v>NO</v>
      </c>
      <c r="AD199" s="145"/>
      <c r="AE199" s="159">
        <v>45155</v>
      </c>
      <c r="AF199" s="144"/>
      <c r="AG199" s="144" t="str">
        <f>IF(COUNTIF(C199,"*preso*")&gt;0,"SI","NO")</f>
        <v>NO</v>
      </c>
      <c r="AH199" s="269">
        <f>NroOrden(N199)</f>
        <v>50</v>
      </c>
      <c r="AI199" s="144"/>
      <c r="AJ199" s="48" t="str">
        <f ca="1">IF(OR(Y199="NO",Y199="LIMBO"),"IMP","NOIMP")</f>
        <v>NOIMP</v>
      </c>
    </row>
    <row r="200" spans="1:36" ht="39.950000000000003" hidden="1" customHeight="1">
      <c r="A200" s="160">
        <v>242</v>
      </c>
      <c r="B200" s="161" t="s">
        <v>728</v>
      </c>
      <c r="C200" s="211"/>
      <c r="D200" s="160" t="s">
        <v>729</v>
      </c>
      <c r="E200" s="160" t="s">
        <v>518</v>
      </c>
      <c r="F200" s="266">
        <v>45091</v>
      </c>
      <c r="G200" s="160" t="s">
        <v>673</v>
      </c>
      <c r="H200" s="160" t="s">
        <v>1648</v>
      </c>
      <c r="I200" s="161">
        <v>45194</v>
      </c>
      <c r="J200" s="161" t="s">
        <v>961</v>
      </c>
      <c r="K200" s="160" t="s">
        <v>364</v>
      </c>
      <c r="L200" s="186" t="s">
        <v>111</v>
      </c>
      <c r="M200" s="161" t="s">
        <v>328</v>
      </c>
      <c r="N200" s="160" t="s">
        <v>359</v>
      </c>
      <c r="O200" s="160" t="s">
        <v>2049</v>
      </c>
      <c r="P200" s="160"/>
      <c r="Q200" s="160"/>
      <c r="R200" s="186"/>
      <c r="S200" s="160"/>
      <c r="T200" s="160"/>
      <c r="U200" s="160"/>
      <c r="V200" s="160" t="s">
        <v>191</v>
      </c>
      <c r="W200" s="160" t="s">
        <v>140</v>
      </c>
      <c r="X200" s="160" t="s">
        <v>111</v>
      </c>
      <c r="Y200" s="160" t="str">
        <f ca="1">IF(I200&lt;&gt;"",IF(I200&lt;=TODAY(),IF(OR(N200="REPROGRAMADA",N200="SUSPENDIDA",N200="EXCLUSION",N200="COLEGIADO"),"NO HECHA",IF(N200=" ","SINRESULTADO","SI")),"NO"),IF(N200="EXCLUSION","NO HECHA","LIMBO"))</f>
        <v>SI</v>
      </c>
      <c r="Z200" s="160" t="str">
        <f>IF($Z$1=I200,"DIASOL", "DIANOSOL")</f>
        <v>DIANOSOL</v>
      </c>
      <c r="AA200" s="160" t="s">
        <v>240</v>
      </c>
      <c r="AB200" s="160" t="s">
        <v>731</v>
      </c>
      <c r="AC200" s="160" t="str">
        <f>IF(H200=$M$1,"SI","NO")</f>
        <v>NO</v>
      </c>
      <c r="AD200" s="160"/>
      <c r="AE200" s="160"/>
      <c r="AF200" s="266">
        <v>45203</v>
      </c>
      <c r="AG200" s="160" t="str">
        <f>IF(COUNTIF(C200,"*preso*")&gt;0,"SI","NO")</f>
        <v>NO</v>
      </c>
      <c r="AH200" s="264">
        <f>NroOrden(N200)</f>
        <v>50</v>
      </c>
      <c r="AI200" s="160" t="s">
        <v>1595</v>
      </c>
      <c r="AJ200" s="48" t="str">
        <f ca="1">IF(OR(Y200="NO",Y200="LIMBO"),"IMP","NOIMP")</f>
        <v>NOIMP</v>
      </c>
    </row>
    <row r="201" spans="1:36" ht="39.950000000000003" hidden="1" customHeight="1">
      <c r="A201" s="98">
        <v>92</v>
      </c>
      <c r="B201" s="99" t="s">
        <v>910</v>
      </c>
      <c r="C201" s="209"/>
      <c r="D201" s="98" t="s">
        <v>911</v>
      </c>
      <c r="E201" s="98" t="s">
        <v>912</v>
      </c>
      <c r="F201" s="184">
        <v>45104</v>
      </c>
      <c r="G201" s="98"/>
      <c r="H201" s="98"/>
      <c r="I201" s="99">
        <v>45194</v>
      </c>
      <c r="J201" s="98" t="s">
        <v>14</v>
      </c>
      <c r="K201" s="182" t="s">
        <v>362</v>
      </c>
      <c r="L201" s="233"/>
      <c r="M201" s="99" t="s">
        <v>329</v>
      </c>
      <c r="N201" s="98" t="s">
        <v>354</v>
      </c>
      <c r="O201" s="98" t="s">
        <v>2353</v>
      </c>
      <c r="P201" s="98" t="s">
        <v>2134</v>
      </c>
      <c r="Q201" s="182" t="s">
        <v>111</v>
      </c>
      <c r="R201" s="194"/>
      <c r="S201" s="98"/>
      <c r="T201" s="182"/>
      <c r="U201" s="182"/>
      <c r="V201" s="98" t="s">
        <v>194</v>
      </c>
      <c r="W201" s="98" t="s">
        <v>915</v>
      </c>
      <c r="X201" s="98" t="s">
        <v>111</v>
      </c>
      <c r="Y201" s="163" t="str">
        <f ca="1">IF(I201&lt;&gt;"",IF(I201&lt;=TODAY(),IF(OR(N201="REPROGRAMADA",N201="SUSPENDIDA",N201="EXCLUSION",N201="COLEGIADO"),"NO HECHA",IF(N201=" ","SINRESULTADO","SI")),"NO"),IF(N201="EXCLUSION","NO HECHA","LIMBO"))</f>
        <v>NO HECHA</v>
      </c>
      <c r="Z201" s="98" t="str">
        <f>IF($Z$1=I201,"DIASOL", "DIANOSOL")</f>
        <v>DIANOSOL</v>
      </c>
      <c r="AA201" s="98" t="s">
        <v>240</v>
      </c>
      <c r="AB201" s="98" t="s">
        <v>916</v>
      </c>
      <c r="AC201" s="185" t="str">
        <f>IF(H201=$M$1,"SI","NO")</f>
        <v>NO</v>
      </c>
      <c r="AD201" s="185"/>
      <c r="AE201" s="182"/>
      <c r="AF201" s="182"/>
      <c r="AG201" s="182" t="str">
        <f>IF(COUNTIF(C201,"*preso*")&gt;0,"SI","NO")</f>
        <v>NO</v>
      </c>
      <c r="AH201" s="265">
        <f>NroOrden(N201)</f>
        <v>50</v>
      </c>
      <c r="AI201" s="182"/>
      <c r="AJ201" s="283" t="str">
        <f ca="1">IF(OR(Y201="NO",Y201="LIMBO"),"IMP","NOIMP")</f>
        <v>NOIMP</v>
      </c>
    </row>
    <row r="202" spans="1:36" ht="39.950000000000003" hidden="1" customHeight="1">
      <c r="A202" s="182">
        <v>209</v>
      </c>
      <c r="B202" s="99" t="s">
        <v>1459</v>
      </c>
      <c r="C202" s="210" t="s">
        <v>1477</v>
      </c>
      <c r="D202" s="98" t="s">
        <v>1460</v>
      </c>
      <c r="E202" s="98" t="s">
        <v>1461</v>
      </c>
      <c r="F202" s="184">
        <v>45161</v>
      </c>
      <c r="G202" s="98" t="s">
        <v>1462</v>
      </c>
      <c r="H202" s="98"/>
      <c r="I202" s="99">
        <v>45194</v>
      </c>
      <c r="J202" s="99" t="s">
        <v>14</v>
      </c>
      <c r="K202" s="182" t="s">
        <v>365</v>
      </c>
      <c r="L202" s="194"/>
      <c r="M202" s="99" t="s">
        <v>333</v>
      </c>
      <c r="N202" s="98" t="s">
        <v>354</v>
      </c>
      <c r="O202" s="98" t="s">
        <v>2307</v>
      </c>
      <c r="P202" s="98" t="s">
        <v>1823</v>
      </c>
      <c r="Q202" s="182" t="s">
        <v>111</v>
      </c>
      <c r="R202" s="194"/>
      <c r="S202" s="98" t="s">
        <v>1352</v>
      </c>
      <c r="T202" s="98" t="s">
        <v>1467</v>
      </c>
      <c r="U202" s="98" t="s">
        <v>1468</v>
      </c>
      <c r="V202" s="98" t="s">
        <v>1463</v>
      </c>
      <c r="W202" s="98" t="s">
        <v>1464</v>
      </c>
      <c r="X202" s="98" t="s">
        <v>1465</v>
      </c>
      <c r="Y202" s="166" t="str">
        <f ca="1">IF(I202&lt;&gt;"",IF(I202&lt;=TODAY(),IF(OR(N202="REPROGRAMADA",N202="SUSPENDIDA",N202="EXCLUSION",N202="COLEGIADO"),"NO HECHA",IF(N202=" ","SINRESULTADO","SI")),"NO"),IF(N202="EXCLUSION","NO HECHA","LIMBO"))</f>
        <v>NO HECHA</v>
      </c>
      <c r="Z202" s="154" t="str">
        <f>IF($Z$1=I202,"DIASOL", "DIANOSOL")</f>
        <v>DIANOSOL</v>
      </c>
      <c r="AA202" s="98" t="s">
        <v>240</v>
      </c>
      <c r="AB202" s="98" t="s">
        <v>1466</v>
      </c>
      <c r="AC202" s="156" t="str">
        <f>IF(H202=$M$1,"SI","NO")</f>
        <v>NO</v>
      </c>
      <c r="AD202" s="156"/>
      <c r="AE202" s="184">
        <v>45155</v>
      </c>
      <c r="AF202" s="98" t="s">
        <v>2195</v>
      </c>
      <c r="AG202" s="155" t="str">
        <f>IF(COUNTIF(C202,"*preso*")&gt;0,"SI","NO")</f>
        <v>SI</v>
      </c>
      <c r="AH202" s="253">
        <f>NroOrden(N202)</f>
        <v>50</v>
      </c>
      <c r="AI202" s="182"/>
      <c r="AJ202" s="48" t="str">
        <f ca="1">IF(OR(Y202="NO",Y202="LIMBO"),"IMP","NOIMP")</f>
        <v>NOIMP</v>
      </c>
    </row>
    <row r="203" spans="1:36" ht="102" hidden="1" customHeight="1">
      <c r="A203" s="160">
        <v>208</v>
      </c>
      <c r="B203" s="161" t="s">
        <v>1450</v>
      </c>
      <c r="C203" s="211" t="s">
        <v>1477</v>
      </c>
      <c r="D203" s="160" t="s">
        <v>1451</v>
      </c>
      <c r="E203" s="160" t="s">
        <v>1452</v>
      </c>
      <c r="F203" s="266">
        <v>45161</v>
      </c>
      <c r="G203" s="160" t="s">
        <v>1453</v>
      </c>
      <c r="H203" s="160" t="s">
        <v>1643</v>
      </c>
      <c r="I203" s="161">
        <v>45195</v>
      </c>
      <c r="J203" s="161" t="s">
        <v>282</v>
      </c>
      <c r="K203" s="160" t="s">
        <v>364</v>
      </c>
      <c r="L203" s="186"/>
      <c r="M203" s="161" t="s">
        <v>330</v>
      </c>
      <c r="N203" s="160" t="s">
        <v>356</v>
      </c>
      <c r="O203" s="160" t="s">
        <v>2049</v>
      </c>
      <c r="P203" s="160" t="s">
        <v>1881</v>
      </c>
      <c r="Q203" s="160" t="s">
        <v>111</v>
      </c>
      <c r="R203" s="186"/>
      <c r="S203" s="160" t="s">
        <v>1418</v>
      </c>
      <c r="T203" s="160" t="s">
        <v>1457</v>
      </c>
      <c r="U203" s="160" t="s">
        <v>1458</v>
      </c>
      <c r="V203" s="160" t="s">
        <v>1454</v>
      </c>
      <c r="W203" s="160" t="s">
        <v>1455</v>
      </c>
      <c r="X203" s="160" t="s">
        <v>111</v>
      </c>
      <c r="Y203" s="160" t="str">
        <f ca="1">IF(I203&lt;&gt;"",IF(I203&lt;=TODAY(),IF(OR(N203="REPROGRAMADA",N203="SUSPENDIDA",N203="EXCLUSION",N203="COLEGIADO"),"NO HECHA",IF(N203=" ","SINRESULTADO","SI")),"NO"),IF(N203="EXCLUSION","NO HECHA","LIMBO"))</f>
        <v>SI</v>
      </c>
      <c r="Z203" s="254" t="str">
        <f>IF($Z$1=I203,"DIASOL", "DIANOSOL")</f>
        <v>DIANOSOL</v>
      </c>
      <c r="AA203" s="160" t="s">
        <v>240</v>
      </c>
      <c r="AB203" s="160" t="s">
        <v>1456</v>
      </c>
      <c r="AC203" s="256" t="str">
        <f>IF(H203=$M$1,"SI","NO")</f>
        <v>NO</v>
      </c>
      <c r="AD203" s="256"/>
      <c r="AE203" s="266">
        <v>45154</v>
      </c>
      <c r="AF203" s="266">
        <v>45203</v>
      </c>
      <c r="AG203" s="170" t="str">
        <f>IF(COUNTIF(C203,"*preso*")&gt;0,"SI","NO")</f>
        <v>SI</v>
      </c>
      <c r="AH203" s="253">
        <f>NroOrden(N203)</f>
        <v>50</v>
      </c>
      <c r="AI203" s="160"/>
      <c r="AJ203" s="48" t="str">
        <f ca="1">IF(OR(Y203="NO",Y203="LIMBO"),"IMP","NOIMP")</f>
        <v>NOIMP</v>
      </c>
    </row>
    <row r="204" spans="1:36" ht="39.950000000000003" hidden="1" customHeight="1">
      <c r="A204" s="144">
        <v>168</v>
      </c>
      <c r="B204" s="143" t="s">
        <v>1178</v>
      </c>
      <c r="C204" s="250" t="s">
        <v>501</v>
      </c>
      <c r="D204" s="144" t="s">
        <v>1217</v>
      </c>
      <c r="E204" s="142" t="s">
        <v>705</v>
      </c>
      <c r="F204" s="159">
        <v>45128</v>
      </c>
      <c r="G204" s="142" t="s">
        <v>1218</v>
      </c>
      <c r="H204" s="142" t="s">
        <v>1649</v>
      </c>
      <c r="I204" s="267">
        <v>45195</v>
      </c>
      <c r="J204" s="143" t="s">
        <v>961</v>
      </c>
      <c r="K204" s="144" t="s">
        <v>362</v>
      </c>
      <c r="L204" s="218"/>
      <c r="M204" s="143" t="s">
        <v>330</v>
      </c>
      <c r="N204" s="142" t="s">
        <v>357</v>
      </c>
      <c r="O204" s="142" t="s">
        <v>2049</v>
      </c>
      <c r="P204" s="142" t="s">
        <v>2135</v>
      </c>
      <c r="Q204" s="144" t="s">
        <v>111</v>
      </c>
      <c r="R204" s="218"/>
      <c r="S204" s="271" t="s">
        <v>1221</v>
      </c>
      <c r="T204" s="271" t="s">
        <v>1222</v>
      </c>
      <c r="U204" s="144"/>
      <c r="V204" s="142" t="s">
        <v>1129</v>
      </c>
      <c r="W204" s="142" t="s">
        <v>1219</v>
      </c>
      <c r="X204" s="142" t="s">
        <v>1220</v>
      </c>
      <c r="Y204" s="191" t="str">
        <f ca="1">IF(I204&lt;&gt;"",IF(I204&lt;=TODAY(),IF(OR(N204="REPROGRAMADA",N204="SUSPENDIDA",N204="EXCLUSION",N204="COLEGIADO"),"NO HECHA",IF(N204=" ","SINRESULTADO","SI")),"NO"),IF(N204="EXCLUSION","NO HECHA","LIMBO"))</f>
        <v>SI</v>
      </c>
      <c r="Z204" s="142" t="str">
        <f>IF($Z$1=I204,"DIASOL", "DIANOSOL")</f>
        <v>DIANOSOL</v>
      </c>
      <c r="AA204" s="142" t="s">
        <v>240</v>
      </c>
      <c r="AB204" s="142"/>
      <c r="AC204" s="145" t="str">
        <f>IF(H204=$M$1,"SI","NO")</f>
        <v>NO</v>
      </c>
      <c r="AD204" s="145"/>
      <c r="AE204" s="144"/>
      <c r="AF204" s="144"/>
      <c r="AG204" s="144" t="str">
        <f>IF(COUNTIF(C204,"*preso*")&gt;0,"SI","NO")</f>
        <v>SI</v>
      </c>
      <c r="AH204" s="269">
        <f>NroOrden(N204)</f>
        <v>50</v>
      </c>
      <c r="AI204" s="144"/>
      <c r="AJ204" s="48" t="str">
        <f ca="1">IF(OR(Y204="NO",Y204="LIMBO"),"IMP","NOIMP")</f>
        <v>NOIMP</v>
      </c>
    </row>
    <row r="205" spans="1:36" ht="39.950000000000003" hidden="1" customHeight="1">
      <c r="A205" s="160">
        <v>165</v>
      </c>
      <c r="B205" s="161" t="s">
        <v>1200</v>
      </c>
      <c r="C205" s="211"/>
      <c r="D205" s="160" t="s">
        <v>1201</v>
      </c>
      <c r="E205" s="160" t="s">
        <v>1202</v>
      </c>
      <c r="F205" s="266">
        <v>45138</v>
      </c>
      <c r="G205" s="160" t="s">
        <v>1203</v>
      </c>
      <c r="H205" s="160" t="s">
        <v>1645</v>
      </c>
      <c r="I205" s="161">
        <v>45195</v>
      </c>
      <c r="J205" s="161" t="s">
        <v>396</v>
      </c>
      <c r="K205" s="160" t="s">
        <v>365</v>
      </c>
      <c r="L205" s="186"/>
      <c r="M205" s="161" t="s">
        <v>332</v>
      </c>
      <c r="N205" s="160" t="s">
        <v>355</v>
      </c>
      <c r="O205" s="160" t="s">
        <v>2049</v>
      </c>
      <c r="P205" s="160" t="s">
        <v>1883</v>
      </c>
      <c r="Q205" s="160" t="s">
        <v>111</v>
      </c>
      <c r="R205" s="186"/>
      <c r="S205" s="160"/>
      <c r="T205" s="160"/>
      <c r="U205" s="160"/>
      <c r="V205" s="160" t="s">
        <v>184</v>
      </c>
      <c r="W205" s="160" t="s">
        <v>1204</v>
      </c>
      <c r="X205" s="160" t="s">
        <v>111</v>
      </c>
      <c r="Y205" s="160" t="str">
        <f ca="1">IF(I205&lt;&gt;"",IF(I205&lt;=TODAY(),IF(OR(N205="REPROGRAMADA",N205="SUSPENDIDA",N205="EXCLUSION",N205="COLEGIADO"),"NO HECHA",IF(N205=" ","SINRESULTADO","SI")),"NO"),IF(N205="EXCLUSION","NO HECHA","LIMBO"))</f>
        <v>SI</v>
      </c>
      <c r="Z205" s="254" t="str">
        <f>IF($Z$1=I205,"DIASOL", "DIANOSOL")</f>
        <v>DIANOSOL</v>
      </c>
      <c r="AA205" s="160" t="s">
        <v>240</v>
      </c>
      <c r="AB205" s="160" t="s">
        <v>1205</v>
      </c>
      <c r="AC205" s="256" t="str">
        <f>IF(H205=$M$1,"SI","NO")</f>
        <v>NO</v>
      </c>
      <c r="AD205" s="256"/>
      <c r="AE205" s="160"/>
      <c r="AF205" s="266">
        <v>45203</v>
      </c>
      <c r="AG205" s="170" t="str">
        <f>IF(COUNTIF(C205,"*preso*")&gt;0,"SI","NO")</f>
        <v>NO</v>
      </c>
      <c r="AH205" s="253">
        <f>NroOrden(N205)</f>
        <v>50</v>
      </c>
      <c r="AI205" s="160"/>
      <c r="AJ205" s="48" t="str">
        <f ca="1">IF(OR(Y205="NO",Y205="LIMBO"),"IMP","NOIMP")</f>
        <v>NOIMP</v>
      </c>
    </row>
    <row r="206" spans="1:36" ht="94.5" hidden="1" customHeight="1">
      <c r="A206" s="182">
        <v>217</v>
      </c>
      <c r="B206" s="99" t="s">
        <v>1656</v>
      </c>
      <c r="C206" s="210"/>
      <c r="D206" s="98" t="s">
        <v>1507</v>
      </c>
      <c r="E206" s="98" t="s">
        <v>1508</v>
      </c>
      <c r="F206" s="184">
        <v>45162</v>
      </c>
      <c r="G206" s="98"/>
      <c r="H206" s="98"/>
      <c r="I206" s="183">
        <v>45196</v>
      </c>
      <c r="J206" s="99" t="s">
        <v>994</v>
      </c>
      <c r="K206" s="182" t="s">
        <v>403</v>
      </c>
      <c r="L206" s="194"/>
      <c r="M206" s="99" t="s">
        <v>328</v>
      </c>
      <c r="N206" s="98" t="s">
        <v>354</v>
      </c>
      <c r="O206" s="98" t="s">
        <v>2355</v>
      </c>
      <c r="P206" s="98" t="s">
        <v>2092</v>
      </c>
      <c r="Q206" s="182" t="s">
        <v>111</v>
      </c>
      <c r="R206" s="194"/>
      <c r="S206" s="98"/>
      <c r="T206" s="182"/>
      <c r="U206" s="182"/>
      <c r="V206" s="98" t="s">
        <v>192</v>
      </c>
      <c r="W206" s="98" t="s">
        <v>1510</v>
      </c>
      <c r="X206" s="98" t="s">
        <v>111</v>
      </c>
      <c r="Y206" s="163" t="str">
        <f ca="1">IF(I206&lt;&gt;"",IF(I206&lt;=TODAY(),IF(OR(N206="REPROGRAMADA",N206="SUSPENDIDA",N206="EXCLUSION",N206="COLEGIADO"),"NO HECHA",IF(N206=" ","SINRESULTADO","SI")),"NO"),IF(N206="EXCLUSION","NO HECHA","LIMBO"))</f>
        <v>NO HECHA</v>
      </c>
      <c r="Z206" s="98" t="str">
        <f>IF($Z$1=I206,"DIASOL", "DIANOSOL")</f>
        <v>DIANOSOL</v>
      </c>
      <c r="AA206" s="98" t="s">
        <v>240</v>
      </c>
      <c r="AB206" s="98" t="s">
        <v>1511</v>
      </c>
      <c r="AC206" s="185" t="str">
        <f>IF(H206=$M$1,"SI","NO")</f>
        <v>NO</v>
      </c>
      <c r="AD206" s="185"/>
      <c r="AE206" s="184">
        <v>45153</v>
      </c>
      <c r="AF206" s="182"/>
      <c r="AG206" s="182" t="str">
        <f>IF(COUNTIF(C206,"*preso*")&gt;0,"SI","NO")</f>
        <v>NO</v>
      </c>
      <c r="AH206" s="265">
        <f>NroOrden(N206)</f>
        <v>50</v>
      </c>
      <c r="AI206" s="182"/>
      <c r="AJ206" s="283" t="str">
        <f ca="1">IF(OR(Y206="NO",Y206="LIMBO"),"IMP","NOIMP")</f>
        <v>NOIMP</v>
      </c>
    </row>
    <row r="207" spans="1:36" ht="39.950000000000003" hidden="1" customHeight="1">
      <c r="A207" s="272">
        <v>227</v>
      </c>
      <c r="B207" s="273" t="s">
        <v>1569</v>
      </c>
      <c r="C207" s="274"/>
      <c r="D207" s="272" t="s">
        <v>1570</v>
      </c>
      <c r="E207" s="272" t="s">
        <v>1571</v>
      </c>
      <c r="F207" s="275">
        <v>45146</v>
      </c>
      <c r="G207" s="272" t="s">
        <v>1572</v>
      </c>
      <c r="H207" s="272" t="s">
        <v>1646</v>
      </c>
      <c r="I207" s="273">
        <v>45196</v>
      </c>
      <c r="J207" s="273" t="s">
        <v>396</v>
      </c>
      <c r="K207" s="272" t="s">
        <v>362</v>
      </c>
      <c r="L207" s="218"/>
      <c r="M207" s="273" t="s">
        <v>330</v>
      </c>
      <c r="N207" s="272" t="s">
        <v>357</v>
      </c>
      <c r="O207" s="272" t="s">
        <v>2049</v>
      </c>
      <c r="P207" s="272" t="s">
        <v>2136</v>
      </c>
      <c r="Q207" s="272" t="s">
        <v>111</v>
      </c>
      <c r="R207" s="307"/>
      <c r="S207" s="272"/>
      <c r="T207" s="272"/>
      <c r="U207" s="272"/>
      <c r="V207" s="272" t="s">
        <v>1286</v>
      </c>
      <c r="W207" s="272" t="s">
        <v>1573</v>
      </c>
      <c r="X207" s="272" t="s">
        <v>111</v>
      </c>
      <c r="Y207" s="272" t="str">
        <f ca="1">IF(I207&lt;&gt;"",IF(I207&lt;=TODAY(),IF(OR(N207="REPROGRAMADA",N207="SUSPENDIDA",N207="EXCLUSION",N207="COLEGIADO"),"NO HECHA",IF(N207=" ","SINRESULTADO","SI")),"NO"),IF(N207="EXCLUSION","NO HECHA","LIMBO"))</f>
        <v>SI</v>
      </c>
      <c r="Z207" s="272" t="str">
        <f>IF($Z$1=I207,"DIASOL", "DIANOSOL")</f>
        <v>DIANOSOL</v>
      </c>
      <c r="AA207" s="272" t="s">
        <v>240</v>
      </c>
      <c r="AB207" s="272" t="s">
        <v>1574</v>
      </c>
      <c r="AC207" s="272" t="str">
        <f>IF(H207=$M$1,"SI","NO")</f>
        <v>NO</v>
      </c>
      <c r="AD207" s="272"/>
      <c r="AE207" s="275">
        <v>45142</v>
      </c>
      <c r="AF207" s="272"/>
      <c r="AG207" s="272" t="str">
        <f>IF(COUNTIF(C207,"*preso*")&gt;0,"SI","NO")</f>
        <v>NO</v>
      </c>
      <c r="AH207" s="269">
        <f>NroOrden(N207)</f>
        <v>50</v>
      </c>
      <c r="AI207" s="272"/>
      <c r="AJ207" s="48" t="str">
        <f ca="1">IF(OR(Y207="NO",Y207="LIMBO"),"IMP","NOIMP")</f>
        <v>NOIMP</v>
      </c>
    </row>
    <row r="208" spans="1:36" ht="39.950000000000003" hidden="1" customHeight="1">
      <c r="A208" s="160">
        <v>257</v>
      </c>
      <c r="B208" s="161" t="s">
        <v>1018</v>
      </c>
      <c r="C208" s="211" t="s">
        <v>501</v>
      </c>
      <c r="D208" s="160" t="s">
        <v>1019</v>
      </c>
      <c r="E208" s="160" t="s">
        <v>369</v>
      </c>
      <c r="F208" s="266"/>
      <c r="G208" s="160" t="s">
        <v>1010</v>
      </c>
      <c r="H208" s="160" t="s">
        <v>1643</v>
      </c>
      <c r="I208" s="161">
        <v>45196</v>
      </c>
      <c r="J208" s="161" t="s">
        <v>14</v>
      </c>
      <c r="K208" s="160" t="s">
        <v>363</v>
      </c>
      <c r="L208" s="186" t="s">
        <v>111</v>
      </c>
      <c r="M208" s="161" t="s">
        <v>329</v>
      </c>
      <c r="N208" s="160" t="s">
        <v>356</v>
      </c>
      <c r="O208" s="160" t="s">
        <v>2049</v>
      </c>
      <c r="P208" s="160" t="s">
        <v>1740</v>
      </c>
      <c r="Q208" s="160"/>
      <c r="R208" s="186"/>
      <c r="S208" s="160"/>
      <c r="T208" s="160"/>
      <c r="U208" s="160"/>
      <c r="V208" s="160" t="s">
        <v>182</v>
      </c>
      <c r="W208" s="160" t="s">
        <v>136</v>
      </c>
      <c r="X208" s="160" t="s">
        <v>111</v>
      </c>
      <c r="Y208" s="160" t="str">
        <f ca="1">IF(I208&lt;&gt;"",IF(I208&lt;=TODAY(),IF(OR(N208="REPROGRAMADA",N208="SUSPENDIDA",N208="EXCLUSION",N208="COLEGIADO"),"NO HECHA",IF(N208=" ","SINRESULTADO","SI")),"NO"),IF(N208="EXCLUSION","NO HECHA","LIMBO"))</f>
        <v>SI</v>
      </c>
      <c r="Z208" s="160" t="str">
        <f>IF($Z$1=I208,"DIASOL", "DIANOSOL")</f>
        <v>DIANOSOL</v>
      </c>
      <c r="AA208" s="160" t="s">
        <v>240</v>
      </c>
      <c r="AB208" s="160" t="s">
        <v>1020</v>
      </c>
      <c r="AC208" s="160" t="str">
        <f>IF(H208=$M$1,"SI","NO")</f>
        <v>NO</v>
      </c>
      <c r="AD208" s="160"/>
      <c r="AE208" s="160"/>
      <c r="AF208" s="266">
        <v>45203</v>
      </c>
      <c r="AG208" s="160" t="str">
        <f>IF(COUNTIF(C208,"*preso*")&gt;0,"SI","NO")</f>
        <v>SI</v>
      </c>
      <c r="AH208" s="253">
        <f>NroOrden(N208)</f>
        <v>50</v>
      </c>
      <c r="AI208" s="160" t="s">
        <v>1741</v>
      </c>
      <c r="AJ208" s="48" t="str">
        <f ca="1">IF(OR(Y208="NO",Y208="LIMBO"),"IMP","NOIMP")</f>
        <v>NOIMP</v>
      </c>
    </row>
    <row r="209" spans="1:36" ht="39.950000000000003" hidden="1" customHeight="1">
      <c r="A209" s="160">
        <v>135</v>
      </c>
      <c r="B209" s="161" t="s">
        <v>950</v>
      </c>
      <c r="C209" s="211"/>
      <c r="D209" s="160" t="s">
        <v>1061</v>
      </c>
      <c r="E209" s="160" t="s">
        <v>952</v>
      </c>
      <c r="F209" s="160"/>
      <c r="G209" s="160" t="s">
        <v>953</v>
      </c>
      <c r="H209" s="160" t="s">
        <v>1649</v>
      </c>
      <c r="I209" s="161">
        <v>45196</v>
      </c>
      <c r="J209" s="161" t="s">
        <v>1567</v>
      </c>
      <c r="K209" s="160" t="s">
        <v>362</v>
      </c>
      <c r="L209" s="186"/>
      <c r="M209" s="161" t="s">
        <v>330</v>
      </c>
      <c r="N209" s="160" t="s">
        <v>355</v>
      </c>
      <c r="O209" s="160" t="s">
        <v>2049</v>
      </c>
      <c r="P209" s="160" t="s">
        <v>1882</v>
      </c>
      <c r="Q209" s="160" t="s">
        <v>111</v>
      </c>
      <c r="R209" s="186"/>
      <c r="S209" s="160"/>
      <c r="T209" s="160"/>
      <c r="U209" s="160"/>
      <c r="V209" s="160" t="s">
        <v>193</v>
      </c>
      <c r="W209" s="160" t="s">
        <v>140</v>
      </c>
      <c r="X209" s="160" t="s">
        <v>111</v>
      </c>
      <c r="Y209" s="160" t="str">
        <f ca="1">IF(I209&lt;&gt;"",IF(I209&lt;=TODAY(),IF(OR(N209="REPROGRAMADA",N209="SUSPENDIDA",N209="EXCLUSION",N209="COLEGIADO"),"NO HECHA",IF(N209=" ","SINRESULTADO","SI")),"NO"),IF(N209="EXCLUSION","NO HECHA","LIMBO"))</f>
        <v>SI</v>
      </c>
      <c r="Z209" s="149" t="str">
        <f>IF($Z$1=I209,"DIASOL", "DIANOSOL")</f>
        <v>DIANOSOL</v>
      </c>
      <c r="AA209" s="160" t="s">
        <v>240</v>
      </c>
      <c r="AB209" s="160" t="s">
        <v>955</v>
      </c>
      <c r="AC209" s="151" t="str">
        <f>IF(H209=$M$1,"SI","NO")</f>
        <v>NO</v>
      </c>
      <c r="AD209" s="151"/>
      <c r="AE209" s="160"/>
      <c r="AF209" s="266">
        <v>45203</v>
      </c>
      <c r="AG209" s="84" t="str">
        <f>IF(COUNTIF(C209,"*preso*")&gt;0,"SI","NO")</f>
        <v>NO</v>
      </c>
      <c r="AH209" s="253">
        <f>NroOrden(N209)</f>
        <v>50</v>
      </c>
      <c r="AI209" s="160"/>
      <c r="AJ209" s="48" t="str">
        <f ca="1">IF(OR(Y209="NO",Y209="LIMBO"),"IMP","NOIMP")</f>
        <v>NOIMP</v>
      </c>
    </row>
    <row r="210" spans="1:36" ht="39.950000000000003" hidden="1" customHeight="1">
      <c r="A210" s="160">
        <v>238</v>
      </c>
      <c r="B210" s="161" t="s">
        <v>1186</v>
      </c>
      <c r="C210" s="211" t="s">
        <v>501</v>
      </c>
      <c r="D210" s="160" t="s">
        <v>1249</v>
      </c>
      <c r="E210" s="160" t="s">
        <v>1250</v>
      </c>
      <c r="F210" s="266">
        <v>45128</v>
      </c>
      <c r="G210" s="160" t="s">
        <v>1187</v>
      </c>
      <c r="H210" s="160" t="s">
        <v>1645</v>
      </c>
      <c r="I210" s="161">
        <v>45198</v>
      </c>
      <c r="J210" s="161" t="s">
        <v>961</v>
      </c>
      <c r="K210" s="160" t="s">
        <v>363</v>
      </c>
      <c r="L210" s="186"/>
      <c r="M210" s="161" t="s">
        <v>328</v>
      </c>
      <c r="N210" s="160" t="s">
        <v>356</v>
      </c>
      <c r="O210" s="160" t="s">
        <v>2049</v>
      </c>
      <c r="P210" s="160" t="s">
        <v>2093</v>
      </c>
      <c r="Q210" s="160" t="s">
        <v>111</v>
      </c>
      <c r="R210" s="186"/>
      <c r="S210" s="160" t="s">
        <v>374</v>
      </c>
      <c r="T210" s="160" t="s">
        <v>1252</v>
      </c>
      <c r="U210" s="160" t="s">
        <v>1253</v>
      </c>
      <c r="V210" s="160" t="s">
        <v>199</v>
      </c>
      <c r="W210" s="160" t="s">
        <v>535</v>
      </c>
      <c r="X210" s="160" t="s">
        <v>111</v>
      </c>
      <c r="Y210" s="160" t="str">
        <f ca="1">IF(I210&lt;&gt;"",IF(I210&lt;=TODAY(),IF(OR(N210="REPROGRAMADA",N210="SUSPENDIDA",N210="EXCLUSION",N210="COLEGIADO"),"NO HECHA",IF(N210=" ","SINRESULTADO","SI")),"NO"),IF(N210="EXCLUSION","NO HECHA","LIMBO"))</f>
        <v>SI</v>
      </c>
      <c r="Z210" s="160" t="str">
        <f>IF($Z$1=I210,"DIASOL", "DIANOSOL")</f>
        <v>DIANOSOL</v>
      </c>
      <c r="AA210" s="160" t="s">
        <v>240</v>
      </c>
      <c r="AB210" s="160" t="s">
        <v>1251</v>
      </c>
      <c r="AC210" s="160" t="str">
        <f>IF(H210=$M$1,"SI","NO")</f>
        <v>NO</v>
      </c>
      <c r="AD210" s="160"/>
      <c r="AE210" s="160"/>
      <c r="AF210" s="160"/>
      <c r="AG210" s="160" t="str">
        <f>IF(COUNTIF(C210,"*preso*")&gt;0,"SI","NO")</f>
        <v>SI</v>
      </c>
      <c r="AH210" s="264">
        <f>NroOrden(N210)</f>
        <v>50</v>
      </c>
      <c r="AI210" s="160" t="s">
        <v>1639</v>
      </c>
      <c r="AJ210" s="48" t="str">
        <f ca="1">IF(OR(Y210="NO",Y210="LIMBO"),"IMP","NOIMP")</f>
        <v>NOIMP</v>
      </c>
    </row>
    <row r="211" spans="1:36" ht="114.75" hidden="1" customHeight="1">
      <c r="A211" s="160">
        <v>335</v>
      </c>
      <c r="B211" s="161" t="s">
        <v>1186</v>
      </c>
      <c r="C211" s="211" t="s">
        <v>501</v>
      </c>
      <c r="D211" s="160" t="s">
        <v>1249</v>
      </c>
      <c r="E211" s="160" t="s">
        <v>1250</v>
      </c>
      <c r="F211" s="160">
        <v>45128</v>
      </c>
      <c r="G211" s="160" t="s">
        <v>1187</v>
      </c>
      <c r="H211" s="160" t="s">
        <v>1645</v>
      </c>
      <c r="I211" s="161">
        <v>45198</v>
      </c>
      <c r="J211" s="161" t="s">
        <v>961</v>
      </c>
      <c r="K211" s="160" t="s">
        <v>364</v>
      </c>
      <c r="L211" s="186"/>
      <c r="M211" s="161" t="s">
        <v>328</v>
      </c>
      <c r="N211" s="160" t="s">
        <v>359</v>
      </c>
      <c r="O211" s="160" t="s">
        <v>2049</v>
      </c>
      <c r="P211" s="160" t="s">
        <v>2094</v>
      </c>
      <c r="Q211" s="160" t="s">
        <v>240</v>
      </c>
      <c r="R211" s="186"/>
      <c r="S211" s="160" t="s">
        <v>374</v>
      </c>
      <c r="T211" s="160" t="s">
        <v>1252</v>
      </c>
      <c r="U211" s="160" t="s">
        <v>1253</v>
      </c>
      <c r="V211" s="160" t="s">
        <v>199</v>
      </c>
      <c r="W211" s="160" t="s">
        <v>535</v>
      </c>
      <c r="X211" s="160" t="s">
        <v>111</v>
      </c>
      <c r="Y211" s="160" t="str">
        <f ca="1">IF(I211&lt;&gt;"",IF(I211&lt;=TODAY(),IF(OR(N211="REPROGRAMADA",N211="SUSPENDIDA",N211="EXCLUSION",N211="COLEGIADO"),"NO HECHA",IF(N211=" ","SINRESULTADO","SI")),"NO"),IF(N211="EXCLUSION","NO HECHA","LIMBO"))</f>
        <v>SI</v>
      </c>
      <c r="Z211" s="160" t="str">
        <f>IF($Z$1=I211,"DIASOL", "DIANOSOL")</f>
        <v>DIANOSOL</v>
      </c>
      <c r="AA211" s="160" t="s">
        <v>240</v>
      </c>
      <c r="AB211" s="266"/>
      <c r="AC211" s="160" t="str">
        <f>IF(H211=$M$1,"SI","NO")</f>
        <v>NO</v>
      </c>
      <c r="AD211" s="160"/>
      <c r="AE211" s="160"/>
      <c r="AF211" s="160"/>
      <c r="AG211" s="160" t="str">
        <f>IF(COUNTIF(C211,"*preso*")&gt;0,"SI","NO")</f>
        <v>SI</v>
      </c>
      <c r="AH211" s="264">
        <f>NroOrden(N211)</f>
        <v>50</v>
      </c>
      <c r="AI211" s="160"/>
      <c r="AJ211" s="48" t="str">
        <f ca="1">IF(OR(Y211="NO",Y211="LIMBO"),"IMP","NOIMP")</f>
        <v>NOIMP</v>
      </c>
    </row>
    <row r="212" spans="1:36" ht="39.950000000000003" hidden="1" customHeight="1">
      <c r="A212" s="142">
        <v>182</v>
      </c>
      <c r="B212" s="143" t="s">
        <v>1310</v>
      </c>
      <c r="C212" s="250" t="s">
        <v>501</v>
      </c>
      <c r="D212" s="142" t="s">
        <v>1311</v>
      </c>
      <c r="E212" s="142" t="s">
        <v>1312</v>
      </c>
      <c r="F212" s="284">
        <v>45145</v>
      </c>
      <c r="G212" s="142" t="s">
        <v>1313</v>
      </c>
      <c r="H212" s="142" t="s">
        <v>1646</v>
      </c>
      <c r="I212" s="143">
        <v>45198</v>
      </c>
      <c r="J212" s="143" t="s">
        <v>396</v>
      </c>
      <c r="K212" s="142" t="s">
        <v>365</v>
      </c>
      <c r="L212" s="270"/>
      <c r="M212" s="143" t="s">
        <v>331</v>
      </c>
      <c r="N212" s="142" t="s">
        <v>357</v>
      </c>
      <c r="O212" s="142" t="s">
        <v>2051</v>
      </c>
      <c r="P212" s="142" t="s">
        <v>2196</v>
      </c>
      <c r="Q212" s="142" t="s">
        <v>111</v>
      </c>
      <c r="R212" s="270"/>
      <c r="S212" s="142" t="s">
        <v>374</v>
      </c>
      <c r="T212" s="142" t="s">
        <v>1315</v>
      </c>
      <c r="U212" s="142" t="s">
        <v>1316</v>
      </c>
      <c r="V212" s="142" t="s">
        <v>1286</v>
      </c>
      <c r="W212" s="142" t="s">
        <v>1264</v>
      </c>
      <c r="X212" s="142" t="s">
        <v>111</v>
      </c>
      <c r="Y212" s="160" t="str">
        <f ca="1">IF(I212&lt;&gt;"",IF(I212&lt;=TODAY(),IF(OR(N212="REPROGRAMADA",N212="SUSPENDIDA",N212="EXCLUSION",N212="COLEGIADO"),"NO HECHA",IF(N212=" ","SINRESULTADO","SI")),"NO"),IF(N212="EXCLUSION","NO HECHA","LIMBO"))</f>
        <v>SI</v>
      </c>
      <c r="Z212" s="154" t="str">
        <f>IF($Z$1=I212,"DIASOL", "DIANOSOL")</f>
        <v>DIANOSOL</v>
      </c>
      <c r="AA212" s="142" t="s">
        <v>1228</v>
      </c>
      <c r="AB212" s="142" t="s">
        <v>1314</v>
      </c>
      <c r="AC212" s="156" t="str">
        <f>IF(H212=$M$1,"SI","NO")</f>
        <v>NO</v>
      </c>
      <c r="AD212" s="156"/>
      <c r="AE212" s="284">
        <v>45141</v>
      </c>
      <c r="AF212" s="142"/>
      <c r="AG212" s="155" t="str">
        <f>IF(COUNTIF(C212,"*preso*")&gt;0,"SI","NO")</f>
        <v>SI</v>
      </c>
      <c r="AH212" s="253">
        <f>NroOrden(N212)</f>
        <v>50</v>
      </c>
      <c r="AI212" s="142"/>
      <c r="AJ212" s="48" t="str">
        <f ca="1">IF(OR(Y212="NO",Y212="LIMBO"),"IMP","NOIMP")</f>
        <v>NOIMP</v>
      </c>
    </row>
    <row r="213" spans="1:36" ht="74.25" hidden="1" customHeight="1">
      <c r="A213" s="160">
        <v>198</v>
      </c>
      <c r="B213" s="161" t="s">
        <v>1404</v>
      </c>
      <c r="C213" s="211"/>
      <c r="D213" s="160" t="s">
        <v>1405</v>
      </c>
      <c r="E213" s="160" t="s">
        <v>1406</v>
      </c>
      <c r="F213" s="266">
        <v>45153</v>
      </c>
      <c r="G213" s="160" t="s">
        <v>1374</v>
      </c>
      <c r="H213" s="160" t="s">
        <v>1642</v>
      </c>
      <c r="I213" s="161">
        <v>45198</v>
      </c>
      <c r="J213" s="161" t="s">
        <v>1567</v>
      </c>
      <c r="K213" s="160" t="s">
        <v>362</v>
      </c>
      <c r="L213" s="186"/>
      <c r="M213" s="161" t="s">
        <v>330</v>
      </c>
      <c r="N213" s="160" t="s">
        <v>355</v>
      </c>
      <c r="O213" s="160" t="s">
        <v>2049</v>
      </c>
      <c r="P213" s="160" t="s">
        <v>2138</v>
      </c>
      <c r="Q213" s="160" t="s">
        <v>111</v>
      </c>
      <c r="R213" s="186"/>
      <c r="S213" s="160"/>
      <c r="T213" s="160"/>
      <c r="U213" s="160"/>
      <c r="V213" s="160" t="s">
        <v>344</v>
      </c>
      <c r="W213" s="160" t="s">
        <v>269</v>
      </c>
      <c r="X213" s="160" t="s">
        <v>111</v>
      </c>
      <c r="Y213" s="160" t="str">
        <f ca="1">IF(I213&lt;&gt;"",IF(I213&lt;=TODAY(),IF(OR(N213="REPROGRAMADA",N213="SUSPENDIDA",N213="EXCLUSION",N213="COLEGIADO"),"NO HECHA",IF(N213=" ","SINRESULTADO","SI")),"NO"),IF(N213="EXCLUSION","NO HECHA","LIMBO"))</f>
        <v>SI</v>
      </c>
      <c r="Z213" s="160" t="str">
        <f>IF($Z$1=I213,"DIASOL", "DIANOSOL")</f>
        <v>DIANOSOL</v>
      </c>
      <c r="AA213" s="160" t="s">
        <v>240</v>
      </c>
      <c r="AB213" s="160" t="s">
        <v>1407</v>
      </c>
      <c r="AC213" s="160" t="str">
        <f>IF(H213=$M$1,"SI","NO")</f>
        <v>NO</v>
      </c>
      <c r="AD213" s="160"/>
      <c r="AE213" s="266">
        <v>45148</v>
      </c>
      <c r="AF213" s="266">
        <v>45208</v>
      </c>
      <c r="AG213" s="160" t="str">
        <f>IF(COUNTIF(C213,"*preso*")&gt;0,"SI","NO")</f>
        <v>NO</v>
      </c>
      <c r="AH213" s="264">
        <f>NroOrden(N213)</f>
        <v>50</v>
      </c>
      <c r="AI213" s="160"/>
      <c r="AJ213" s="48" t="str">
        <f ca="1">IF(OR(Y213="NO",Y213="LIMBO"),"IMP","NOIMP")</f>
        <v>NOIMP</v>
      </c>
    </row>
    <row r="214" spans="1:36" ht="78" hidden="1" customHeight="1">
      <c r="A214" s="142">
        <v>210</v>
      </c>
      <c r="B214" s="143" t="s">
        <v>1469</v>
      </c>
      <c r="C214" s="250" t="s">
        <v>1477</v>
      </c>
      <c r="D214" s="142" t="s">
        <v>1470</v>
      </c>
      <c r="E214" s="142" t="s">
        <v>1471</v>
      </c>
      <c r="F214" s="284">
        <v>45160</v>
      </c>
      <c r="G214" s="142" t="s">
        <v>1453</v>
      </c>
      <c r="H214" s="142" t="s">
        <v>1676</v>
      </c>
      <c r="I214" s="143">
        <v>45198</v>
      </c>
      <c r="J214" s="143" t="s">
        <v>1325</v>
      </c>
      <c r="K214" s="142" t="s">
        <v>1679</v>
      </c>
      <c r="L214" s="270"/>
      <c r="M214" s="143" t="s">
        <v>331</v>
      </c>
      <c r="N214" s="142" t="s">
        <v>357</v>
      </c>
      <c r="O214" s="142" t="s">
        <v>2051</v>
      </c>
      <c r="P214" s="142"/>
      <c r="Q214" s="142" t="s">
        <v>111</v>
      </c>
      <c r="R214" s="270"/>
      <c r="S214" s="142" t="s">
        <v>1418</v>
      </c>
      <c r="T214" s="142" t="s">
        <v>1476</v>
      </c>
      <c r="U214" s="142" t="s">
        <v>1475</v>
      </c>
      <c r="V214" s="142" t="s">
        <v>1472</v>
      </c>
      <c r="W214" s="142" t="s">
        <v>1473</v>
      </c>
      <c r="X214" s="142" t="s">
        <v>111</v>
      </c>
      <c r="Y214" s="142" t="str">
        <f ca="1">IF(I214&lt;&gt;"",IF(I214&lt;=TODAY(),IF(OR(N214="REPROGRAMADA",N214="SUSPENDIDA",N214="EXCLUSION",N214="COLEGIADO"),"NO HECHA",IF(N214=" ","SINRESULTADO","SI")),"NO"),IF(N214="EXCLUSION","NO HECHA","LIMBO"))</f>
        <v>SI</v>
      </c>
      <c r="Z214" s="142" t="str">
        <f>IF($Z$1=I214,"DIASOL", "DIANOSOL")</f>
        <v>DIANOSOL</v>
      </c>
      <c r="AA214" s="142" t="s">
        <v>240</v>
      </c>
      <c r="AB214" s="142" t="s">
        <v>1474</v>
      </c>
      <c r="AC214" s="142" t="str">
        <f>IF(H214=$M$1,"SI","NO")</f>
        <v>NO</v>
      </c>
      <c r="AD214" s="142"/>
      <c r="AE214" s="284">
        <v>45156</v>
      </c>
      <c r="AF214" s="142"/>
      <c r="AG214" s="142" t="str">
        <f>IF(COUNTIF(C214,"*preso*")&gt;0,"SI","NO")</f>
        <v>SI</v>
      </c>
      <c r="AH214" s="269">
        <f>NroOrden(N214)</f>
        <v>50</v>
      </c>
      <c r="AI214" s="142" t="s">
        <v>1820</v>
      </c>
      <c r="AJ214" s="48" t="str">
        <f ca="1">IF(OR(Y214="NO",Y214="LIMBO"),"IMP","NOIMP")</f>
        <v>NOIMP</v>
      </c>
    </row>
    <row r="215" spans="1:36" ht="39.950000000000003" hidden="1" customHeight="1">
      <c r="A215" s="160">
        <v>252</v>
      </c>
      <c r="B215" s="161" t="s">
        <v>1709</v>
      </c>
      <c r="C215" s="211" t="s">
        <v>501</v>
      </c>
      <c r="D215" s="160" t="s">
        <v>1710</v>
      </c>
      <c r="E215" s="160" t="s">
        <v>1711</v>
      </c>
      <c r="F215" s="266">
        <v>45196</v>
      </c>
      <c r="G215" s="160"/>
      <c r="H215" s="160" t="s">
        <v>1645</v>
      </c>
      <c r="I215" s="161">
        <v>45201</v>
      </c>
      <c r="J215" s="161" t="s">
        <v>15</v>
      </c>
      <c r="K215" s="160" t="s">
        <v>362</v>
      </c>
      <c r="L215" s="186" t="s">
        <v>1663</v>
      </c>
      <c r="M215" s="161" t="s">
        <v>328</v>
      </c>
      <c r="N215" s="160" t="s">
        <v>355</v>
      </c>
      <c r="O215" s="160" t="s">
        <v>2049</v>
      </c>
      <c r="P215" s="160" t="s">
        <v>2012</v>
      </c>
      <c r="Q215" s="160"/>
      <c r="R215" s="186"/>
      <c r="S215" s="160"/>
      <c r="T215" s="160"/>
      <c r="U215" s="160"/>
      <c r="V215" s="160" t="s">
        <v>344</v>
      </c>
      <c r="W215" s="160" t="s">
        <v>140</v>
      </c>
      <c r="X215" s="160" t="s">
        <v>111</v>
      </c>
      <c r="Y215" s="160" t="str">
        <f ca="1">IF(I215&lt;&gt;"",IF(I215&lt;=TODAY(),IF(OR(N215="REPROGRAMADA",N215="SUSPENDIDA",N215="EXCLUSION",N215="COLEGIADO"),"NO HECHA",IF(N215=" ","SINRESULTADO","SI")),"NO"),IF(N215="EXCLUSION","NO HECHA","LIMBO"))</f>
        <v>SI</v>
      </c>
      <c r="Z215" s="160" t="str">
        <f>IF($Z$1=I215,"DIASOL", "DIANOSOL")</f>
        <v>DIANOSOL</v>
      </c>
      <c r="AA215" s="160" t="s">
        <v>240</v>
      </c>
      <c r="AB215" s="160" t="s">
        <v>1712</v>
      </c>
      <c r="AC215" s="160" t="str">
        <f>IF(H215=$M$1,"SI","NO")</f>
        <v>NO</v>
      </c>
      <c r="AD215" s="160"/>
      <c r="AE215" s="266">
        <v>45196</v>
      </c>
      <c r="AF215" s="160"/>
      <c r="AG215" s="160" t="str">
        <f>IF(COUNTIF(C215,"*preso*")&gt;0,"SI","NO")</f>
        <v>SI</v>
      </c>
      <c r="AH215" s="264">
        <f>NroOrden(N215)</f>
        <v>50</v>
      </c>
      <c r="AI215" s="160"/>
      <c r="AJ215" s="186" t="str">
        <f ca="1">IF(OR(Y215="NO",Y215="LIMBO"),"IMP","NOIMP")</f>
        <v>NOIMP</v>
      </c>
    </row>
    <row r="216" spans="1:36" ht="61.5" hidden="1" customHeight="1">
      <c r="A216" s="160">
        <v>220</v>
      </c>
      <c r="B216" s="161" t="s">
        <v>1548</v>
      </c>
      <c r="C216" s="211"/>
      <c r="D216" s="160" t="s">
        <v>2174</v>
      </c>
      <c r="E216" s="160" t="s">
        <v>1549</v>
      </c>
      <c r="F216" s="266">
        <v>45168</v>
      </c>
      <c r="G216" s="160" t="s">
        <v>1544</v>
      </c>
      <c r="H216" s="160" t="s">
        <v>1648</v>
      </c>
      <c r="I216" s="161">
        <v>45201</v>
      </c>
      <c r="J216" s="161" t="s">
        <v>1275</v>
      </c>
      <c r="K216" s="160" t="s">
        <v>362</v>
      </c>
      <c r="L216" s="186" t="s">
        <v>1664</v>
      </c>
      <c r="M216" s="161" t="s">
        <v>330</v>
      </c>
      <c r="N216" s="160" t="s">
        <v>355</v>
      </c>
      <c r="O216" s="160" t="s">
        <v>2049</v>
      </c>
      <c r="P216" s="160"/>
      <c r="Q216" s="160" t="s">
        <v>111</v>
      </c>
      <c r="R216" s="186"/>
      <c r="S216" s="160"/>
      <c r="T216" s="160"/>
      <c r="U216" s="160"/>
      <c r="V216" s="160" t="s">
        <v>337</v>
      </c>
      <c r="W216" s="160" t="s">
        <v>116</v>
      </c>
      <c r="X216" s="160" t="s">
        <v>111</v>
      </c>
      <c r="Y216" s="160" t="str">
        <f ca="1">IF(I216&lt;&gt;"",IF(I216&lt;=TODAY(),IF(OR(N216="REPROGRAMADA",N216="SUSPENDIDA",N216="EXCLUSION",N216="COLEGIADO"),"NO HECHA",IF(N216=" ","SINRESULTADO","SI")),"NO"),IF(N216="EXCLUSION","NO HECHA","LIMBO"))</f>
        <v>SI</v>
      </c>
      <c r="Z216" s="160" t="str">
        <f>IF($Z$1=I216,"DIASOL", "DIANOSOL")</f>
        <v>DIANOSOL</v>
      </c>
      <c r="AA216" s="160" t="s">
        <v>240</v>
      </c>
      <c r="AB216" s="160" t="s">
        <v>1550</v>
      </c>
      <c r="AC216" s="160" t="str">
        <f>IF(H216=$M$1,"SI","NO")</f>
        <v>NO</v>
      </c>
      <c r="AD216" s="160"/>
      <c r="AE216" s="266">
        <v>45161</v>
      </c>
      <c r="AF216" s="266">
        <v>45205</v>
      </c>
      <c r="AG216" s="160" t="str">
        <f>IF(COUNTIF(C216,"*preso*")&gt;0,"SI","NO")</f>
        <v>NO</v>
      </c>
      <c r="AH216" s="264">
        <f>NroOrden(N216)</f>
        <v>50</v>
      </c>
      <c r="AI216" s="160"/>
      <c r="AJ216" s="186" t="str">
        <f ca="1">IF(OR(Y216="NO",Y216="LIMBO"),"IMP","NOIMP")</f>
        <v>NOIMP</v>
      </c>
    </row>
    <row r="217" spans="1:36" ht="39.950000000000003" hidden="1" customHeight="1">
      <c r="A217" s="160">
        <v>278</v>
      </c>
      <c r="B217" s="161" t="s">
        <v>1093</v>
      </c>
      <c r="C217" s="211" t="s">
        <v>501</v>
      </c>
      <c r="D217" s="160" t="s">
        <v>1094</v>
      </c>
      <c r="E217" s="160" t="s">
        <v>383</v>
      </c>
      <c r="F217" s="266">
        <v>45114</v>
      </c>
      <c r="G217" s="160" t="s">
        <v>1065</v>
      </c>
      <c r="H217" s="160" t="s">
        <v>1642</v>
      </c>
      <c r="I217" s="161">
        <v>45202</v>
      </c>
      <c r="J217" s="161" t="s">
        <v>1182</v>
      </c>
      <c r="K217" s="160" t="s">
        <v>1679</v>
      </c>
      <c r="L217" s="186" t="s">
        <v>1663</v>
      </c>
      <c r="M217" s="161" t="s">
        <v>332</v>
      </c>
      <c r="N217" s="160" t="s">
        <v>356</v>
      </c>
      <c r="O217" s="160" t="s">
        <v>2049</v>
      </c>
      <c r="P217" s="160" t="s">
        <v>2198</v>
      </c>
      <c r="Q217" s="160"/>
      <c r="R217" s="186"/>
      <c r="S217" s="160" t="s">
        <v>374</v>
      </c>
      <c r="T217" s="160" t="s">
        <v>1095</v>
      </c>
      <c r="U217" s="160" t="s">
        <v>1096</v>
      </c>
      <c r="V217" s="160" t="s">
        <v>100</v>
      </c>
      <c r="W217" s="160" t="s">
        <v>387</v>
      </c>
      <c r="X217" s="160" t="s">
        <v>111</v>
      </c>
      <c r="Y217" s="202" t="str">
        <f ca="1">IF(I217&lt;&gt;"",IF(I217&lt;=TODAY(),IF(OR(N217="REPROGRAMADA",N217="SUSPENDIDA",N217="EXCLUSION",N217="COLEGIADO"),"NO HECHA",IF(N217=" ","SINRESULTADO","SI")),"NO"),IF(N217="EXCLUSION","NO HECHA","LIMBO"))</f>
        <v>SI</v>
      </c>
      <c r="Z217" s="202" t="str">
        <f>IF($Z$1=I217,"DIASOL", "DIANOSOL")</f>
        <v>DIANOSOL</v>
      </c>
      <c r="AA217" s="160" t="s">
        <v>894</v>
      </c>
      <c r="AB217" s="160" t="s">
        <v>1762</v>
      </c>
      <c r="AC217" s="202" t="str">
        <f>IF(H217=$M$1,"SI","NO")</f>
        <v>NO</v>
      </c>
      <c r="AD217" s="202"/>
      <c r="AE217" s="266">
        <v>45114</v>
      </c>
      <c r="AF217" s="266">
        <v>45209</v>
      </c>
      <c r="AG217" s="202" t="str">
        <f>IF(COUNTIF(C217,"*preso*")&gt;0,"SI","NO")</f>
        <v>SI</v>
      </c>
      <c r="AH217" s="253">
        <f>NroOrden(N217)</f>
        <v>50</v>
      </c>
      <c r="AI217" s="160"/>
      <c r="AJ217" s="48" t="str">
        <f ca="1">IF(OR(Y217="NO",Y217="LIMBO"),"IMP","NOIMP")</f>
        <v>NOIMP</v>
      </c>
    </row>
    <row r="218" spans="1:36" ht="39.950000000000003" hidden="1" customHeight="1">
      <c r="A218" s="160">
        <v>241</v>
      </c>
      <c r="B218" s="161" t="s">
        <v>1518</v>
      </c>
      <c r="C218" s="211"/>
      <c r="D218" s="160" t="s">
        <v>1012</v>
      </c>
      <c r="E218" s="160" t="s">
        <v>1013</v>
      </c>
      <c r="F218" s="266">
        <v>45110</v>
      </c>
      <c r="G218" s="160" t="s">
        <v>1010</v>
      </c>
      <c r="H218" s="160" t="s">
        <v>1649</v>
      </c>
      <c r="I218" s="161">
        <v>45202</v>
      </c>
      <c r="J218" s="161" t="s">
        <v>1422</v>
      </c>
      <c r="K218" s="160" t="s">
        <v>365</v>
      </c>
      <c r="L218" s="186" t="s">
        <v>1664</v>
      </c>
      <c r="M218" s="161" t="s">
        <v>332</v>
      </c>
      <c r="N218" s="160" t="s">
        <v>355</v>
      </c>
      <c r="O218" s="160" t="s">
        <v>2049</v>
      </c>
      <c r="P218" s="160" t="s">
        <v>2199</v>
      </c>
      <c r="Q218" s="160"/>
      <c r="R218" s="160"/>
      <c r="S218" s="160"/>
      <c r="T218" s="160"/>
      <c r="U218" s="160"/>
      <c r="V218" s="160" t="s">
        <v>182</v>
      </c>
      <c r="W218" s="160" t="s">
        <v>116</v>
      </c>
      <c r="X218" s="160" t="s">
        <v>111</v>
      </c>
      <c r="Y218" s="197" t="str">
        <f ca="1">IF(I218&lt;&gt;"",IF(I218&lt;=TODAY(),IF(OR(N218="REPROGRAMADA",N218="SUSPENDIDA",N218="EXCLUSION",N218="COLEGIADO"),"NO HECHA",IF(N218=" ","SINRESULTADO","SI")),"NO"),IF(N218="EXCLUSION","NO HECHA","LIMBO"))</f>
        <v>SI</v>
      </c>
      <c r="Z218" s="197" t="str">
        <f>IF($Z$1=I218,"DIASOL", "DIANOSOL")</f>
        <v>DIANOSOL</v>
      </c>
      <c r="AA218" s="160" t="s">
        <v>240</v>
      </c>
      <c r="AB218" s="160" t="s">
        <v>1014</v>
      </c>
      <c r="AC218" s="197" t="str">
        <f>IF(H218=$M$1,"SI","NO")</f>
        <v>NO</v>
      </c>
      <c r="AD218" s="197"/>
      <c r="AE218" s="266">
        <v>45107</v>
      </c>
      <c r="AF218" s="266">
        <v>45205</v>
      </c>
      <c r="AG218" s="197" t="str">
        <f>IF(COUNTIF(C218,"*preso*")&gt;0,"SI","NO")</f>
        <v>NO</v>
      </c>
      <c r="AH218" s="253">
        <f>NroOrden(N218)</f>
        <v>50</v>
      </c>
      <c r="AI218" s="160" t="s">
        <v>1669</v>
      </c>
      <c r="AJ218" s="48" t="str">
        <f ca="1">IF(OR(Y218="NO",Y218="LIMBO"),"IMP","NOIMP")</f>
        <v>NOIMP</v>
      </c>
    </row>
    <row r="219" spans="1:36" ht="39.950000000000003" hidden="1" customHeight="1">
      <c r="A219" s="160">
        <v>178</v>
      </c>
      <c r="B219" s="161" t="s">
        <v>1323</v>
      </c>
      <c r="C219" s="211"/>
      <c r="D219" s="160" t="s">
        <v>1277</v>
      </c>
      <c r="E219" s="160" t="s">
        <v>1278</v>
      </c>
      <c r="F219" s="266">
        <v>45147</v>
      </c>
      <c r="G219" s="160" t="s">
        <v>1279</v>
      </c>
      <c r="H219" s="160" t="s">
        <v>1645</v>
      </c>
      <c r="I219" s="161">
        <v>45203</v>
      </c>
      <c r="J219" s="161" t="s">
        <v>1422</v>
      </c>
      <c r="K219" s="160" t="s">
        <v>1675</v>
      </c>
      <c r="L219" s="186" t="s">
        <v>1663</v>
      </c>
      <c r="M219" s="161" t="s">
        <v>333</v>
      </c>
      <c r="N219" s="160" t="s">
        <v>355</v>
      </c>
      <c r="O219" s="160" t="s">
        <v>2049</v>
      </c>
      <c r="P219" s="160" t="s">
        <v>2200</v>
      </c>
      <c r="Q219" s="160" t="s">
        <v>111</v>
      </c>
      <c r="R219" s="160"/>
      <c r="S219" s="160"/>
      <c r="T219" s="160"/>
      <c r="U219" s="160"/>
      <c r="V219" s="160" t="s">
        <v>1280</v>
      </c>
      <c r="W219" s="160" t="s">
        <v>134</v>
      </c>
      <c r="X219" s="160" t="s">
        <v>605</v>
      </c>
      <c r="Y219" s="160" t="str">
        <f ca="1">IF(I219&lt;&gt;"",IF(I219&lt;=TODAY(),IF(OR(N219="REPROGRAMADA",N219="SUSPENDIDA",N219="EXCLUSION",N219="COLEGIADO"),"NO HECHA",IF(N219=" ","SINRESULTADO","SI")),"NO"),IF(N219="EXCLUSION","NO HECHA","LIMBO"))</f>
        <v>SI</v>
      </c>
      <c r="Z219" s="149" t="str">
        <f>IF($Z$1=I219,"DIASOL", "DIANOSOL")</f>
        <v>DIANOSOL</v>
      </c>
      <c r="AA219" s="160" t="s">
        <v>240</v>
      </c>
      <c r="AB219" s="160" t="s">
        <v>1288</v>
      </c>
      <c r="AC219" s="151" t="str">
        <f>IF(H219=$M$1,"SI","NO")</f>
        <v>NO</v>
      </c>
      <c r="AD219" s="151"/>
      <c r="AE219" s="266">
        <v>45141</v>
      </c>
      <c r="AF219" s="266">
        <v>45208</v>
      </c>
      <c r="AG219" s="84" t="str">
        <f>IF(COUNTIF(C219,"*preso*")&gt;0,"SI","NO")</f>
        <v>NO</v>
      </c>
      <c r="AH219" s="253">
        <f>NroOrden(N219)</f>
        <v>50</v>
      </c>
      <c r="AI219" s="160"/>
      <c r="AJ219" s="48" t="str">
        <f ca="1">IF(OR(Y219="NO",Y219="LIMBO"),"IMP","NOIMP")</f>
        <v>NOIMP</v>
      </c>
    </row>
    <row r="220" spans="1:36" ht="39.950000000000003" hidden="1" customHeight="1">
      <c r="A220" s="186">
        <v>200</v>
      </c>
      <c r="B220" s="187" t="s">
        <v>1408</v>
      </c>
      <c r="C220" s="214"/>
      <c r="D220" s="186" t="s">
        <v>1409</v>
      </c>
      <c r="E220" s="186" t="s">
        <v>1410</v>
      </c>
      <c r="F220" s="225">
        <v>45153</v>
      </c>
      <c r="G220" s="186" t="s">
        <v>1411</v>
      </c>
      <c r="H220" s="186" t="s">
        <v>1647</v>
      </c>
      <c r="I220" s="187">
        <v>45204</v>
      </c>
      <c r="J220" s="187" t="s">
        <v>1422</v>
      </c>
      <c r="K220" s="186" t="s">
        <v>362</v>
      </c>
      <c r="L220" s="186" t="s">
        <v>1664</v>
      </c>
      <c r="M220" s="187" t="s">
        <v>330</v>
      </c>
      <c r="N220" s="186" t="s">
        <v>359</v>
      </c>
      <c r="O220" s="186" t="s">
        <v>2049</v>
      </c>
      <c r="P220" s="186" t="s">
        <v>2177</v>
      </c>
      <c r="Q220" s="186" t="s">
        <v>111</v>
      </c>
      <c r="R220" s="186"/>
      <c r="S220" s="186"/>
      <c r="T220" s="186"/>
      <c r="U220" s="186"/>
      <c r="V220" s="186" t="s">
        <v>189</v>
      </c>
      <c r="W220" s="186" t="s">
        <v>141</v>
      </c>
      <c r="X220" s="186" t="s">
        <v>111</v>
      </c>
      <c r="Y220" s="160" t="str">
        <f ca="1">IF(I220&lt;&gt;"",IF(I220&lt;=TODAY(),IF(OR(N220="REPROGRAMADA",N220="SUSPENDIDA",N220="EXCLUSION",N220="COLEGIADO"),"NO HECHA",IF(N220=" ","SINRESULTADO","SI")),"NO"),IF(N220="EXCLUSION","NO HECHA","LIMBO"))</f>
        <v>SI</v>
      </c>
      <c r="Z220" s="160" t="str">
        <f>IF($Z$1=I220,"DIASOL", "DIANOSOL")</f>
        <v>DIANOSOL</v>
      </c>
      <c r="AA220" s="186" t="s">
        <v>240</v>
      </c>
      <c r="AB220" s="186" t="s">
        <v>1412</v>
      </c>
      <c r="AC220" s="160" t="str">
        <f>IF(H220=$M$1,"SI","NO")</f>
        <v>NO</v>
      </c>
      <c r="AD220" s="160"/>
      <c r="AE220" s="186" t="s">
        <v>1413</v>
      </c>
      <c r="AF220" s="225">
        <v>45211</v>
      </c>
      <c r="AG220" s="160" t="str">
        <f>IF(COUNTIF(C220,"*preso*")&gt;0,"SI","NO")</f>
        <v>NO</v>
      </c>
      <c r="AH220" s="264">
        <f>NroOrden(N220)</f>
        <v>50</v>
      </c>
      <c r="AI220" s="186"/>
      <c r="AJ220" s="186" t="str">
        <f ca="1">IF(OR(Y220="NO",Y220="LIMBO"),"IMP","NOIMP")</f>
        <v>NOIMP</v>
      </c>
    </row>
    <row r="221" spans="1:36" ht="39.950000000000003" hidden="1" customHeight="1">
      <c r="A221" s="160">
        <v>190</v>
      </c>
      <c r="B221" s="161" t="s">
        <v>1371</v>
      </c>
      <c r="C221" s="211"/>
      <c r="D221" s="160" t="s">
        <v>1372</v>
      </c>
      <c r="E221" s="160" t="s">
        <v>1373</v>
      </c>
      <c r="F221" s="266">
        <v>45149</v>
      </c>
      <c r="G221" s="160" t="s">
        <v>1374</v>
      </c>
      <c r="H221" s="160"/>
      <c r="I221" s="161">
        <v>45204</v>
      </c>
      <c r="J221" s="161" t="s">
        <v>961</v>
      </c>
      <c r="K221" s="160" t="s">
        <v>365</v>
      </c>
      <c r="L221" s="186" t="s">
        <v>1663</v>
      </c>
      <c r="M221" s="161" t="s">
        <v>332</v>
      </c>
      <c r="N221" s="160" t="s">
        <v>1392</v>
      </c>
      <c r="O221" s="160" t="s">
        <v>2050</v>
      </c>
      <c r="P221" s="160" t="s">
        <v>2010</v>
      </c>
      <c r="Q221" s="160" t="s">
        <v>111</v>
      </c>
      <c r="R221" s="160"/>
      <c r="S221" s="160"/>
      <c r="T221" s="160"/>
      <c r="U221" s="160"/>
      <c r="V221" s="160" t="s">
        <v>1280</v>
      </c>
      <c r="W221" s="160" t="s">
        <v>116</v>
      </c>
      <c r="X221" s="160" t="s">
        <v>111</v>
      </c>
      <c r="Y221" s="191" t="str">
        <f ca="1">IF(I221&lt;&gt;"",IF(I221&lt;=TODAY(),IF(OR(N221="REPROGRAMADA",N221="SUSPENDIDA",N221="EXCLUSION",N221="COLEGIADO"),"NO HECHA",IF(N221=" ","SINRESULTADO","SI")),"NO"),IF(N221="EXCLUSION","NO HECHA","LIMBO"))</f>
        <v>SI</v>
      </c>
      <c r="Z221" s="142" t="str">
        <f>IF($Z$1=I221,"DIASOL", "DIANOSOL")</f>
        <v>DIANOSOL</v>
      </c>
      <c r="AA221" s="160" t="s">
        <v>240</v>
      </c>
      <c r="AB221" s="285" t="s">
        <v>1375</v>
      </c>
      <c r="AC221" s="142" t="str">
        <f>IF(H221=$M$1,"SI","NO")</f>
        <v>NO</v>
      </c>
      <c r="AD221" s="145"/>
      <c r="AE221" s="266">
        <v>45148</v>
      </c>
      <c r="AF221" s="160" t="s">
        <v>2195</v>
      </c>
      <c r="AG221" s="142" t="str">
        <f>IF(COUNTIF(C221,"*preso*")&gt;0,"SI","NO")</f>
        <v>NO</v>
      </c>
      <c r="AH221" s="253">
        <f>NroOrden(N221)</f>
        <v>50</v>
      </c>
      <c r="AI221" s="160"/>
      <c r="AJ221" s="48" t="str">
        <f ca="1">IF(OR(Y221="NO",Y221="LIMBO"),"IMP","NOIMP")</f>
        <v>NOIMP</v>
      </c>
    </row>
    <row r="222" spans="1:36" ht="57" hidden="1" customHeight="1">
      <c r="A222" s="270">
        <v>149</v>
      </c>
      <c r="B222" s="318" t="s">
        <v>1136</v>
      </c>
      <c r="C222" s="329"/>
      <c r="D222" s="270" t="s">
        <v>1137</v>
      </c>
      <c r="E222" s="270" t="s">
        <v>1138</v>
      </c>
      <c r="F222" s="270"/>
      <c r="G222" s="270" t="s">
        <v>1005</v>
      </c>
      <c r="H222" s="270" t="s">
        <v>1648</v>
      </c>
      <c r="I222" s="318">
        <v>45204</v>
      </c>
      <c r="J222" s="318" t="s">
        <v>396</v>
      </c>
      <c r="K222" s="270" t="s">
        <v>362</v>
      </c>
      <c r="L222" s="270"/>
      <c r="M222" s="318" t="s">
        <v>329</v>
      </c>
      <c r="N222" s="270" t="s">
        <v>357</v>
      </c>
      <c r="O222" s="270" t="s">
        <v>2049</v>
      </c>
      <c r="P222" s="270"/>
      <c r="Q222" s="270" t="s">
        <v>111</v>
      </c>
      <c r="R222" s="270"/>
      <c r="S222" s="270"/>
      <c r="T222" s="270"/>
      <c r="U222" s="270"/>
      <c r="V222" s="270" t="s">
        <v>184</v>
      </c>
      <c r="W222" s="270" t="s">
        <v>169</v>
      </c>
      <c r="X222" s="270" t="s">
        <v>111</v>
      </c>
      <c r="Y222" s="142" t="str">
        <f ca="1">IF(I222&lt;&gt;"",IF(I222&lt;=TODAY(),IF(OR(N222="REPROGRAMADA",N222="SUSPENDIDA",N222="EXCLUSION",N222="COLEGIADO"),"NO HECHA",IF(N222=" ","SINRESULTADO","SI")),"NO"),IF(N222="EXCLUSION","NO HECHA","LIMBO"))</f>
        <v>SI</v>
      </c>
      <c r="Z222" s="142" t="str">
        <f>IF($Z$1=I222,"DIASOL", "DIANOSOL")</f>
        <v>DIANOSOL</v>
      </c>
      <c r="AA222" s="270" t="s">
        <v>240</v>
      </c>
      <c r="AB222" s="270" t="s">
        <v>1139</v>
      </c>
      <c r="AC222" s="142" t="str">
        <f>IF(H222=$M$1,"SI","NO")</f>
        <v>NO</v>
      </c>
      <c r="AD222" s="142"/>
      <c r="AE222" s="333">
        <v>45110</v>
      </c>
      <c r="AF222" s="270"/>
      <c r="AG222" s="142" t="str">
        <f>IF(COUNTIF(C222,"*preso*")&gt;0,"SI","NO")</f>
        <v>NO</v>
      </c>
      <c r="AH222" s="269">
        <f>NroOrden(N222)</f>
        <v>50</v>
      </c>
      <c r="AI222" s="270"/>
      <c r="AJ222" s="270" t="str">
        <f ca="1">IF(OR(Y222="NO",Y222="LIMBO"),"IMP","NOIMP")</f>
        <v>NOIMP</v>
      </c>
    </row>
    <row r="223" spans="1:36" ht="39.950000000000003" hidden="1" customHeight="1">
      <c r="A223" s="160">
        <v>191</v>
      </c>
      <c r="B223" s="161" t="s">
        <v>1376</v>
      </c>
      <c r="C223" s="211"/>
      <c r="D223" s="160" t="s">
        <v>1377</v>
      </c>
      <c r="E223" s="160" t="s">
        <v>1378</v>
      </c>
      <c r="F223" s="266">
        <v>45146</v>
      </c>
      <c r="G223" s="160" t="s">
        <v>1294</v>
      </c>
      <c r="H223" s="160" t="s">
        <v>1642</v>
      </c>
      <c r="I223" s="161">
        <v>45204</v>
      </c>
      <c r="J223" s="161" t="s">
        <v>309</v>
      </c>
      <c r="K223" s="160" t="s">
        <v>362</v>
      </c>
      <c r="L223" s="186"/>
      <c r="M223" s="161" t="s">
        <v>329</v>
      </c>
      <c r="N223" s="160" t="s">
        <v>355</v>
      </c>
      <c r="O223" s="160" t="s">
        <v>2049</v>
      </c>
      <c r="P223" s="160"/>
      <c r="Q223" s="160" t="s">
        <v>111</v>
      </c>
      <c r="R223" s="160"/>
      <c r="S223" s="160"/>
      <c r="T223" s="160"/>
      <c r="U223" s="160"/>
      <c r="V223" s="160" t="s">
        <v>346</v>
      </c>
      <c r="W223" s="160" t="s">
        <v>116</v>
      </c>
      <c r="X223" s="160" t="s">
        <v>111</v>
      </c>
      <c r="Y223" s="160" t="str">
        <f ca="1">IF(I223&lt;&gt;"",IF(I223&lt;=TODAY(),IF(OR(N223="REPROGRAMADA",N223="SUSPENDIDA",N223="EXCLUSION",N223="COLEGIADO"),"NO HECHA",IF(N223=" ","SINRESULTADO","SI")),"NO"),IF(N223="EXCLUSION","NO HECHA","LIMBO"))</f>
        <v>SI</v>
      </c>
      <c r="Z223" s="160" t="str">
        <f>IF($Z$1=I223,"DIASOL", "DIANOSOL")</f>
        <v>DIANOSOL</v>
      </c>
      <c r="AA223" s="160" t="s">
        <v>240</v>
      </c>
      <c r="AB223" s="285" t="s">
        <v>1379</v>
      </c>
      <c r="AC223" s="160" t="str">
        <f>IF(H223=$M$1,"SI","NO")</f>
        <v>NO</v>
      </c>
      <c r="AD223" s="160"/>
      <c r="AE223" s="266">
        <v>45142</v>
      </c>
      <c r="AF223" s="266">
        <v>45209</v>
      </c>
      <c r="AG223" s="160" t="str">
        <f>IF(COUNTIF(C223,"*preso*")&gt;0,"SI","NO")</f>
        <v>NO</v>
      </c>
      <c r="AH223" s="264">
        <f>NroOrden(N223)</f>
        <v>50</v>
      </c>
      <c r="AI223" s="160"/>
      <c r="AJ223" s="186" t="str">
        <f ca="1">IF(OR(Y223="NO",Y223="LIMBO"),"IMP","NOIMP")</f>
        <v>NOIMP</v>
      </c>
    </row>
    <row r="224" spans="1:36" ht="39.950000000000003" hidden="1" customHeight="1">
      <c r="A224" s="160">
        <v>215</v>
      </c>
      <c r="B224" s="161" t="s">
        <v>1497</v>
      </c>
      <c r="C224" s="211"/>
      <c r="D224" s="160" t="s">
        <v>1498</v>
      </c>
      <c r="E224" s="160" t="s">
        <v>1499</v>
      </c>
      <c r="F224" s="266">
        <v>45155</v>
      </c>
      <c r="G224" s="160" t="s">
        <v>1500</v>
      </c>
      <c r="H224" s="160" t="s">
        <v>1644</v>
      </c>
      <c r="I224" s="161">
        <v>45205</v>
      </c>
      <c r="J224" s="161" t="s">
        <v>282</v>
      </c>
      <c r="K224" s="160" t="s">
        <v>364</v>
      </c>
      <c r="L224" s="186" t="s">
        <v>1664</v>
      </c>
      <c r="M224" s="161" t="s">
        <v>329</v>
      </c>
      <c r="N224" s="160" t="s">
        <v>355</v>
      </c>
      <c r="O224" s="160" t="s">
        <v>2049</v>
      </c>
      <c r="P224" s="160"/>
      <c r="Q224" s="160" t="s">
        <v>111</v>
      </c>
      <c r="R224" s="160"/>
      <c r="S224" s="160"/>
      <c r="T224" s="160"/>
      <c r="U224" s="160"/>
      <c r="V224" s="160" t="s">
        <v>345</v>
      </c>
      <c r="W224" s="160" t="s">
        <v>535</v>
      </c>
      <c r="X224" s="160" t="s">
        <v>111</v>
      </c>
      <c r="Y224" s="160" t="str">
        <f ca="1">IF(I224&lt;&gt;"",IF(I224&lt;=TODAY(),IF(OR(N224="REPROGRAMADA",N224="SUSPENDIDA",N224="EXCLUSION",N224="COLEGIADO"),"NO HECHA",IF(N224=" ","SINRESULTADO","SI")),"NO"),IF(N224="EXCLUSION","NO HECHA","LIMBO"))</f>
        <v>SI</v>
      </c>
      <c r="Z224" s="160" t="str">
        <f>IF($Z$1=I224,"DIASOL", "DIANOSOL")</f>
        <v>DIANOSOL</v>
      </c>
      <c r="AA224" s="160" t="s">
        <v>240</v>
      </c>
      <c r="AB224" s="160" t="s">
        <v>1502</v>
      </c>
      <c r="AC224" s="160" t="str">
        <f>IF(H224=$M$1,"SI","NO")</f>
        <v>SI</v>
      </c>
      <c r="AD224" s="160"/>
      <c r="AE224" s="266">
        <v>45154</v>
      </c>
      <c r="AF224" s="266">
        <v>45216</v>
      </c>
      <c r="AG224" s="160" t="str">
        <f>IF(COUNTIF(C224,"*preso*")&gt;0,"SI","NO")</f>
        <v>NO</v>
      </c>
      <c r="AH224" s="264">
        <f>NroOrden(N224)</f>
        <v>50</v>
      </c>
      <c r="AI224" s="160"/>
      <c r="AJ224" s="186" t="str">
        <f ca="1">IF(OR(Y224="NO",Y224="LIMBO"),"IMP","NOIMP")</f>
        <v>NOIMP</v>
      </c>
    </row>
    <row r="225" spans="1:36" ht="72.75" hidden="1" customHeight="1">
      <c r="A225" s="160">
        <v>214</v>
      </c>
      <c r="B225" s="161" t="s">
        <v>1493</v>
      </c>
      <c r="C225" s="211"/>
      <c r="D225" s="160" t="s">
        <v>1494</v>
      </c>
      <c r="E225" s="160" t="s">
        <v>1495</v>
      </c>
      <c r="F225" s="266">
        <v>45154</v>
      </c>
      <c r="G225" s="160" t="s">
        <v>1501</v>
      </c>
      <c r="H225" s="160" t="s">
        <v>1642</v>
      </c>
      <c r="I225" s="161">
        <v>45205</v>
      </c>
      <c r="J225" s="161" t="s">
        <v>1182</v>
      </c>
      <c r="K225" s="160" t="s">
        <v>364</v>
      </c>
      <c r="L225" s="186" t="s">
        <v>1663</v>
      </c>
      <c r="M225" s="161" t="s">
        <v>329</v>
      </c>
      <c r="N225" s="160" t="s">
        <v>359</v>
      </c>
      <c r="O225" s="160" t="s">
        <v>2049</v>
      </c>
      <c r="P225" s="160"/>
      <c r="Q225" s="160" t="s">
        <v>111</v>
      </c>
      <c r="R225" s="160"/>
      <c r="S225" s="160"/>
      <c r="T225" s="160"/>
      <c r="U225" s="160"/>
      <c r="V225" s="160" t="s">
        <v>339</v>
      </c>
      <c r="W225" s="160" t="s">
        <v>1496</v>
      </c>
      <c r="X225" s="160" t="s">
        <v>111</v>
      </c>
      <c r="Y225" s="160" t="str">
        <f ca="1">IF(I225&lt;&gt;"",IF(I225&lt;=TODAY(),IF(OR(N225="REPROGRAMADA",N225="SUSPENDIDA",N225="EXCLUSION",N225="COLEGIADO"),"NO HECHA",IF(N225=" ","SINRESULTADO","SI")),"NO"),IF(N225="EXCLUSION","NO HECHA","LIMBO"))</f>
        <v>SI</v>
      </c>
      <c r="Z225" s="160" t="str">
        <f>IF($Z$1=I225,"DIASOL", "DIANOSOL")</f>
        <v>DIANOSOL</v>
      </c>
      <c r="AA225" s="160" t="s">
        <v>240</v>
      </c>
      <c r="AB225" s="160"/>
      <c r="AC225" s="160" t="str">
        <f>IF(H225=$M$1,"SI","NO")</f>
        <v>NO</v>
      </c>
      <c r="AD225" s="160"/>
      <c r="AE225" s="266">
        <v>45148</v>
      </c>
      <c r="AF225" s="266">
        <v>45216</v>
      </c>
      <c r="AG225" s="160" t="str">
        <f>IF(COUNTIF(C225,"*preso*")&gt;0,"SI","NO")</f>
        <v>NO</v>
      </c>
      <c r="AH225" s="264">
        <f>NroOrden(N225)</f>
        <v>50</v>
      </c>
      <c r="AI225" s="160"/>
      <c r="AJ225" s="186" t="str">
        <f ca="1">IF(OR(Y225="NO",Y225="LIMBO"),"IMP","NOIMP")</f>
        <v>NOIMP</v>
      </c>
    </row>
    <row r="226" spans="1:36" ht="90.75" hidden="1" customHeight="1">
      <c r="A226" s="142">
        <v>219</v>
      </c>
      <c r="B226" s="143" t="s">
        <v>1542</v>
      </c>
      <c r="C226" s="250" t="s">
        <v>1477</v>
      </c>
      <c r="D226" s="142" t="s">
        <v>1543</v>
      </c>
      <c r="E226" s="142" t="s">
        <v>685</v>
      </c>
      <c r="F226" s="284">
        <v>45168</v>
      </c>
      <c r="G226" s="142" t="s">
        <v>1544</v>
      </c>
      <c r="H226" s="142" t="s">
        <v>1643</v>
      </c>
      <c r="I226" s="143">
        <v>45205</v>
      </c>
      <c r="J226" s="143" t="s">
        <v>14</v>
      </c>
      <c r="K226" s="142" t="s">
        <v>364</v>
      </c>
      <c r="L226" s="270"/>
      <c r="M226" s="143" t="s">
        <v>328</v>
      </c>
      <c r="N226" s="142" t="s">
        <v>357</v>
      </c>
      <c r="O226" s="142" t="s">
        <v>2049</v>
      </c>
      <c r="P226" s="142"/>
      <c r="Q226" s="142" t="s">
        <v>111</v>
      </c>
      <c r="R226" s="142"/>
      <c r="S226" s="142" t="s">
        <v>1352</v>
      </c>
      <c r="T226" s="142" t="s">
        <v>1546</v>
      </c>
      <c r="U226" s="142" t="s">
        <v>1547</v>
      </c>
      <c r="V226" s="142" t="s">
        <v>914</v>
      </c>
      <c r="W226" s="142" t="s">
        <v>136</v>
      </c>
      <c r="X226" s="142" t="s">
        <v>111</v>
      </c>
      <c r="Y226" s="142" t="str">
        <f ca="1">IF(I226&lt;&gt;"",IF(I226&lt;=TODAY(),IF(OR(N226="REPROGRAMADA",N226="SUSPENDIDA",N226="EXCLUSION",N226="COLEGIADO"),"NO HECHA",IF(N226=" ","SINRESULTADO","SI")),"NO"),IF(N226="EXCLUSION","NO HECHA","LIMBO"))</f>
        <v>SI</v>
      </c>
      <c r="Z226" s="142" t="str">
        <f>IF($Z$1=I226,"DIASOL", "DIANOSOL")</f>
        <v>DIANOSOL</v>
      </c>
      <c r="AA226" s="142" t="s">
        <v>738</v>
      </c>
      <c r="AB226" s="142" t="s">
        <v>1545</v>
      </c>
      <c r="AC226" s="142" t="str">
        <f>IF(H226=$M$1,"SI","NO")</f>
        <v>NO</v>
      </c>
      <c r="AD226" s="142"/>
      <c r="AE226" s="284">
        <v>45163</v>
      </c>
      <c r="AF226" s="142"/>
      <c r="AG226" s="142" t="str">
        <f>IF(COUNTIF(C226,"*preso*")&gt;0,"SI","NO")</f>
        <v>SI</v>
      </c>
      <c r="AH226" s="269">
        <f>NroOrden(N226)</f>
        <v>50</v>
      </c>
      <c r="AI226" s="142"/>
      <c r="AJ226" s="48" t="str">
        <f ca="1">IF(OR(Y226="NO",Y226="LIMBO"),"IMP","NOIMP")</f>
        <v>NOIMP</v>
      </c>
    </row>
    <row r="227" spans="1:36" ht="39.950000000000003" hidden="1" customHeight="1">
      <c r="A227" s="144">
        <v>156</v>
      </c>
      <c r="B227" s="143" t="s">
        <v>1166</v>
      </c>
      <c r="C227" s="250"/>
      <c r="D227" s="144" t="s">
        <v>1167</v>
      </c>
      <c r="E227" s="142" t="s">
        <v>1168</v>
      </c>
      <c r="F227" s="144"/>
      <c r="G227" s="142" t="s">
        <v>1132</v>
      </c>
      <c r="H227" s="142" t="s">
        <v>1643</v>
      </c>
      <c r="I227" s="267">
        <v>45208</v>
      </c>
      <c r="J227" s="143" t="s">
        <v>2011</v>
      </c>
      <c r="K227" s="144" t="s">
        <v>365</v>
      </c>
      <c r="L227" s="218" t="s">
        <v>1664</v>
      </c>
      <c r="M227" s="143" t="s">
        <v>332</v>
      </c>
      <c r="N227" s="142" t="s">
        <v>357</v>
      </c>
      <c r="O227" s="142" t="s">
        <v>2049</v>
      </c>
      <c r="P227" s="142" t="s">
        <v>2201</v>
      </c>
      <c r="Q227" s="144" t="s">
        <v>111</v>
      </c>
      <c r="R227" s="144"/>
      <c r="S227" s="142"/>
      <c r="T227" s="144"/>
      <c r="U227" s="144"/>
      <c r="V227" s="142" t="s">
        <v>184</v>
      </c>
      <c r="W227" s="142" t="s">
        <v>132</v>
      </c>
      <c r="X227" s="142" t="s">
        <v>111</v>
      </c>
      <c r="Y227" s="160" t="str">
        <f ca="1">IF(I227&lt;&gt;"",IF(I227&lt;=TODAY(),IF(OR(N227="REPROGRAMADA",N227="SUSPENDIDA",N227="EXCLUSION",N227="COLEGIADO"),"NO HECHA",IF(N227=" ","SINRESULTADO","SI")),"NO"),IF(N227="EXCLUSION","NO HECHA","LIMBO"))</f>
        <v>SI</v>
      </c>
      <c r="Z227" s="149" t="str">
        <f>IF($Z$1=I227,"DIASOL", "DIANOSOL")</f>
        <v>DIANOSOL</v>
      </c>
      <c r="AA227" s="142" t="s">
        <v>240</v>
      </c>
      <c r="AB227" s="142" t="s">
        <v>1169</v>
      </c>
      <c r="AC227" s="151" t="str">
        <f>IF(H227=$M$1,"SI","NO")</f>
        <v>NO</v>
      </c>
      <c r="AD227" s="151"/>
      <c r="AE227" s="159">
        <v>45113</v>
      </c>
      <c r="AF227" s="142" t="s">
        <v>2195</v>
      </c>
      <c r="AG227" s="84" t="str">
        <f>IF(COUNTIF(C227,"*preso*")&gt;0,"SI","NO")</f>
        <v>NO</v>
      </c>
      <c r="AH227" s="253">
        <f>NroOrden(N227)</f>
        <v>50</v>
      </c>
      <c r="AI227" s="144"/>
      <c r="AJ227" s="48" t="str">
        <f ca="1">IF(OR(Y227="NO",Y227="LIMBO"),"IMP","NOIMP")</f>
        <v>NOIMP</v>
      </c>
    </row>
    <row r="228" spans="1:36" ht="53.25" hidden="1" customHeight="1">
      <c r="A228" s="142">
        <v>85</v>
      </c>
      <c r="B228" s="143" t="s">
        <v>868</v>
      </c>
      <c r="C228" s="213"/>
      <c r="D228" s="142" t="s">
        <v>869</v>
      </c>
      <c r="E228" s="142" t="s">
        <v>870</v>
      </c>
      <c r="F228" s="284">
        <v>45103</v>
      </c>
      <c r="G228" s="142"/>
      <c r="H228" s="142" t="s">
        <v>1646</v>
      </c>
      <c r="I228" s="143">
        <v>45208</v>
      </c>
      <c r="J228" s="142" t="s">
        <v>282</v>
      </c>
      <c r="K228" s="142" t="s">
        <v>363</v>
      </c>
      <c r="L228" s="270" t="s">
        <v>1663</v>
      </c>
      <c r="M228" s="143" t="s">
        <v>329</v>
      </c>
      <c r="N228" s="142" t="s">
        <v>357</v>
      </c>
      <c r="O228" s="142" t="s">
        <v>2049</v>
      </c>
      <c r="P228" s="142"/>
      <c r="Q228" s="142" t="s">
        <v>111</v>
      </c>
      <c r="R228" s="142"/>
      <c r="S228" s="142"/>
      <c r="T228" s="142"/>
      <c r="U228" s="142"/>
      <c r="V228" s="142" t="s">
        <v>186</v>
      </c>
      <c r="W228" s="142" t="s">
        <v>141</v>
      </c>
      <c r="X228" s="142" t="s">
        <v>111</v>
      </c>
      <c r="Y228" s="142" t="str">
        <f ca="1">IF(I228&lt;&gt;"",IF(I228&lt;=TODAY(),IF(OR(N228="REPROGRAMADA",N228="SUSPENDIDA",N228="EXCLUSION",N228="COLEGIADO"),"NO HECHA",IF(N228=" ","SINRESULTADO","SI")),"NO"),IF(N228="EXCLUSION","NO HECHA","LIMBO"))</f>
        <v>SI</v>
      </c>
      <c r="Z228" s="142" t="str">
        <f>IF($Z$1=I228,"DIASOL", "DIANOSOL")</f>
        <v>DIANOSOL</v>
      </c>
      <c r="AA228" s="142" t="s">
        <v>240</v>
      </c>
      <c r="AB228" s="142" t="s">
        <v>871</v>
      </c>
      <c r="AC228" s="142" t="str">
        <f>IF(H228=$M$1,"SI","NO")</f>
        <v>NO</v>
      </c>
      <c r="AD228" s="142"/>
      <c r="AE228" s="284">
        <v>45089</v>
      </c>
      <c r="AF228" s="142"/>
      <c r="AG228" s="142" t="str">
        <f>IF(COUNTIF(C228,"*preso*")&gt;0,"SI","NO")</f>
        <v>NO</v>
      </c>
      <c r="AH228" s="269">
        <f>NroOrden(N228)</f>
        <v>50</v>
      </c>
      <c r="AI228" s="142"/>
      <c r="AJ228" s="270" t="str">
        <f ca="1">IF(OR(Y228="NO",Y228="LIMBO"),"IMP","NOIMP")</f>
        <v>NOIMP</v>
      </c>
    </row>
    <row r="229" spans="1:36" ht="39.950000000000003" hidden="1" customHeight="1">
      <c r="A229" s="160">
        <v>244</v>
      </c>
      <c r="B229" s="161" t="s">
        <v>711</v>
      </c>
      <c r="C229" s="211"/>
      <c r="D229" s="160" t="s">
        <v>712</v>
      </c>
      <c r="E229" s="160" t="s">
        <v>713</v>
      </c>
      <c r="F229" s="266">
        <v>45090</v>
      </c>
      <c r="G229" s="160" t="s">
        <v>673</v>
      </c>
      <c r="H229" s="160" t="s">
        <v>1646</v>
      </c>
      <c r="I229" s="161">
        <v>45208</v>
      </c>
      <c r="J229" s="161" t="s">
        <v>282</v>
      </c>
      <c r="K229" s="160" t="s">
        <v>364</v>
      </c>
      <c r="L229" s="186" t="s">
        <v>2009</v>
      </c>
      <c r="M229" s="161" t="s">
        <v>330</v>
      </c>
      <c r="N229" s="160" t="s">
        <v>356</v>
      </c>
      <c r="O229" s="160" t="s">
        <v>2049</v>
      </c>
      <c r="P229" s="160"/>
      <c r="Q229" s="160"/>
      <c r="R229" s="160"/>
      <c r="S229" s="160"/>
      <c r="T229" s="160"/>
      <c r="U229" s="160"/>
      <c r="V229" s="160" t="s">
        <v>346</v>
      </c>
      <c r="W229" s="160" t="s">
        <v>119</v>
      </c>
      <c r="X229" s="160" t="s">
        <v>111</v>
      </c>
      <c r="Y229" s="160" t="str">
        <f ca="1">IF(I229&lt;&gt;"",IF(I229&lt;=TODAY(),IF(OR(N229="REPROGRAMADA",N229="SUSPENDIDA",N229="EXCLUSION",N229="COLEGIADO"),"NO HECHA",IF(N229=" ","SINRESULTADO","SI")),"NO"),IF(N229="EXCLUSION","NO HECHA","LIMBO"))</f>
        <v>SI</v>
      </c>
      <c r="Z229" s="160" t="str">
        <f>IF($Z$1=I229,"DIASOL", "DIANOSOL")</f>
        <v>DIANOSOL</v>
      </c>
      <c r="AA229" s="160" t="s">
        <v>240</v>
      </c>
      <c r="AB229" s="160" t="s">
        <v>714</v>
      </c>
      <c r="AC229" s="160" t="str">
        <f>IF(H229=$M$1,"SI","NO")</f>
        <v>NO</v>
      </c>
      <c r="AD229" s="160"/>
      <c r="AE229" s="266">
        <v>45079</v>
      </c>
      <c r="AF229" s="160"/>
      <c r="AG229" s="160" t="str">
        <f>IF(COUNTIF(C229,"*preso*")&gt;0,"SI","NO")</f>
        <v>NO</v>
      </c>
      <c r="AH229" s="264">
        <f>NroOrden(N229)</f>
        <v>50</v>
      </c>
      <c r="AI229" s="160"/>
      <c r="AJ229" s="186" t="str">
        <f ca="1">IF(OR(Y229="NO",Y229="LIMBO"),"IMP","NOIMP")</f>
        <v>NOIMP</v>
      </c>
    </row>
    <row r="230" spans="1:36" ht="39.950000000000003" hidden="1" customHeight="1">
      <c r="A230" s="226">
        <v>245</v>
      </c>
      <c r="B230" s="227" t="s">
        <v>910</v>
      </c>
      <c r="C230" s="228"/>
      <c r="D230" s="226" t="s">
        <v>911</v>
      </c>
      <c r="E230" s="226" t="s">
        <v>912</v>
      </c>
      <c r="F230" s="229">
        <v>45104</v>
      </c>
      <c r="G230" s="226"/>
      <c r="H230" s="226" t="s">
        <v>1643</v>
      </c>
      <c r="I230" s="227">
        <v>45208</v>
      </c>
      <c r="J230" s="227" t="s">
        <v>14</v>
      </c>
      <c r="K230" s="226" t="s">
        <v>363</v>
      </c>
      <c r="L230" s="268" t="s">
        <v>1663</v>
      </c>
      <c r="M230" s="227" t="s">
        <v>329</v>
      </c>
      <c r="N230" s="226" t="s">
        <v>354</v>
      </c>
      <c r="O230" s="226" t="s">
        <v>2355</v>
      </c>
      <c r="P230" s="226" t="s">
        <v>2180</v>
      </c>
      <c r="Q230" s="226"/>
      <c r="R230" s="226"/>
      <c r="S230" s="226"/>
      <c r="T230" s="226"/>
      <c r="U230" s="226"/>
      <c r="V230" s="226" t="s">
        <v>194</v>
      </c>
      <c r="W230" s="226" t="s">
        <v>915</v>
      </c>
      <c r="X230" s="226" t="s">
        <v>111</v>
      </c>
      <c r="Y230" s="226" t="str">
        <f ca="1">IF(I230&lt;&gt;"",IF(I230&lt;=TODAY(),IF(OR(N230="REPROGRAMADA",N230="SUSPENDIDA",N230="EXCLUSION",N230="COLEGIADO"),"NO HECHA",IF(N230=" ","SINRESULTADO","SI")),"NO"),IF(N230="EXCLUSION","NO HECHA","LIMBO"))</f>
        <v>NO HECHA</v>
      </c>
      <c r="Z230" s="226" t="str">
        <f>IF($Z$1=I230,"DIASOL", "DIANOSOL")</f>
        <v>DIANOSOL</v>
      </c>
      <c r="AA230" s="226" t="s">
        <v>240</v>
      </c>
      <c r="AB230" s="226" t="s">
        <v>916</v>
      </c>
      <c r="AC230" s="226" t="str">
        <f>IF(H230=$M$1,"SI","NO")</f>
        <v>NO</v>
      </c>
      <c r="AD230" s="226"/>
      <c r="AE230" s="226"/>
      <c r="AF230" s="226"/>
      <c r="AG230" s="226" t="str">
        <f>IF(COUNTIF(C230,"*preso*")&gt;0,"SI","NO")</f>
        <v>NO</v>
      </c>
      <c r="AH230" s="265">
        <f>NroOrden(N230)</f>
        <v>50</v>
      </c>
      <c r="AI230" s="226"/>
      <c r="AJ230" s="283" t="str">
        <f ca="1">IF(OR(Y230="NO",Y230="LIMBO"),"IMP","NOIMP")</f>
        <v>NOIMP</v>
      </c>
    </row>
    <row r="231" spans="1:36" ht="63" hidden="1" customHeight="1">
      <c r="A231" s="160">
        <v>239</v>
      </c>
      <c r="B231" s="161" t="s">
        <v>751</v>
      </c>
      <c r="C231" s="211" t="s">
        <v>501</v>
      </c>
      <c r="D231" s="160" t="s">
        <v>752</v>
      </c>
      <c r="E231" s="160" t="s">
        <v>753</v>
      </c>
      <c r="F231" s="266">
        <v>45091</v>
      </c>
      <c r="G231" s="160" t="s">
        <v>1641</v>
      </c>
      <c r="H231" s="160" t="s">
        <v>1645</v>
      </c>
      <c r="I231" s="161">
        <v>45209</v>
      </c>
      <c r="J231" s="161" t="s">
        <v>16</v>
      </c>
      <c r="K231" s="160" t="s">
        <v>364</v>
      </c>
      <c r="L231" s="186" t="s">
        <v>1664</v>
      </c>
      <c r="M231" s="161" t="s">
        <v>330</v>
      </c>
      <c r="N231" s="160" t="s">
        <v>1392</v>
      </c>
      <c r="O231" s="160" t="s">
        <v>2050</v>
      </c>
      <c r="P231" s="160" t="s">
        <v>2139</v>
      </c>
      <c r="Q231" s="160" t="s">
        <v>111</v>
      </c>
      <c r="R231" s="160"/>
      <c r="S231" s="160" t="s">
        <v>374</v>
      </c>
      <c r="T231" s="160" t="s">
        <v>757</v>
      </c>
      <c r="U231" s="160" t="s">
        <v>758</v>
      </c>
      <c r="V231" s="160" t="s">
        <v>347</v>
      </c>
      <c r="W231" s="160" t="s">
        <v>180</v>
      </c>
      <c r="X231" s="160" t="s">
        <v>755</v>
      </c>
      <c r="Y231" s="160" t="str">
        <f ca="1">IF(I231&lt;&gt;"",IF(I231&lt;=TODAY(),IF(OR(N231="REPROGRAMADA",N231="SUSPENDIDA",N231="EXCLUSION",N231="COLEGIADO"),"NO HECHA",IF(N231=" ","SINRESULTADO","SI")),"NO"),IF(N231="EXCLUSION","NO HECHA","LIMBO"))</f>
        <v>SI</v>
      </c>
      <c r="Z231" s="160" t="str">
        <f>IF($Z$1=I231,"DIASOL", "DIANOSOL")</f>
        <v>DIANOSOL</v>
      </c>
      <c r="AA231" s="160" t="s">
        <v>240</v>
      </c>
      <c r="AB231" s="160" t="s">
        <v>756</v>
      </c>
      <c r="AC231" s="160" t="str">
        <f>IF(H231=$M$1,"SI","NO")</f>
        <v>NO</v>
      </c>
      <c r="AD231" s="160"/>
      <c r="AE231" s="160"/>
      <c r="AF231" s="160"/>
      <c r="AG231" s="160" t="str">
        <f>IF(COUNTIF(C231,"*preso*")&gt;0,"SI","NO")</f>
        <v>SI</v>
      </c>
      <c r="AH231" s="264">
        <f>NroOrden(N231)</f>
        <v>50</v>
      </c>
      <c r="AI231" s="160"/>
      <c r="AJ231" s="48" t="str">
        <f ca="1">IF(OR(Y231="NO",Y231="LIMBO"),"IMP","NOIMP")</f>
        <v>NOIMP</v>
      </c>
    </row>
    <row r="232" spans="1:36" ht="39.950000000000003" hidden="1" customHeight="1">
      <c r="A232" s="142">
        <v>74</v>
      </c>
      <c r="B232" s="143" t="s">
        <v>804</v>
      </c>
      <c r="C232" s="213"/>
      <c r="D232" s="142" t="s">
        <v>805</v>
      </c>
      <c r="E232" s="142" t="s">
        <v>806</v>
      </c>
      <c r="F232" s="159">
        <v>45100</v>
      </c>
      <c r="G232" s="142" t="s">
        <v>807</v>
      </c>
      <c r="H232" s="142" t="s">
        <v>1649</v>
      </c>
      <c r="I232" s="143">
        <v>45209</v>
      </c>
      <c r="J232" s="142" t="s">
        <v>1422</v>
      </c>
      <c r="K232" s="144" t="s">
        <v>363</v>
      </c>
      <c r="L232" s="218" t="s">
        <v>1663</v>
      </c>
      <c r="M232" s="143" t="s">
        <v>329</v>
      </c>
      <c r="N232" s="142" t="s">
        <v>357</v>
      </c>
      <c r="O232" s="142" t="s">
        <v>2049</v>
      </c>
      <c r="P232" s="144"/>
      <c r="Q232" s="144" t="s">
        <v>111</v>
      </c>
      <c r="R232" s="144"/>
      <c r="S232" s="142"/>
      <c r="T232" s="144"/>
      <c r="U232" s="144"/>
      <c r="V232" s="142" t="s">
        <v>268</v>
      </c>
      <c r="W232" s="142" t="s">
        <v>141</v>
      </c>
      <c r="X232" s="142" t="s">
        <v>111</v>
      </c>
      <c r="Y232" s="191" t="str">
        <f ca="1">IF(I232&lt;&gt;"",IF(I232&lt;=TODAY(),IF(OR(N232="REPROGRAMADA",N232="SUSPENDIDA",N232="EXCLUSION",N232="COLEGIADO"),"NO HECHA",IF(N232=" ","SINRESULTADO","SI")),"NO"),IF(N232="EXCLUSION","NO HECHA","LIMBO"))</f>
        <v>SI</v>
      </c>
      <c r="Z232" s="142" t="str">
        <f>IF($Z$1=I232,"DIASOL", "DIANOSOL")</f>
        <v>DIANOSOL</v>
      </c>
      <c r="AA232" s="142" t="s">
        <v>624</v>
      </c>
      <c r="AB232" s="142" t="s">
        <v>808</v>
      </c>
      <c r="AC232" s="145" t="str">
        <f>IF(H232=$M$1,"SI","NO")</f>
        <v>NO</v>
      </c>
      <c r="AD232" s="145"/>
      <c r="AE232" s="144"/>
      <c r="AF232" s="144"/>
      <c r="AG232" s="144" t="str">
        <f>IF(COUNTIF(C232,"*preso*")&gt;0,"SI","NO")</f>
        <v>NO</v>
      </c>
      <c r="AH232" s="269">
        <f>NroOrden(N232)</f>
        <v>50</v>
      </c>
      <c r="AI232" s="144"/>
      <c r="AJ232" s="48" t="str">
        <f ca="1">IF(OR(Y232="NO",Y232="LIMBO"),"IMP","NOIMP")</f>
        <v>NOIMP</v>
      </c>
    </row>
    <row r="233" spans="1:36" ht="39.950000000000003" hidden="1" customHeight="1">
      <c r="A233" s="182">
        <v>204</v>
      </c>
      <c r="B233" s="183" t="s">
        <v>922</v>
      </c>
      <c r="C233" s="210"/>
      <c r="D233" s="182" t="s">
        <v>923</v>
      </c>
      <c r="E233" s="182" t="s">
        <v>924</v>
      </c>
      <c r="F233" s="184">
        <v>45104</v>
      </c>
      <c r="G233" s="98"/>
      <c r="H233" s="98" t="s">
        <v>1642</v>
      </c>
      <c r="I233" s="183">
        <v>45210</v>
      </c>
      <c r="J233" s="99" t="s">
        <v>282</v>
      </c>
      <c r="K233" s="182" t="s">
        <v>363</v>
      </c>
      <c r="L233" s="194" t="s">
        <v>1664</v>
      </c>
      <c r="M233" s="99" t="s">
        <v>330</v>
      </c>
      <c r="N233" s="98" t="s">
        <v>354</v>
      </c>
      <c r="O233" s="98" t="s">
        <v>2307</v>
      </c>
      <c r="P233" s="98" t="s">
        <v>2141</v>
      </c>
      <c r="Q233" s="182" t="s">
        <v>111</v>
      </c>
      <c r="R233" s="182"/>
      <c r="S233" s="98"/>
      <c r="T233" s="182"/>
      <c r="U233" s="182"/>
      <c r="V233" s="98" t="s">
        <v>342</v>
      </c>
      <c r="W233" s="98" t="s">
        <v>134</v>
      </c>
      <c r="X233" s="98" t="s">
        <v>111</v>
      </c>
      <c r="Y233" s="160" t="str">
        <f ca="1">IF(I233&lt;&gt;"",IF(I233&lt;=TODAY(),IF(OR(N233="REPROGRAMADA",N233="SUSPENDIDA",N233="EXCLUSION",N233="COLEGIADO"),"NO HECHA",IF(N233=" ","SINRESULTADO","SI")),"NO"),IF(N233="EXCLUSION","NO HECHA","LIMBO"))</f>
        <v>NO HECHA</v>
      </c>
      <c r="Z233" s="149" t="str">
        <f>IF($Z$1=I233,"DIASOL", "DIANOSOL")</f>
        <v>DIANOSOL</v>
      </c>
      <c r="AA233" s="98" t="s">
        <v>240</v>
      </c>
      <c r="AB233" s="98" t="s">
        <v>926</v>
      </c>
      <c r="AC233" s="151" t="str">
        <f>IF(H233=$M$1,"SI","NO")</f>
        <v>NO</v>
      </c>
      <c r="AD233" s="151"/>
      <c r="AE233" s="182"/>
      <c r="AF233" s="182"/>
      <c r="AG233" s="84" t="str">
        <f>IF(COUNTIF(C233,"*preso*")&gt;0,"SI","NO")</f>
        <v>NO</v>
      </c>
      <c r="AH233" s="253">
        <f>NroOrden(N233)</f>
        <v>50</v>
      </c>
      <c r="AI233" s="182" t="s">
        <v>1443</v>
      </c>
      <c r="AJ233" s="48" t="str">
        <f ca="1">IF(OR(Y233="NO",Y233="LIMBO"),"IMP","NOIMP")</f>
        <v>NOIMP</v>
      </c>
    </row>
    <row r="234" spans="1:36" ht="72" hidden="1" customHeight="1">
      <c r="A234" s="272">
        <v>248</v>
      </c>
      <c r="B234" s="273" t="s">
        <v>1690</v>
      </c>
      <c r="C234" s="274" t="s">
        <v>1691</v>
      </c>
      <c r="D234" s="272" t="s">
        <v>1692</v>
      </c>
      <c r="E234" s="272" t="s">
        <v>1298</v>
      </c>
      <c r="F234" s="275">
        <v>45189</v>
      </c>
      <c r="G234" s="272" t="s">
        <v>1696</v>
      </c>
      <c r="H234" s="272" t="s">
        <v>1645</v>
      </c>
      <c r="I234" s="273">
        <v>45210</v>
      </c>
      <c r="J234" s="273" t="s">
        <v>1182</v>
      </c>
      <c r="K234" s="272" t="s">
        <v>363</v>
      </c>
      <c r="L234" s="307" t="s">
        <v>1663</v>
      </c>
      <c r="M234" s="273" t="s">
        <v>330</v>
      </c>
      <c r="N234" s="272" t="s">
        <v>357</v>
      </c>
      <c r="O234" s="272" t="s">
        <v>2049</v>
      </c>
      <c r="P234" s="272"/>
      <c r="Q234" s="272"/>
      <c r="R234" s="272"/>
      <c r="S234" s="272" t="s">
        <v>1693</v>
      </c>
      <c r="T234" s="272" t="s">
        <v>1694</v>
      </c>
      <c r="U234" s="272" t="s">
        <v>1697</v>
      </c>
      <c r="V234" s="272" t="s">
        <v>193</v>
      </c>
      <c r="W234" s="272" t="s">
        <v>535</v>
      </c>
      <c r="X234" s="272" t="s">
        <v>111</v>
      </c>
      <c r="Y234" s="272" t="str">
        <f ca="1">IF(I234&lt;&gt;"",IF(I234&lt;=TODAY(),IF(OR(N234="REPROGRAMADA",N234="SUSPENDIDA",N234="EXCLUSION",N234="COLEGIADO"),"NO HECHA",IF(N234=" ","SINRESULTADO","SI")),"NO"),IF(N234="EXCLUSION","NO HECHA","LIMBO"))</f>
        <v>SI</v>
      </c>
      <c r="Z234" s="272" t="str">
        <f>IF($Z$1=I234,"DIASOL", "DIANOSOL")</f>
        <v>DIANOSOL</v>
      </c>
      <c r="AA234" s="272" t="s">
        <v>240</v>
      </c>
      <c r="AB234" s="272" t="s">
        <v>1695</v>
      </c>
      <c r="AC234" s="272" t="str">
        <f>IF(H234=$M$1,"SI","NO")</f>
        <v>NO</v>
      </c>
      <c r="AD234" s="272"/>
      <c r="AE234" s="275">
        <v>45189</v>
      </c>
      <c r="AF234" s="272"/>
      <c r="AG234" s="272" t="str">
        <f>IF(COUNTIF(C234,"*preso*")&gt;0,"SI","NO")</f>
        <v>SI</v>
      </c>
      <c r="AH234" s="269">
        <f>NroOrden(N234)</f>
        <v>50</v>
      </c>
      <c r="AI234" s="272"/>
      <c r="AJ234" s="48" t="str">
        <f ca="1">IF(OR(Y234="NO",Y234="LIMBO"),"IMP","NOIMP")</f>
        <v>NOIMP</v>
      </c>
    </row>
    <row r="235" spans="1:36" ht="39.950000000000003" hidden="1" customHeight="1">
      <c r="A235" s="226">
        <v>232</v>
      </c>
      <c r="B235" s="227" t="s">
        <v>1602</v>
      </c>
      <c r="C235" s="228" t="s">
        <v>1477</v>
      </c>
      <c r="D235" s="226" t="s">
        <v>1603</v>
      </c>
      <c r="E235" s="226" t="s">
        <v>1604</v>
      </c>
      <c r="F235" s="229">
        <v>45174</v>
      </c>
      <c r="G235" s="226"/>
      <c r="H235" s="226"/>
      <c r="I235" s="227">
        <v>45211</v>
      </c>
      <c r="J235" s="227" t="s">
        <v>282</v>
      </c>
      <c r="K235" s="226" t="s">
        <v>365</v>
      </c>
      <c r="L235" s="194"/>
      <c r="M235" s="227" t="s">
        <v>331</v>
      </c>
      <c r="N235" s="226" t="s">
        <v>354</v>
      </c>
      <c r="O235" s="226" t="s">
        <v>2307</v>
      </c>
      <c r="P235" s="226" t="s">
        <v>2205</v>
      </c>
      <c r="Q235" s="226" t="s">
        <v>111</v>
      </c>
      <c r="R235" s="226"/>
      <c r="S235" s="226" t="s">
        <v>1608</v>
      </c>
      <c r="T235" s="226" t="s">
        <v>1609</v>
      </c>
      <c r="U235" s="226" t="s">
        <v>1610</v>
      </c>
      <c r="V235" s="226" t="s">
        <v>186</v>
      </c>
      <c r="W235" s="226" t="s">
        <v>843</v>
      </c>
      <c r="X235" s="226" t="s">
        <v>111</v>
      </c>
      <c r="Y235" s="226" t="str">
        <f ca="1">IF(I235&lt;&gt;"",IF(I235&lt;=TODAY(),IF(OR(N235="REPROGRAMADA",N235="SUSPENDIDA",N235="EXCLUSION",N235="COLEGIADO"),"NO HECHA",IF(N235=" ","SINRESULTADO","SI")),"NO"),IF(N235="EXCLUSION","NO HECHA","LIMBO"))</f>
        <v>NO HECHA</v>
      </c>
      <c r="Z235" s="226" t="str">
        <f>IF($Z$1=I235,"DIASOL", "DIANOSOL")</f>
        <v>DIANOSOL</v>
      </c>
      <c r="AA235" s="226" t="s">
        <v>738</v>
      </c>
      <c r="AB235" s="226" t="s">
        <v>1607</v>
      </c>
      <c r="AC235" s="226" t="str">
        <f>IF(H235=$M$1,"SI","NO")</f>
        <v>NO</v>
      </c>
      <c r="AD235" s="226"/>
      <c r="AE235" s="229">
        <v>45170</v>
      </c>
      <c r="AF235" s="226" t="s">
        <v>2195</v>
      </c>
      <c r="AG235" s="226" t="str">
        <f>IF(COUNTIF(C235,"*preso*")&gt;0,"SI","NO")</f>
        <v>SI</v>
      </c>
      <c r="AH235" s="253">
        <f>NroOrden(N235)</f>
        <v>50</v>
      </c>
      <c r="AI235" s="226"/>
      <c r="AJ235" s="48" t="str">
        <f ca="1">IF(OR(Y235="NO",Y235="LIMBO"),"IMP","NOIMP")</f>
        <v>NOIMP</v>
      </c>
    </row>
    <row r="236" spans="1:36" ht="39.950000000000003" hidden="1" customHeight="1">
      <c r="A236" s="160">
        <v>336</v>
      </c>
      <c r="B236" s="161" t="s">
        <v>2041</v>
      </c>
      <c r="C236" s="211" t="s">
        <v>501</v>
      </c>
      <c r="D236" s="160" t="s">
        <v>2042</v>
      </c>
      <c r="E236" s="160" t="s">
        <v>2095</v>
      </c>
      <c r="F236" s="160" t="s">
        <v>2096</v>
      </c>
      <c r="G236" s="160" t="s">
        <v>2097</v>
      </c>
      <c r="H236" s="160" t="s">
        <v>1647</v>
      </c>
      <c r="I236" s="161">
        <v>45211</v>
      </c>
      <c r="J236" s="161" t="s">
        <v>1182</v>
      </c>
      <c r="K236" s="160" t="s">
        <v>363</v>
      </c>
      <c r="L236" s="186" t="s">
        <v>1664</v>
      </c>
      <c r="M236" s="161" t="s">
        <v>328</v>
      </c>
      <c r="N236" s="160" t="s">
        <v>356</v>
      </c>
      <c r="O236" s="160" t="s">
        <v>2049</v>
      </c>
      <c r="P236" s="160"/>
      <c r="Q236" s="160" t="s">
        <v>240</v>
      </c>
      <c r="R236" s="160"/>
      <c r="S236" s="160" t="s">
        <v>2098</v>
      </c>
      <c r="T236" s="160" t="s">
        <v>2099</v>
      </c>
      <c r="U236" s="160" t="s">
        <v>2100</v>
      </c>
      <c r="V236" s="160" t="s">
        <v>182</v>
      </c>
      <c r="W236" s="160" t="s">
        <v>1047</v>
      </c>
      <c r="X236" s="160"/>
      <c r="Y236" s="160" t="str">
        <f ca="1">IF(I236&lt;&gt;"",IF(I236&lt;=TODAY(),IF(OR(N236="REPROGRAMADA",N236="SUSPENDIDA",N236="EXCLUSION",N236="COLEGIADO"),"NO HECHA",IF(N236=" ","SINRESULTADO","SI")),"NO"),IF(N236="EXCLUSION","NO HECHA","LIMBO"))</f>
        <v>SI</v>
      </c>
      <c r="Z236" s="160" t="str">
        <f>IF($Z$1=I236,"DIASOL", "DIANOSOL")</f>
        <v>DIANOSOL</v>
      </c>
      <c r="AA236" s="160"/>
      <c r="AB236" s="160"/>
      <c r="AC236" s="160" t="str">
        <f>IF(H236=$M$1,"SI","NO")</f>
        <v>NO</v>
      </c>
      <c r="AD236" s="160"/>
      <c r="AE236" s="266">
        <v>45190</v>
      </c>
      <c r="AF236" s="266">
        <v>45217</v>
      </c>
      <c r="AG236" s="281" t="str">
        <f>IF(COUNTIF(C236,"*preso*")&gt;0,"SI","NO")</f>
        <v>SI</v>
      </c>
      <c r="AH236" s="316">
        <f>NroOrden(N236)</f>
        <v>50</v>
      </c>
      <c r="AI236" s="281"/>
      <c r="AJ236" s="48" t="str">
        <f ca="1">IF(OR(Y236="NO",Y236="LIMBO"),"IMP","NOIMP")</f>
        <v>NOIMP</v>
      </c>
    </row>
    <row r="237" spans="1:36" ht="39.950000000000003" hidden="1" customHeight="1">
      <c r="A237" s="160">
        <v>257</v>
      </c>
      <c r="B237" s="161" t="s">
        <v>1727</v>
      </c>
      <c r="C237" s="211" t="s">
        <v>1728</v>
      </c>
      <c r="D237" s="160" t="s">
        <v>1729</v>
      </c>
      <c r="E237" s="160" t="s">
        <v>1730</v>
      </c>
      <c r="F237" s="266">
        <v>45190</v>
      </c>
      <c r="G237" s="160" t="s">
        <v>1731</v>
      </c>
      <c r="H237" s="160" t="s">
        <v>1648</v>
      </c>
      <c r="I237" s="161">
        <v>45211</v>
      </c>
      <c r="J237" s="161" t="s">
        <v>14</v>
      </c>
      <c r="K237" s="160" t="s">
        <v>362</v>
      </c>
      <c r="L237" s="186" t="s">
        <v>1664</v>
      </c>
      <c r="M237" s="161" t="s">
        <v>328</v>
      </c>
      <c r="N237" s="160" t="s">
        <v>356</v>
      </c>
      <c r="O237" s="160" t="s">
        <v>2049</v>
      </c>
      <c r="P237" s="160"/>
      <c r="Q237" s="160"/>
      <c r="R237" s="160"/>
      <c r="S237" s="160" t="s">
        <v>1693</v>
      </c>
      <c r="T237" s="160" t="s">
        <v>1733</v>
      </c>
      <c r="U237" s="160" t="s">
        <v>1734</v>
      </c>
      <c r="V237" s="160" t="s">
        <v>914</v>
      </c>
      <c r="W237" s="160" t="s">
        <v>202</v>
      </c>
      <c r="X237" s="160" t="s">
        <v>1824</v>
      </c>
      <c r="Y237" s="160" t="str">
        <f ca="1">IF(I237&lt;&gt;"",IF(I237&lt;=TODAY(),IF(OR(N237="REPROGRAMADA",N237="SUSPENDIDA",N237="EXCLUSION",N237="COLEGIADO"),"NO HECHA",IF(N237=" ","SINRESULTADO","SI")),"NO"),IF(N237="EXCLUSION","NO HECHA","LIMBO"))</f>
        <v>SI</v>
      </c>
      <c r="Z237" s="160" t="str">
        <f>IF($Z$1=I237,"DIASOL", "DIANOSOL")</f>
        <v>DIANOSOL</v>
      </c>
      <c r="AA237" s="160" t="s">
        <v>738</v>
      </c>
      <c r="AB237" s="160" t="s">
        <v>1732</v>
      </c>
      <c r="AC237" s="160" t="str">
        <f>IF(H237=$M$1,"SI","NO")</f>
        <v>NO</v>
      </c>
      <c r="AD237" s="160"/>
      <c r="AE237" s="266">
        <v>45190</v>
      </c>
      <c r="AF237" s="160"/>
      <c r="AG237" s="281" t="str">
        <f>IF(COUNTIF(C237,"*preso*")&gt;0,"SI","NO")</f>
        <v>SI</v>
      </c>
      <c r="AH237" s="253">
        <f>NroOrden(N237)</f>
        <v>50</v>
      </c>
      <c r="AI237" s="281"/>
      <c r="AJ237" s="48" t="str">
        <f ca="1">IF(OR(Y237="NO",Y237="LIMBO"),"IMP","NOIMP")</f>
        <v>NOIMP</v>
      </c>
    </row>
    <row r="238" spans="1:36" ht="81.75" hidden="1" customHeight="1">
      <c r="A238" s="272">
        <v>264</v>
      </c>
      <c r="B238" s="273" t="s">
        <v>1763</v>
      </c>
      <c r="C238" s="274"/>
      <c r="D238" s="272" t="s">
        <v>1764</v>
      </c>
      <c r="E238" s="272" t="s">
        <v>1765</v>
      </c>
      <c r="F238" s="275">
        <v>45191</v>
      </c>
      <c r="G238" s="272" t="s">
        <v>1753</v>
      </c>
      <c r="H238" s="272" t="s">
        <v>1643</v>
      </c>
      <c r="I238" s="273">
        <v>45216</v>
      </c>
      <c r="J238" s="273" t="s">
        <v>282</v>
      </c>
      <c r="K238" s="272" t="s">
        <v>1879</v>
      </c>
      <c r="L238" s="307" t="s">
        <v>1663</v>
      </c>
      <c r="M238" s="273" t="s">
        <v>1818</v>
      </c>
      <c r="N238" s="272" t="s">
        <v>355</v>
      </c>
      <c r="O238" s="272" t="s">
        <v>2049</v>
      </c>
      <c r="P238" s="272"/>
      <c r="Q238" s="272"/>
      <c r="R238" s="272"/>
      <c r="S238" s="272"/>
      <c r="T238" s="272"/>
      <c r="U238" s="272"/>
      <c r="V238" s="272" t="s">
        <v>346</v>
      </c>
      <c r="W238" s="272" t="s">
        <v>1766</v>
      </c>
      <c r="X238" s="272" t="s">
        <v>111</v>
      </c>
      <c r="Y238" s="272" t="str">
        <f ca="1">IF(I238&lt;&gt;"",IF(I238&lt;=TODAY(),IF(OR(N238="REPROGRAMADA",N238="SUSPENDIDA",N238="EXCLUSION",N238="COLEGIADO"),"NO HECHA",IF(N238=" ","SINRESULTADO","SI")),"NO"),IF(N238="EXCLUSION","NO HECHA","LIMBO"))</f>
        <v>SI</v>
      </c>
      <c r="Z238" s="272" t="str">
        <f>IF($Z$1=I238,"DIASOL", "DIANOSOL")</f>
        <v>DIANOSOL</v>
      </c>
      <c r="AA238" s="272" t="s">
        <v>240</v>
      </c>
      <c r="AB238" s="272" t="s">
        <v>1767</v>
      </c>
      <c r="AC238" s="272" t="str">
        <f>IF(H238=$M$1,"SI","NO")</f>
        <v>NO</v>
      </c>
      <c r="AD238" s="272"/>
      <c r="AE238" s="275">
        <v>45191</v>
      </c>
      <c r="AF238" s="272"/>
      <c r="AG238" s="272" t="str">
        <f>IF(COUNTIF(C238,"*preso*")&gt;0,"SI","NO")</f>
        <v>NO</v>
      </c>
      <c r="AH238" s="269">
        <f>NroOrden(N238)</f>
        <v>50</v>
      </c>
      <c r="AI238" s="272"/>
      <c r="AJ238" s="48" t="str">
        <f ca="1">IF(OR(Y238="NO",Y238="LIMBO"),"IMP","NOIMP")</f>
        <v>NOIMP</v>
      </c>
    </row>
    <row r="239" spans="1:36" ht="39.950000000000003" hidden="1" customHeight="1">
      <c r="A239" s="277">
        <v>247</v>
      </c>
      <c r="B239" s="278" t="s">
        <v>689</v>
      </c>
      <c r="C239" s="279"/>
      <c r="D239" s="277" t="s">
        <v>690</v>
      </c>
      <c r="E239" s="277" t="s">
        <v>691</v>
      </c>
      <c r="F239" s="280" t="s">
        <v>1531</v>
      </c>
      <c r="G239" s="277" t="s">
        <v>692</v>
      </c>
      <c r="H239" s="277" t="s">
        <v>1644</v>
      </c>
      <c r="I239" s="278">
        <v>45216</v>
      </c>
      <c r="J239" s="278" t="s">
        <v>1182</v>
      </c>
      <c r="K239" s="277" t="s">
        <v>1681</v>
      </c>
      <c r="L239" s="277" t="s">
        <v>2009</v>
      </c>
      <c r="M239" s="278" t="s">
        <v>329</v>
      </c>
      <c r="N239" s="277" t="s">
        <v>357</v>
      </c>
      <c r="O239" s="277" t="s">
        <v>2049</v>
      </c>
      <c r="P239" s="277"/>
      <c r="Q239" s="277"/>
      <c r="R239" s="277"/>
      <c r="S239" s="277"/>
      <c r="T239" s="277"/>
      <c r="U239" s="277"/>
      <c r="V239" s="277" t="s">
        <v>190</v>
      </c>
      <c r="W239" s="277" t="s">
        <v>423</v>
      </c>
      <c r="X239" s="277" t="s">
        <v>111</v>
      </c>
      <c r="Y239" s="277" t="str">
        <f ca="1">IF(I239&lt;&gt;"",IF(I239&lt;=TODAY(),IF(OR(N239="REPROGRAMADA",N239="SUSPENDIDA",N239="EXCLUSION",N239="COLEGIADO"),"NO HECHA",IF(N239=" ","SINRESULTADO","SI")),"NO"),IF(N239="EXCLUSION","NO HECHA","LIMBO"))</f>
        <v>SI</v>
      </c>
      <c r="Z239" s="277" t="str">
        <f>IF($Z$1=I239,"DIASOL", "DIANOSOL")</f>
        <v>DIANOSOL</v>
      </c>
      <c r="AA239" s="277" t="s">
        <v>240</v>
      </c>
      <c r="AB239" s="277" t="s">
        <v>694</v>
      </c>
      <c r="AC239" s="277" t="str">
        <f>IF(H239=$M$1,"SI","NO")</f>
        <v>SI</v>
      </c>
      <c r="AD239" s="277"/>
      <c r="AE239" s="277"/>
      <c r="AF239" s="277"/>
      <c r="AG239" s="277" t="str">
        <f>IF(COUNTIF(C239,"*preso*")&gt;0,"SI","NO")</f>
        <v>NO</v>
      </c>
      <c r="AH239" s="269">
        <f>NroOrden(N239)</f>
        <v>50</v>
      </c>
      <c r="AI239" s="277"/>
      <c r="AJ239" s="48" t="str">
        <f ca="1">IF(OR(Y239="NO",Y239="LIMBO"),"IMP","NOIMP")</f>
        <v>NOIMP</v>
      </c>
    </row>
    <row r="240" spans="1:36" ht="69" hidden="1" customHeight="1">
      <c r="A240" s="272">
        <v>246</v>
      </c>
      <c r="B240" s="273" t="s">
        <v>1459</v>
      </c>
      <c r="C240" s="274" t="s">
        <v>1477</v>
      </c>
      <c r="D240" s="272" t="s">
        <v>1460</v>
      </c>
      <c r="E240" s="272" t="s">
        <v>1461</v>
      </c>
      <c r="F240" s="275">
        <v>45161</v>
      </c>
      <c r="G240" s="272" t="s">
        <v>1462</v>
      </c>
      <c r="H240" s="272" t="s">
        <v>1649</v>
      </c>
      <c r="I240" s="273">
        <v>45216</v>
      </c>
      <c r="J240" s="273" t="s">
        <v>1422</v>
      </c>
      <c r="K240" s="272" t="s">
        <v>1679</v>
      </c>
      <c r="L240" s="272" t="s">
        <v>1664</v>
      </c>
      <c r="M240" s="273" t="s">
        <v>333</v>
      </c>
      <c r="N240" s="272" t="s">
        <v>357</v>
      </c>
      <c r="O240" s="272" t="s">
        <v>2049</v>
      </c>
      <c r="P240" s="272"/>
      <c r="Q240" s="272"/>
      <c r="R240" s="272"/>
      <c r="S240" s="272" t="s">
        <v>1352</v>
      </c>
      <c r="T240" s="272" t="s">
        <v>1467</v>
      </c>
      <c r="U240" s="272" t="s">
        <v>1468</v>
      </c>
      <c r="V240" s="272" t="s">
        <v>1463</v>
      </c>
      <c r="W240" s="272" t="s">
        <v>1464</v>
      </c>
      <c r="X240" s="272" t="s">
        <v>1465</v>
      </c>
      <c r="Y240" s="272" t="str">
        <f ca="1">IF(I240&lt;&gt;"",IF(I240&lt;=TODAY(),IF(OR(N240="REPROGRAMADA",N240="SUSPENDIDA",N240="EXCLUSION",N240="COLEGIADO"),"NO HECHA",IF(N240=" ","SINRESULTADO","SI")),"NO"),IF(N240="EXCLUSION","NO HECHA","LIMBO"))</f>
        <v>SI</v>
      </c>
      <c r="Z240" s="272" t="str">
        <f>IF($Z$1=I240,"DIASOL", "DIANOSOL")</f>
        <v>DIANOSOL</v>
      </c>
      <c r="AA240" s="272" t="s">
        <v>240</v>
      </c>
      <c r="AB240" s="272" t="s">
        <v>1466</v>
      </c>
      <c r="AC240" s="272" t="str">
        <f>IF(H240=$M$1,"SI","NO")</f>
        <v>NO</v>
      </c>
      <c r="AD240" s="272"/>
      <c r="AE240" s="272">
        <v>45155</v>
      </c>
      <c r="AF240" s="272"/>
      <c r="AG240" s="272" t="str">
        <f>IF(COUNTIF(C240,"*preso*")&gt;0,"SI","NO")</f>
        <v>SI</v>
      </c>
      <c r="AH240" s="269">
        <f>NroOrden(N240)</f>
        <v>50</v>
      </c>
      <c r="AI240" s="272"/>
      <c r="AJ240" s="48" t="str">
        <f ca="1">IF(OR(Y240="NO",Y240="LIMBO"),"IMP","NOIMP")</f>
        <v>NOIMP</v>
      </c>
    </row>
    <row r="241" spans="1:36" ht="39.950000000000003" hidden="1" customHeight="1">
      <c r="A241" s="226">
        <v>323</v>
      </c>
      <c r="B241" s="227" t="s">
        <v>2026</v>
      </c>
      <c r="C241" s="228" t="s">
        <v>1477</v>
      </c>
      <c r="D241" s="226" t="s">
        <v>2028</v>
      </c>
      <c r="E241" s="226" t="s">
        <v>2027</v>
      </c>
      <c r="F241" s="229">
        <v>45198</v>
      </c>
      <c r="G241" s="226"/>
      <c r="H241" s="226"/>
      <c r="I241" s="227">
        <v>45216</v>
      </c>
      <c r="J241" s="227" t="s">
        <v>309</v>
      </c>
      <c r="K241" s="226" t="s">
        <v>1950</v>
      </c>
      <c r="L241" s="226" t="s">
        <v>2009</v>
      </c>
      <c r="M241" s="227" t="s">
        <v>2173</v>
      </c>
      <c r="N241" s="226" t="s">
        <v>354</v>
      </c>
      <c r="O241" s="226" t="s">
        <v>2355</v>
      </c>
      <c r="P241" s="226" t="s">
        <v>2175</v>
      </c>
      <c r="Q241" s="226"/>
      <c r="R241" s="226"/>
      <c r="S241" s="226" t="s">
        <v>1693</v>
      </c>
      <c r="T241" s="226" t="s">
        <v>2068</v>
      </c>
      <c r="U241" s="226" t="s">
        <v>2069</v>
      </c>
      <c r="V241" s="226" t="s">
        <v>1286</v>
      </c>
      <c r="W241" s="226"/>
      <c r="X241" s="226"/>
      <c r="Y241" s="226" t="str">
        <f ca="1">IF(I241&lt;&gt;"",IF(I241&lt;=TODAY(),IF(OR(N241="REPROGRAMADA",N241="SUSPENDIDA",N241="EXCLUSION",N241="COLEGIADO"),"NO HECHA",IF(N241=" ","SINRESULTADO","SI")),"NO"),IF(N241="EXCLUSION","NO HECHA","LIMBO"))</f>
        <v>NO HECHA</v>
      </c>
      <c r="Z241" s="226" t="str">
        <f>IF($Z$1=I241,"DIASOL", "DIANOSOL")</f>
        <v>DIANOSOL</v>
      </c>
      <c r="AA241" s="226" t="s">
        <v>738</v>
      </c>
      <c r="AB241" s="226" t="s">
        <v>2030</v>
      </c>
      <c r="AC241" s="226" t="str">
        <f>IF(H241=$M$1,"SI","NO")</f>
        <v>NO</v>
      </c>
      <c r="AD241" s="226"/>
      <c r="AE241" s="226"/>
      <c r="AF241" s="226"/>
      <c r="AG241" s="226" t="str">
        <f>IF(COUNTIF(C241,"*preso*")&gt;0,"SI","NO")</f>
        <v>SI</v>
      </c>
      <c r="AH241" s="265">
        <f>NroOrden(N241)</f>
        <v>50</v>
      </c>
      <c r="AI241" s="226" t="s">
        <v>2194</v>
      </c>
      <c r="AJ241" s="283" t="str">
        <f ca="1">IF(OR(Y241="NO",Y241="LIMBO"),"IMP","NOIMP")</f>
        <v>NOIMP</v>
      </c>
    </row>
    <row r="242" spans="1:36" ht="72" hidden="1" customHeight="1">
      <c r="A242" s="272">
        <v>262</v>
      </c>
      <c r="B242" s="273" t="s">
        <v>1656</v>
      </c>
      <c r="C242" s="274"/>
      <c r="D242" s="272" t="s">
        <v>1507</v>
      </c>
      <c r="E242" s="272" t="s">
        <v>1508</v>
      </c>
      <c r="F242" s="275">
        <v>45162</v>
      </c>
      <c r="G242" s="272" t="s">
        <v>1509</v>
      </c>
      <c r="H242" s="272" t="s">
        <v>1644</v>
      </c>
      <c r="I242" s="273">
        <v>45217</v>
      </c>
      <c r="J242" s="273" t="s">
        <v>282</v>
      </c>
      <c r="K242" s="272" t="s">
        <v>362</v>
      </c>
      <c r="L242" s="272" t="s">
        <v>1664</v>
      </c>
      <c r="M242" s="273" t="s">
        <v>328</v>
      </c>
      <c r="N242" s="272" t="s">
        <v>356</v>
      </c>
      <c r="O242" s="272" t="s">
        <v>2049</v>
      </c>
      <c r="P242" s="272"/>
      <c r="Q242" s="272"/>
      <c r="R242" s="272"/>
      <c r="S242" s="272"/>
      <c r="T242" s="272"/>
      <c r="U242" s="272"/>
      <c r="V242" s="272" t="s">
        <v>192</v>
      </c>
      <c r="W242" s="272" t="s">
        <v>1510</v>
      </c>
      <c r="X242" s="272" t="s">
        <v>111</v>
      </c>
      <c r="Y242" s="272" t="str">
        <f ca="1">IF(I242&lt;&gt;"",IF(I242&lt;=TODAY(),IF(OR(N242="REPROGRAMADA",N242="SUSPENDIDA",N242="EXCLUSION",N242="COLEGIADO"),"NO HECHA",IF(N242=" ","SINRESULTADO","SI")),"NO"),IF(N242="EXCLUSION","NO HECHA","LIMBO"))</f>
        <v>SI</v>
      </c>
      <c r="Z242" s="272" t="str">
        <f>IF($Z$1=I242,"DIASOL", "DIANOSOL")</f>
        <v>DIANOSOL</v>
      </c>
      <c r="AA242" s="272" t="s">
        <v>240</v>
      </c>
      <c r="AB242" s="272" t="s">
        <v>1511</v>
      </c>
      <c r="AC242" s="272" t="str">
        <f>IF(H242=$M$1,"SI","NO")</f>
        <v>SI</v>
      </c>
      <c r="AD242" s="272"/>
      <c r="AE242" s="272">
        <v>45153</v>
      </c>
      <c r="AF242" s="272"/>
      <c r="AG242" s="272" t="str">
        <f>IF(COUNTIF(C242,"*preso*")&gt;0,"SI","NO")</f>
        <v>NO</v>
      </c>
      <c r="AH242" s="269">
        <f>NroOrden(N242)</f>
        <v>50</v>
      </c>
      <c r="AI242" s="272"/>
      <c r="AJ242" s="270" t="str">
        <f ca="1">IF(OR(Y242="NO",Y242="LIMBO"),"IMP","NOIMP")</f>
        <v>NOIMP</v>
      </c>
    </row>
    <row r="243" spans="1:36" ht="39.950000000000003" hidden="1" customHeight="1">
      <c r="A243" s="272">
        <v>263</v>
      </c>
      <c r="B243" s="273" t="s">
        <v>1758</v>
      </c>
      <c r="C243" s="274" t="s">
        <v>501</v>
      </c>
      <c r="D243" s="272" t="s">
        <v>1759</v>
      </c>
      <c r="E243" s="272" t="s">
        <v>1760</v>
      </c>
      <c r="F243" s="275">
        <v>45190</v>
      </c>
      <c r="G243" s="272" t="s">
        <v>1753</v>
      </c>
      <c r="H243" s="272" t="s">
        <v>1647</v>
      </c>
      <c r="I243" s="273">
        <v>45217</v>
      </c>
      <c r="J243" s="273" t="s">
        <v>1046</v>
      </c>
      <c r="K243" s="272" t="s">
        <v>1838</v>
      </c>
      <c r="L243" s="272" t="s">
        <v>1663</v>
      </c>
      <c r="M243" s="273" t="s">
        <v>1761</v>
      </c>
      <c r="N243" s="272" t="s">
        <v>357</v>
      </c>
      <c r="O243" s="272" t="s">
        <v>2049</v>
      </c>
      <c r="P243" s="272"/>
      <c r="Q243" s="272"/>
      <c r="R243" s="272"/>
      <c r="S243" s="272"/>
      <c r="T243" s="272"/>
      <c r="U243" s="272"/>
      <c r="V243" s="272" t="s">
        <v>100</v>
      </c>
      <c r="W243" s="272" t="s">
        <v>117</v>
      </c>
      <c r="X243" s="272" t="s">
        <v>111</v>
      </c>
      <c r="Y243" s="272" t="str">
        <f ca="1">IF(I243&lt;&gt;"",IF(I243&lt;=TODAY(),IF(OR(N243="REPROGRAMADA",N243="SUSPENDIDA",N243="EXCLUSION",N243="COLEGIADO"),"NO HECHA",IF(N243=" ","SINRESULTADO","SI")),"NO"),IF(N243="EXCLUSION","NO HECHA","LIMBO"))</f>
        <v>SI</v>
      </c>
      <c r="Z243" s="272" t="str">
        <f>IF($Z$1=I243,"DIASOL", "DIANOSOL")</f>
        <v>DIANOSOL</v>
      </c>
      <c r="AA243" s="272" t="s">
        <v>240</v>
      </c>
      <c r="AB243" s="272" t="s">
        <v>1762</v>
      </c>
      <c r="AC243" s="272" t="str">
        <f>IF(H243=$M$1,"SI","NO")</f>
        <v>NO</v>
      </c>
      <c r="AD243" s="272"/>
      <c r="AE243" s="275">
        <v>45190</v>
      </c>
      <c r="AF243" s="272"/>
      <c r="AG243" s="272" t="str">
        <f>IF(COUNTIF(C243,"*preso*")&gt;0,"SI","NO")</f>
        <v>SI</v>
      </c>
      <c r="AH243" s="269">
        <f>NroOrden(N243)</f>
        <v>50</v>
      </c>
      <c r="AI243" s="272"/>
      <c r="AJ243" s="270" t="str">
        <f ca="1">IF(OR(Y243="NO",Y243="LIMBO"),"IMP","NOIMP")</f>
        <v>NOIMP</v>
      </c>
    </row>
    <row r="244" spans="1:36" ht="39.950000000000003" hidden="1" customHeight="1">
      <c r="A244" s="144">
        <v>166</v>
      </c>
      <c r="B244" s="143" t="s">
        <v>1206</v>
      </c>
      <c r="C244" s="250"/>
      <c r="D244" s="144" t="s">
        <v>1207</v>
      </c>
      <c r="E244" s="142" t="s">
        <v>1208</v>
      </c>
      <c r="F244" s="159">
        <v>45139</v>
      </c>
      <c r="G244" s="142" t="s">
        <v>1195</v>
      </c>
      <c r="H244" s="142" t="s">
        <v>1643</v>
      </c>
      <c r="I244" s="267">
        <v>45217</v>
      </c>
      <c r="J244" s="267" t="s">
        <v>16</v>
      </c>
      <c r="K244" s="144" t="s">
        <v>362</v>
      </c>
      <c r="L244" s="144" t="s">
        <v>1664</v>
      </c>
      <c r="M244" s="143" t="s">
        <v>330</v>
      </c>
      <c r="N244" s="142" t="s">
        <v>357</v>
      </c>
      <c r="O244" s="142" t="s">
        <v>2049</v>
      </c>
      <c r="P244" s="144"/>
      <c r="Q244" s="144" t="s">
        <v>331</v>
      </c>
      <c r="R244" s="144"/>
      <c r="S244" s="142"/>
      <c r="T244" s="144"/>
      <c r="U244" s="144"/>
      <c r="V244" s="142" t="s">
        <v>342</v>
      </c>
      <c r="W244" s="142" t="s">
        <v>1209</v>
      </c>
      <c r="X244" s="142" t="s">
        <v>111</v>
      </c>
      <c r="Y244" s="191" t="str">
        <f ca="1">IF(I244&lt;&gt;"",IF(I244&lt;=TODAY(),IF(OR(N244="REPROGRAMADA",N244="SUSPENDIDA",N244="EXCLUSION",N244="COLEGIADO"),"NO HECHA",IF(N244=" ","SINRESULTADO","SI")),"NO"),IF(N244="EXCLUSION","NO HECHA","LIMBO"))</f>
        <v>SI</v>
      </c>
      <c r="Z244" s="142" t="str">
        <f>IF($Z$1=I244,"DIASOL", "DIANOSOL")</f>
        <v>DIANOSOL</v>
      </c>
      <c r="AA244" s="142" t="s">
        <v>240</v>
      </c>
      <c r="AB244" s="142" t="s">
        <v>1210</v>
      </c>
      <c r="AC244" s="145" t="str">
        <f>IF(H244=$M$1,"SI","NO")</f>
        <v>NO</v>
      </c>
      <c r="AD244" s="145"/>
      <c r="AE244" s="144"/>
      <c r="AF244" s="144"/>
      <c r="AG244" s="144" t="str">
        <f>IF(COUNTIF(C244,"*preso*")&gt;0,"SI","NO")</f>
        <v>NO</v>
      </c>
      <c r="AH244" s="269">
        <f>NroOrden(N244)</f>
        <v>50</v>
      </c>
      <c r="AI244" s="144"/>
      <c r="AJ244" s="270" t="str">
        <f ca="1">IF(OR(Y244="NO",Y244="LIMBO"),"IMP","NOIMP")</f>
        <v>NOIMP</v>
      </c>
    </row>
    <row r="245" spans="1:36" ht="39.950000000000003" hidden="1" customHeight="1">
      <c r="A245" s="226">
        <v>276</v>
      </c>
      <c r="B245" s="227" t="s">
        <v>1808</v>
      </c>
      <c r="C245" s="228"/>
      <c r="D245" s="226" t="s">
        <v>1809</v>
      </c>
      <c r="E245" s="226" t="s">
        <v>1810</v>
      </c>
      <c r="F245" s="229">
        <v>45194</v>
      </c>
      <c r="G245" s="226"/>
      <c r="H245" s="226"/>
      <c r="I245" s="227">
        <v>45217</v>
      </c>
      <c r="J245" s="227" t="s">
        <v>16</v>
      </c>
      <c r="K245" s="226" t="s">
        <v>1838</v>
      </c>
      <c r="L245" s="226" t="s">
        <v>1663</v>
      </c>
      <c r="M245" s="227" t="s">
        <v>1761</v>
      </c>
      <c r="N245" s="226" t="s">
        <v>354</v>
      </c>
      <c r="O245" s="226" t="s">
        <v>2355</v>
      </c>
      <c r="P245" s="226" t="s">
        <v>2157</v>
      </c>
      <c r="Q245" s="226"/>
      <c r="R245" s="226"/>
      <c r="S245" s="226"/>
      <c r="T245" s="226"/>
      <c r="U245" s="226"/>
      <c r="V245" s="226" t="s">
        <v>193</v>
      </c>
      <c r="W245" s="226" t="s">
        <v>141</v>
      </c>
      <c r="X245" s="226" t="s">
        <v>111</v>
      </c>
      <c r="Y245" s="226" t="str">
        <f ca="1">IF(I245&lt;&gt;"",IF(I245&lt;=TODAY(),IF(OR(N245="REPROGRAMADA",N245="SUSPENDIDA",N245="EXCLUSION",N245="COLEGIADO"),"NO HECHA",IF(N245=" ","SINRESULTADO","SI")),"NO"),IF(N245="EXCLUSION","NO HECHA","LIMBO"))</f>
        <v>NO HECHA</v>
      </c>
      <c r="Z245" s="226" t="str">
        <f>IF($Z$1=I245,"DIASOL", "DIANOSOL")</f>
        <v>DIANOSOL</v>
      </c>
      <c r="AA245" s="226" t="s">
        <v>240</v>
      </c>
      <c r="AB245" s="226" t="s">
        <v>1811</v>
      </c>
      <c r="AC245" s="226" t="str">
        <f>IF(H245=$M$1,"SI","NO")</f>
        <v>NO</v>
      </c>
      <c r="AD245" s="226"/>
      <c r="AE245" s="229">
        <v>45194</v>
      </c>
      <c r="AF245" s="226"/>
      <c r="AG245" s="226" t="str">
        <f>IF(COUNTIF(C245,"*preso*")&gt;0,"SI","NO")</f>
        <v>NO</v>
      </c>
      <c r="AH245" s="265">
        <f>NroOrden(N245)</f>
        <v>50</v>
      </c>
      <c r="AI245" s="226" t="s">
        <v>2124</v>
      </c>
      <c r="AJ245" s="283" t="str">
        <f ca="1">IF(OR(Y245="NO",Y245="LIMBO"),"IMP","NOIMP")</f>
        <v>NOIMP</v>
      </c>
    </row>
    <row r="246" spans="1:36" ht="39.950000000000003" hidden="1" customHeight="1">
      <c r="A246" s="160">
        <v>258</v>
      </c>
      <c r="B246" s="161" t="s">
        <v>1743</v>
      </c>
      <c r="C246" s="211"/>
      <c r="D246" s="160" t="s">
        <v>1744</v>
      </c>
      <c r="E246" s="160" t="s">
        <v>1045</v>
      </c>
      <c r="F246" s="266">
        <v>45166</v>
      </c>
      <c r="G246" s="160" t="s">
        <v>1753</v>
      </c>
      <c r="H246" s="160" t="s">
        <v>1649</v>
      </c>
      <c r="I246" s="161">
        <v>45218</v>
      </c>
      <c r="J246" s="161" t="s">
        <v>1422</v>
      </c>
      <c r="K246" s="160" t="s">
        <v>362</v>
      </c>
      <c r="L246" s="160" t="s">
        <v>2009</v>
      </c>
      <c r="M246" s="161" t="s">
        <v>329</v>
      </c>
      <c r="N246" s="160" t="s">
        <v>355</v>
      </c>
      <c r="O246" s="160" t="s">
        <v>2049</v>
      </c>
      <c r="P246" s="160"/>
      <c r="Q246" s="160"/>
      <c r="R246" s="160"/>
      <c r="S246" s="160"/>
      <c r="T246" s="160"/>
      <c r="U246" s="160"/>
      <c r="V246" s="160" t="s">
        <v>343</v>
      </c>
      <c r="W246" s="160" t="s">
        <v>140</v>
      </c>
      <c r="X246" s="160" t="s">
        <v>111</v>
      </c>
      <c r="Y246" s="160" t="str">
        <f ca="1">IF(I246&lt;&gt;"",IF(I246&lt;=TODAY(),IF(OR(N246="REPROGRAMADA",N246="SUSPENDIDA",N246="EXCLUSION",N246="COLEGIADO"),"NO HECHA",IF(N246=" ","SINRESULTADO","SI")),"NO"),IF(N246="EXCLUSION","NO HECHA","LIMBO"))</f>
        <v>SI</v>
      </c>
      <c r="Z246" s="160" t="str">
        <f>IF($Z$1=I246,"DIASOL", "DIANOSOL")</f>
        <v>DIANOSOL</v>
      </c>
      <c r="AA246" s="160" t="s">
        <v>240</v>
      </c>
      <c r="AB246" s="160" t="s">
        <v>1745</v>
      </c>
      <c r="AC246" s="160" t="str">
        <f>IF(H246=$M$1,"SI","NO")</f>
        <v>NO</v>
      </c>
      <c r="AD246" s="160"/>
      <c r="AE246" s="266">
        <v>45166</v>
      </c>
      <c r="AF246" s="160"/>
      <c r="AG246" s="160" t="str">
        <f>IF(COUNTIF(C246,"*preso*")&gt;0,"SI","NO")</f>
        <v>NO</v>
      </c>
      <c r="AH246" s="264">
        <f>NroOrden(N246)</f>
        <v>50</v>
      </c>
      <c r="AI246" s="160"/>
      <c r="AJ246" s="186" t="str">
        <f ca="1">IF(OR(Y246="NO",Y246="LIMBO"),"IMP","NOIMP")</f>
        <v>NOIMP</v>
      </c>
    </row>
    <row r="247" spans="1:36" ht="150.75" hidden="1" customHeight="1">
      <c r="A247" s="142">
        <v>309</v>
      </c>
      <c r="B247" s="143" t="s">
        <v>1952</v>
      </c>
      <c r="C247" s="250" t="s">
        <v>1477</v>
      </c>
      <c r="D247" s="142" t="s">
        <v>1953</v>
      </c>
      <c r="E247" s="142" t="s">
        <v>1954</v>
      </c>
      <c r="F247" s="284">
        <v>45176</v>
      </c>
      <c r="G247" s="142" t="s">
        <v>1955</v>
      </c>
      <c r="H247" s="142" t="s">
        <v>1645</v>
      </c>
      <c r="I247" s="143">
        <v>45218</v>
      </c>
      <c r="J247" s="143" t="s">
        <v>994</v>
      </c>
      <c r="K247" s="142" t="s">
        <v>362</v>
      </c>
      <c r="L247" s="142" t="s">
        <v>1664</v>
      </c>
      <c r="M247" s="143" t="s">
        <v>329</v>
      </c>
      <c r="N247" s="142" t="s">
        <v>357</v>
      </c>
      <c r="O247" s="142" t="s">
        <v>2049</v>
      </c>
      <c r="P247" s="142" t="s">
        <v>2206</v>
      </c>
      <c r="Q247" s="142"/>
      <c r="R247" s="142"/>
      <c r="S247" s="142" t="s">
        <v>1958</v>
      </c>
      <c r="T247" s="142" t="s">
        <v>1957</v>
      </c>
      <c r="U247" s="142"/>
      <c r="V247" s="142" t="s">
        <v>191</v>
      </c>
      <c r="W247" s="142" t="s">
        <v>169</v>
      </c>
      <c r="X247" s="142" t="s">
        <v>111</v>
      </c>
      <c r="Y247" s="142" t="str">
        <f ca="1">IF(I247&lt;&gt;"",IF(I247&lt;=TODAY(),IF(OR(N247="REPROGRAMADA",N247="SUSPENDIDA",N247="EXCLUSION",N247="COLEGIADO"),"NO HECHA",IF(N247=" ","SINRESULTADO","SI")),"NO"),IF(N247="EXCLUSION","NO HECHA","LIMBO"))</f>
        <v>SI</v>
      </c>
      <c r="Z247" s="142" t="str">
        <f>IF($Z$1=I247,"DIASOL", "DIANOSOL")</f>
        <v>DIANOSOL</v>
      </c>
      <c r="AA247" s="142" t="s">
        <v>240</v>
      </c>
      <c r="AB247" s="142" t="s">
        <v>1956</v>
      </c>
      <c r="AC247" s="142" t="str">
        <f>IF(H247=$M$1,"SI","NO")</f>
        <v>NO</v>
      </c>
      <c r="AD247" s="142"/>
      <c r="AE247" s="284">
        <v>45176</v>
      </c>
      <c r="AF247" s="142"/>
      <c r="AG247" s="142" t="str">
        <f>IF(COUNTIF(C247,"*preso*")&gt;0,"SI","NO")</f>
        <v>SI</v>
      </c>
      <c r="AH247" s="269">
        <f>NroOrden(N247)</f>
        <v>50</v>
      </c>
      <c r="AI247" s="142"/>
      <c r="AJ247" s="270" t="str">
        <f ca="1">IF(OR(Y247="NO",Y247="LIMBO"),"IMP","NOIMP")</f>
        <v>NOIMP</v>
      </c>
    </row>
    <row r="248" spans="1:36" ht="57" hidden="1" customHeight="1">
      <c r="A248" s="142">
        <v>229</v>
      </c>
      <c r="B248" s="143" t="s">
        <v>1582</v>
      </c>
      <c r="C248" s="250"/>
      <c r="D248" s="142" t="s">
        <v>1583</v>
      </c>
      <c r="E248" s="142" t="s">
        <v>1584</v>
      </c>
      <c r="F248" s="284">
        <v>45170</v>
      </c>
      <c r="G248" s="142" t="s">
        <v>1580</v>
      </c>
      <c r="H248" s="142" t="s">
        <v>1646</v>
      </c>
      <c r="I248" s="143">
        <v>45219</v>
      </c>
      <c r="J248" s="143" t="s">
        <v>1182</v>
      </c>
      <c r="K248" s="142" t="s">
        <v>362</v>
      </c>
      <c r="L248" s="142" t="s">
        <v>1663</v>
      </c>
      <c r="M248" s="143" t="s">
        <v>330</v>
      </c>
      <c r="N248" s="142" t="s">
        <v>357</v>
      </c>
      <c r="O248" s="142" t="s">
        <v>2049</v>
      </c>
      <c r="P248" s="142"/>
      <c r="Q248" s="142" t="s">
        <v>111</v>
      </c>
      <c r="R248" s="142"/>
      <c r="S248" s="142"/>
      <c r="T248" s="142"/>
      <c r="U248" s="142"/>
      <c r="V248" s="142" t="s">
        <v>1280</v>
      </c>
      <c r="W248" s="142" t="s">
        <v>1585</v>
      </c>
      <c r="X248" s="142" t="s">
        <v>111</v>
      </c>
      <c r="Y248" s="142" t="str">
        <f ca="1">IF(I248&lt;&gt;"",IF(I248&lt;=TODAY(),IF(OR(N248="REPROGRAMADA",N248="SUSPENDIDA",N248="EXCLUSION",N248="COLEGIADO"),"NO HECHA",IF(N248=" ","SINRESULTADO","SI")),"NO"),IF(N248="EXCLUSION","NO HECHA","LIMBO"))</f>
        <v>SI</v>
      </c>
      <c r="Z248" s="142" t="str">
        <f>IF($Z$1=I248,"DIASOL", "DIANOSOL")</f>
        <v>DIANOSOL</v>
      </c>
      <c r="AA248" s="142" t="s">
        <v>240</v>
      </c>
      <c r="AB248" s="142" t="s">
        <v>1586</v>
      </c>
      <c r="AC248" s="142" t="str">
        <f>IF(H248=$M$1,"SI","NO")</f>
        <v>NO</v>
      </c>
      <c r="AD248" s="142"/>
      <c r="AE248" s="284">
        <v>45167</v>
      </c>
      <c r="AF248" s="142"/>
      <c r="AG248" s="142" t="str">
        <f>IF(COUNTIF(C248,"*preso*")&gt;0,"SI","NO")</f>
        <v>NO</v>
      </c>
      <c r="AH248" s="269">
        <f>NroOrden(N248)</f>
        <v>50</v>
      </c>
      <c r="AI248" s="142"/>
      <c r="AJ248" s="270" t="str">
        <f ca="1">IF(OR(Y248="NO",Y248="LIMBO"),"IMP","NOIMP")</f>
        <v>NOIMP</v>
      </c>
    </row>
    <row r="249" spans="1:36" ht="80.25" hidden="1" customHeight="1">
      <c r="A249" s="160">
        <v>266</v>
      </c>
      <c r="B249" s="161" t="s">
        <v>1772</v>
      </c>
      <c r="C249" s="211"/>
      <c r="D249" s="160" t="s">
        <v>1773</v>
      </c>
      <c r="E249" s="160" t="s">
        <v>1774</v>
      </c>
      <c r="F249" s="266">
        <v>45190</v>
      </c>
      <c r="G249" s="160" t="s">
        <v>1753</v>
      </c>
      <c r="H249" s="160" t="s">
        <v>1645</v>
      </c>
      <c r="I249" s="161">
        <v>45219</v>
      </c>
      <c r="J249" s="161" t="s">
        <v>1877</v>
      </c>
      <c r="K249" s="160" t="s">
        <v>1838</v>
      </c>
      <c r="L249" s="160" t="s">
        <v>1663</v>
      </c>
      <c r="M249" s="161" t="s">
        <v>1818</v>
      </c>
      <c r="N249" s="160" t="s">
        <v>355</v>
      </c>
      <c r="O249" s="160" t="s">
        <v>2049</v>
      </c>
      <c r="P249" s="160"/>
      <c r="Q249" s="160"/>
      <c r="R249" s="160"/>
      <c r="S249" s="160"/>
      <c r="T249" s="160"/>
      <c r="U249" s="160"/>
      <c r="V249" s="160" t="s">
        <v>1280</v>
      </c>
      <c r="W249" s="160" t="s">
        <v>134</v>
      </c>
      <c r="X249" s="160" t="s">
        <v>111</v>
      </c>
      <c r="Y249" s="160" t="str">
        <f ca="1">IF(I249&lt;&gt;"",IF(I249&lt;=TODAY(),IF(OR(N249="REPROGRAMADA",N249="SUSPENDIDA",N249="EXCLUSION",N249="COLEGIADO"),"NO HECHA",IF(N249=" ","SINRESULTADO","SI")),"NO"),IF(N249="EXCLUSION","NO HECHA","LIMBO"))</f>
        <v>SI</v>
      </c>
      <c r="Z249" s="160" t="str">
        <f>IF($Z$1=I249,"DIASOL", "DIANOSOL")</f>
        <v>DIANOSOL</v>
      </c>
      <c r="AA249" s="160" t="s">
        <v>240</v>
      </c>
      <c r="AB249" s="160" t="s">
        <v>1775</v>
      </c>
      <c r="AC249" s="160" t="str">
        <f>IF(H249=$M$1,"SI","NO")</f>
        <v>NO</v>
      </c>
      <c r="AD249" s="160"/>
      <c r="AE249" s="266">
        <v>45190</v>
      </c>
      <c r="AF249" s="160"/>
      <c r="AG249" s="160" t="str">
        <f>IF(COUNTIF(C249,"*preso*")&gt;0,"SI","NO")</f>
        <v>NO</v>
      </c>
      <c r="AH249" s="264">
        <f>NroOrden(N249)</f>
        <v>50</v>
      </c>
      <c r="AI249" s="160"/>
      <c r="AJ249" s="186" t="str">
        <f ca="1">IF(OR(Y249="NO",Y249="LIMBO"),"IMP","NOIMP")</f>
        <v>NOIMP</v>
      </c>
    </row>
    <row r="250" spans="1:36" ht="39.950000000000003" hidden="1" customHeight="1">
      <c r="A250" s="160">
        <v>265</v>
      </c>
      <c r="B250" s="161" t="s">
        <v>1768</v>
      </c>
      <c r="C250" s="211"/>
      <c r="D250" s="160" t="s">
        <v>1769</v>
      </c>
      <c r="E250" s="160" t="s">
        <v>1770</v>
      </c>
      <c r="F250" s="266">
        <v>45190</v>
      </c>
      <c r="G250" s="160" t="s">
        <v>1753</v>
      </c>
      <c r="H250" s="160" t="s">
        <v>1649</v>
      </c>
      <c r="I250" s="161">
        <v>45219</v>
      </c>
      <c r="J250" s="161" t="s">
        <v>961</v>
      </c>
      <c r="K250" s="160" t="s">
        <v>1878</v>
      </c>
      <c r="L250" s="160" t="s">
        <v>1664</v>
      </c>
      <c r="M250" s="161" t="s">
        <v>1816</v>
      </c>
      <c r="N250" s="160" t="s">
        <v>378</v>
      </c>
      <c r="O250" s="160" t="s">
        <v>2049</v>
      </c>
      <c r="P250" s="160"/>
      <c r="Q250" s="160"/>
      <c r="R250" s="160"/>
      <c r="S250" s="160"/>
      <c r="T250" s="160"/>
      <c r="U250" s="160"/>
      <c r="V250" s="160" t="s">
        <v>345</v>
      </c>
      <c r="W250" s="160" t="s">
        <v>535</v>
      </c>
      <c r="X250" s="160" t="s">
        <v>111</v>
      </c>
      <c r="Y250" s="160" t="str">
        <f ca="1">IF(I250&lt;&gt;"",IF(I250&lt;=TODAY(),IF(OR(N250="REPROGRAMADA",N250="SUSPENDIDA",N250="EXCLUSION",N250="COLEGIADO"),"NO HECHA",IF(N250=" ","SINRESULTADO","SI")),"NO"),IF(N250="EXCLUSION","NO HECHA","LIMBO"))</f>
        <v>SI</v>
      </c>
      <c r="Z250" s="160" t="str">
        <f>IF($Z$1=I250,"DIASOL", "DIANOSOL")</f>
        <v>DIANOSOL</v>
      </c>
      <c r="AA250" s="160" t="s">
        <v>240</v>
      </c>
      <c r="AB250" s="160" t="s">
        <v>1771</v>
      </c>
      <c r="AC250" s="160" t="str">
        <f>IF(H250=$M$1,"SI","NO")</f>
        <v>NO</v>
      </c>
      <c r="AD250" s="160"/>
      <c r="AE250" s="266">
        <v>45190</v>
      </c>
      <c r="AF250" s="160"/>
      <c r="AG250" s="160" t="str">
        <f>IF(COUNTIF(C250,"*preso*")&gt;0,"SI","NO")</f>
        <v>NO</v>
      </c>
      <c r="AH250" s="264">
        <f>NroOrden(N250)</f>
        <v>50</v>
      </c>
      <c r="AI250" s="160"/>
      <c r="AJ250" s="186" t="str">
        <f ca="1">IF(OR(Y250="NO",Y250="LIMBO"),"IMP","NOIMP")</f>
        <v>NOIMP</v>
      </c>
    </row>
    <row r="251" spans="1:36" ht="72.75" hidden="1" customHeight="1">
      <c r="A251" s="160">
        <v>306</v>
      </c>
      <c r="B251" s="161" t="s">
        <v>1944</v>
      </c>
      <c r="C251" s="211" t="s">
        <v>501</v>
      </c>
      <c r="D251" s="160" t="s">
        <v>1945</v>
      </c>
      <c r="E251" s="160" t="s">
        <v>1946</v>
      </c>
      <c r="F251" s="266">
        <v>45198</v>
      </c>
      <c r="G251" s="160" t="s">
        <v>1848</v>
      </c>
      <c r="H251" s="160" t="s">
        <v>1649</v>
      </c>
      <c r="I251" s="161">
        <v>45222</v>
      </c>
      <c r="J251" s="161" t="s">
        <v>282</v>
      </c>
      <c r="K251" s="160" t="s">
        <v>362</v>
      </c>
      <c r="L251" s="160" t="s">
        <v>1664</v>
      </c>
      <c r="M251" s="161" t="s">
        <v>1819</v>
      </c>
      <c r="N251" s="160" t="s">
        <v>356</v>
      </c>
      <c r="O251" s="160" t="s">
        <v>2049</v>
      </c>
      <c r="P251" s="160"/>
      <c r="Q251" s="160"/>
      <c r="R251" s="160"/>
      <c r="S251" s="160" t="s">
        <v>1940</v>
      </c>
      <c r="T251" s="160" t="s">
        <v>1948</v>
      </c>
      <c r="U251" s="160" t="s">
        <v>1949</v>
      </c>
      <c r="V251" s="160" t="s">
        <v>189</v>
      </c>
      <c r="W251" s="160" t="s">
        <v>118</v>
      </c>
      <c r="X251" s="160" t="s">
        <v>111</v>
      </c>
      <c r="Y251" s="160" t="str">
        <f ca="1">IF(I251&lt;&gt;"",IF(I251&lt;=TODAY(),IF(OR(N251="REPROGRAMADA",N251="SUSPENDIDA",N251="EXCLUSION",N251="COLEGIADO"),"NO HECHA",IF(N251=" ","SINRESULTADO","SI")),"NO"),IF(N251="EXCLUSION","NO HECHA","LIMBO"))</f>
        <v>SI</v>
      </c>
      <c r="Z251" s="160" t="str">
        <f>IF($Z$1=I251,"DIASOL", "DIANOSOL")</f>
        <v>DIASOL</v>
      </c>
      <c r="AA251" s="160" t="s">
        <v>240</v>
      </c>
      <c r="AB251" s="160" t="s">
        <v>1947</v>
      </c>
      <c r="AC251" s="160" t="str">
        <f>IF(H251=$M$1,"SI","NO")</f>
        <v>NO</v>
      </c>
      <c r="AD251" s="160"/>
      <c r="AE251" s="160"/>
      <c r="AF251" s="160"/>
      <c r="AG251" s="160" t="str">
        <f>IF(COUNTIF(C251,"*preso*")&gt;0,"SI","NO")</f>
        <v>SI</v>
      </c>
      <c r="AH251" s="264">
        <f>NroOrden(N251)</f>
        <v>50</v>
      </c>
      <c r="AI251" s="160"/>
      <c r="AJ251" s="186" t="str">
        <f ca="1">IF(OR(Y251="NO",Y251="LIMBO"),"IMP","NOIMP")</f>
        <v>NOIMP</v>
      </c>
    </row>
    <row r="252" spans="1:36" ht="76.5" hidden="1">
      <c r="A252" s="144">
        <v>153</v>
      </c>
      <c r="B252" s="143" t="s">
        <v>1153</v>
      </c>
      <c r="C252" s="250"/>
      <c r="D252" s="144" t="s">
        <v>1154</v>
      </c>
      <c r="E252" s="142" t="s">
        <v>1155</v>
      </c>
      <c r="F252" s="144"/>
      <c r="G252" s="142" t="s">
        <v>2204</v>
      </c>
      <c r="H252" s="142" t="s">
        <v>1642</v>
      </c>
      <c r="I252" s="267">
        <v>45222</v>
      </c>
      <c r="J252" s="143" t="s">
        <v>961</v>
      </c>
      <c r="K252" s="144" t="s">
        <v>1679</v>
      </c>
      <c r="L252" s="144" t="s">
        <v>1663</v>
      </c>
      <c r="M252" s="143" t="s">
        <v>333</v>
      </c>
      <c r="N252" s="142" t="s">
        <v>357</v>
      </c>
      <c r="O252" s="142" t="s">
        <v>2049</v>
      </c>
      <c r="P252" s="144"/>
      <c r="Q252" s="144" t="s">
        <v>111</v>
      </c>
      <c r="R252" s="144"/>
      <c r="S252" s="142"/>
      <c r="T252" s="144"/>
      <c r="U252" s="144"/>
      <c r="V252" s="142" t="s">
        <v>947</v>
      </c>
      <c r="W252" s="142" t="s">
        <v>1156</v>
      </c>
      <c r="X252" s="142" t="s">
        <v>111</v>
      </c>
      <c r="Y252" s="191" t="str">
        <f ca="1">IF(I252&lt;&gt;"",IF(I252&lt;=TODAY(),IF(OR(N252="REPROGRAMADA",N252="SUSPENDIDA",N252="EXCLUSION",N252="COLEGIADO"),"NO HECHA",IF(N252=" ","SINRESULTADO","SI")),"NO"),IF(N252="EXCLUSION","NO HECHA","LIMBO"))</f>
        <v>SI</v>
      </c>
      <c r="Z252" s="142" t="str">
        <f>IF($Z$1=I252,"DIASOL", "DIANOSOL")</f>
        <v>DIASOL</v>
      </c>
      <c r="AA252" s="142" t="s">
        <v>240</v>
      </c>
      <c r="AB252" s="142" t="s">
        <v>1157</v>
      </c>
      <c r="AC252" s="145" t="str">
        <f>IF(H252=$M$1,"SI","NO")</f>
        <v>NO</v>
      </c>
      <c r="AD252" s="145"/>
      <c r="AE252" s="144"/>
      <c r="AF252" s="144"/>
      <c r="AG252" s="144" t="str">
        <f>IF(COUNTIF(C252,"*preso*")&gt;0,"SI","NO")</f>
        <v>NO</v>
      </c>
      <c r="AH252" s="269">
        <f>NroOrden(N252)</f>
        <v>50</v>
      </c>
      <c r="AI252" s="144"/>
      <c r="AJ252" s="270" t="str">
        <f ca="1">IF(OR(Y252="NO",Y252="LIMBO"),"IMP","NOIMP")</f>
        <v>NOIMP</v>
      </c>
    </row>
    <row r="253" spans="1:36" ht="76.5" hidden="1">
      <c r="A253" s="272">
        <v>292</v>
      </c>
      <c r="B253" s="273" t="s">
        <v>1602</v>
      </c>
      <c r="C253" s="274" t="s">
        <v>1477</v>
      </c>
      <c r="D253" s="272" t="s">
        <v>1603</v>
      </c>
      <c r="E253" s="272" t="s">
        <v>1604</v>
      </c>
      <c r="F253" s="275">
        <v>45174</v>
      </c>
      <c r="G253" s="272" t="s">
        <v>1606</v>
      </c>
      <c r="H253" s="272" t="s">
        <v>1647</v>
      </c>
      <c r="I253" s="273">
        <v>45222</v>
      </c>
      <c r="J253" s="273" t="s">
        <v>1672</v>
      </c>
      <c r="K253" s="272" t="s">
        <v>1679</v>
      </c>
      <c r="L253" s="272" t="s">
        <v>1663</v>
      </c>
      <c r="M253" s="273" t="s">
        <v>331</v>
      </c>
      <c r="N253" s="272" t="s">
        <v>357</v>
      </c>
      <c r="O253" s="272" t="s">
        <v>2049</v>
      </c>
      <c r="P253" s="272"/>
      <c r="Q253" s="272"/>
      <c r="R253" s="272"/>
      <c r="S253" s="272" t="s">
        <v>1608</v>
      </c>
      <c r="T253" s="272" t="s">
        <v>1609</v>
      </c>
      <c r="U253" s="272" t="s">
        <v>1610</v>
      </c>
      <c r="V253" s="272" t="s">
        <v>1129</v>
      </c>
      <c r="W253" s="272" t="s">
        <v>843</v>
      </c>
      <c r="X253" s="272" t="s">
        <v>111</v>
      </c>
      <c r="Y253" s="272" t="str">
        <f ca="1">IF(I253&lt;&gt;"",IF(I253&lt;=TODAY(),IF(OR(N253="REPROGRAMADA",N253="SUSPENDIDA",N253="EXCLUSION",N253="COLEGIADO"),"NO HECHA",IF(N253=" ","SINRESULTADO","SI")),"NO"),IF(N253="EXCLUSION","NO HECHA","LIMBO"))</f>
        <v>SI</v>
      </c>
      <c r="Z253" s="272" t="str">
        <f>IF($Z$1=I253,"DIASOL", "DIANOSOL")</f>
        <v>DIASOL</v>
      </c>
      <c r="AA253" s="272" t="s">
        <v>738</v>
      </c>
      <c r="AB253" s="272" t="s">
        <v>1607</v>
      </c>
      <c r="AC253" s="272" t="str">
        <f>IF(H253=$M$1,"SI","NO")</f>
        <v>NO</v>
      </c>
      <c r="AD253" s="272"/>
      <c r="AE253" s="272">
        <v>45170</v>
      </c>
      <c r="AF253" s="272"/>
      <c r="AG253" s="272" t="str">
        <f>IF(COUNTIF(C253,"*preso*")&gt;0,"SI","NO")</f>
        <v>SI</v>
      </c>
      <c r="AH253" s="269">
        <f>NroOrden(N253)</f>
        <v>50</v>
      </c>
      <c r="AI253" s="272"/>
      <c r="AJ253" s="270" t="str">
        <f ca="1">IF(OR(Y253="NO",Y253="LIMBO"),"IMP","NOIMP")</f>
        <v>NOIMP</v>
      </c>
    </row>
    <row r="254" spans="1:36" ht="63" hidden="1" customHeight="1">
      <c r="A254" s="226">
        <v>305</v>
      </c>
      <c r="B254" s="227" t="s">
        <v>1934</v>
      </c>
      <c r="C254" s="228" t="s">
        <v>501</v>
      </c>
      <c r="D254" s="226" t="s">
        <v>1935</v>
      </c>
      <c r="E254" s="226" t="s">
        <v>1936</v>
      </c>
      <c r="F254" s="229">
        <v>45201</v>
      </c>
      <c r="G254" s="226"/>
      <c r="H254" s="226"/>
      <c r="I254" s="227">
        <v>45222</v>
      </c>
      <c r="J254" s="227" t="s">
        <v>1672</v>
      </c>
      <c r="K254" s="226" t="s">
        <v>1943</v>
      </c>
      <c r="L254" s="226" t="s">
        <v>1664</v>
      </c>
      <c r="M254" s="227" t="s">
        <v>333</v>
      </c>
      <c r="N254" s="226" t="s">
        <v>354</v>
      </c>
      <c r="O254" s="226" t="s">
        <v>2307</v>
      </c>
      <c r="P254" s="226"/>
      <c r="Q254" s="226"/>
      <c r="R254" s="226"/>
      <c r="S254" s="226" t="s">
        <v>1940</v>
      </c>
      <c r="T254" s="226" t="s">
        <v>1941</v>
      </c>
      <c r="U254" s="226" t="s">
        <v>1942</v>
      </c>
      <c r="V254" s="226" t="s">
        <v>199</v>
      </c>
      <c r="W254" s="226" t="s">
        <v>1937</v>
      </c>
      <c r="X254" s="226" t="s">
        <v>1938</v>
      </c>
      <c r="Y254" s="226" t="str">
        <f ca="1">IF(I254&lt;&gt;"",IF(I254&lt;=TODAY(),IF(OR(N254="REPROGRAMADA",N254="SUSPENDIDA",N254="EXCLUSION",N254="COLEGIADO"),"NO HECHA",IF(N254=" ","SINRESULTADO","SI")),"NO"),IF(N254="EXCLUSION","NO HECHA","LIMBO"))</f>
        <v>NO HECHA</v>
      </c>
      <c r="Z254" s="226" t="str">
        <f>IF($Z$1=I254,"DIASOL", "DIANOSOL")</f>
        <v>DIASOL</v>
      </c>
      <c r="AA254" s="226" t="s">
        <v>240</v>
      </c>
      <c r="AB254" s="226" t="s">
        <v>1939</v>
      </c>
      <c r="AC254" s="226" t="str">
        <f>IF(H254=$M$1,"SI","NO")</f>
        <v>NO</v>
      </c>
      <c r="AD254" s="226"/>
      <c r="AE254" s="229">
        <v>45169</v>
      </c>
      <c r="AF254" s="226"/>
      <c r="AG254" s="226" t="str">
        <f>IF(COUNTIF(C254,"*preso*")&gt;0,"SI","NO")</f>
        <v>SI</v>
      </c>
      <c r="AH254" s="265">
        <f>NroOrden(N254)</f>
        <v>50</v>
      </c>
      <c r="AI254" s="226"/>
      <c r="AJ254" s="283" t="str">
        <f ca="1">IF(OR(Y254="NO",Y254="LIMBO"),"IMP","NOIMP")</f>
        <v>NOIMP</v>
      </c>
    </row>
    <row r="255" spans="1:36" ht="78" hidden="1" customHeight="1">
      <c r="A255" s="160">
        <v>224</v>
      </c>
      <c r="B255" s="161" t="s">
        <v>1951</v>
      </c>
      <c r="C255" s="211" t="s">
        <v>501</v>
      </c>
      <c r="D255" s="160" t="s">
        <v>1564</v>
      </c>
      <c r="E255" s="160" t="s">
        <v>1565</v>
      </c>
      <c r="F255" s="266">
        <v>45169</v>
      </c>
      <c r="G255" s="160" t="s">
        <v>1544</v>
      </c>
      <c r="H255" s="160" t="s">
        <v>1642</v>
      </c>
      <c r="I255" s="161">
        <v>45223</v>
      </c>
      <c r="J255" s="161" t="s">
        <v>1567</v>
      </c>
      <c r="K255" s="160" t="s">
        <v>1679</v>
      </c>
      <c r="L255" s="160" t="s">
        <v>2009</v>
      </c>
      <c r="M255" s="161" t="s">
        <v>333</v>
      </c>
      <c r="N255" s="160" t="s">
        <v>355</v>
      </c>
      <c r="O255" s="160" t="s">
        <v>2049</v>
      </c>
      <c r="P255" s="160" t="s">
        <v>2317</v>
      </c>
      <c r="Q255" s="160" t="s">
        <v>111</v>
      </c>
      <c r="R255" s="160"/>
      <c r="S255" s="160"/>
      <c r="T255" s="160"/>
      <c r="U255" s="160"/>
      <c r="V255" s="160" t="s">
        <v>184</v>
      </c>
      <c r="W255" s="160" t="s">
        <v>134</v>
      </c>
      <c r="X255" s="160" t="s">
        <v>111</v>
      </c>
      <c r="Y255" s="160" t="str">
        <f ca="1">IF(I255&lt;&gt;"",IF(I255&lt;=TODAY(),IF(OR(N255="REPROGRAMADA",N255="SUSPENDIDA",N255="EXCLUSION",N255="COLEGIADO"),"NO HECHA",IF(N255=" ","SINRESULTADO","SI")),"NO"),IF(N255="EXCLUSION","NO HECHA","LIMBO"))</f>
        <v>SI</v>
      </c>
      <c r="Z255" s="160" t="str">
        <f>IF($Z$1=I255,"DIASOL", "DIANOSOL")</f>
        <v>DIANOSOL</v>
      </c>
      <c r="AA255" s="160" t="s">
        <v>240</v>
      </c>
      <c r="AB255" s="160" t="s">
        <v>1566</v>
      </c>
      <c r="AC255" s="160" t="str">
        <f>IF(H255=$M$1,"SI","NO")</f>
        <v>NO</v>
      </c>
      <c r="AD255" s="160"/>
      <c r="AE255" s="266">
        <v>45163</v>
      </c>
      <c r="AF255" s="160"/>
      <c r="AG255" s="160" t="str">
        <f>IF(COUNTIF(C255,"*preso*")&gt;0,"SI","NO")</f>
        <v>SI</v>
      </c>
      <c r="AH255" s="264">
        <f>NroOrden(N255)</f>
        <v>50</v>
      </c>
      <c r="AI255" s="160"/>
      <c r="AJ255" s="186" t="str">
        <f ca="1">IF(OR(Y255="NO",Y255="LIMBO"),"IMP","NOIMP")</f>
        <v>NOIMP</v>
      </c>
    </row>
    <row r="256" spans="1:36" ht="118.5" hidden="1" customHeight="1">
      <c r="A256" s="272">
        <v>282</v>
      </c>
      <c r="B256" s="273" t="s">
        <v>1015</v>
      </c>
      <c r="C256" s="274"/>
      <c r="D256" s="272" t="s">
        <v>1016</v>
      </c>
      <c r="E256" s="272" t="s">
        <v>886</v>
      </c>
      <c r="F256" s="275">
        <v>45156</v>
      </c>
      <c r="G256" s="272" t="s">
        <v>1001</v>
      </c>
      <c r="H256" s="272" t="s">
        <v>1646</v>
      </c>
      <c r="I256" s="273">
        <v>45224</v>
      </c>
      <c r="J256" s="273" t="s">
        <v>282</v>
      </c>
      <c r="K256" s="272" t="s">
        <v>362</v>
      </c>
      <c r="L256" s="272" t="s">
        <v>1664</v>
      </c>
      <c r="M256" s="273" t="s">
        <v>329</v>
      </c>
      <c r="N256" s="272" t="s">
        <v>357</v>
      </c>
      <c r="O256" s="272" t="s">
        <v>2049</v>
      </c>
      <c r="P256" s="272"/>
      <c r="Q256" s="272"/>
      <c r="R256" s="272"/>
      <c r="S256" s="272"/>
      <c r="T256" s="272"/>
      <c r="U256" s="272"/>
      <c r="V256" s="272" t="s">
        <v>192</v>
      </c>
      <c r="W256" s="272" t="s">
        <v>140</v>
      </c>
      <c r="X256" s="272" t="s">
        <v>111</v>
      </c>
      <c r="Y256" s="272" t="str">
        <f ca="1">IF(I256&lt;&gt;"",IF(I256&lt;=TODAY(),IF(OR(N256="REPROGRAMADA",N256="SUSPENDIDA",N256="EXCLUSION",N256="COLEGIADO"),"NO HECHA",IF(N256=" ","SINRESULTADO","SI")),"NO"),IF(N256="EXCLUSION","NO HECHA","LIMBO"))</f>
        <v>SI</v>
      </c>
      <c r="Z256" s="272" t="str">
        <f>IF($Z$1=I256,"DIASOL", "DIANOSOL")</f>
        <v>DIANOSOL</v>
      </c>
      <c r="AA256" s="272" t="s">
        <v>240</v>
      </c>
      <c r="AB256" s="272" t="s">
        <v>1017</v>
      </c>
      <c r="AC256" s="272" t="str">
        <f>IF(H256=$M$1,"SI","NO")</f>
        <v>NO</v>
      </c>
      <c r="AD256" s="272"/>
      <c r="AE256" s="275">
        <v>45105</v>
      </c>
      <c r="AF256" s="272"/>
      <c r="AG256" s="272" t="str">
        <f>IF(COUNTIF(C256,"*preso*")&gt;0,"SI","NO")</f>
        <v>NO</v>
      </c>
      <c r="AH256" s="269">
        <f>NroOrden(N256)</f>
        <v>50</v>
      </c>
      <c r="AI256" s="272"/>
      <c r="AJ256" s="270" t="str">
        <f ca="1">IF(OR(Y256="NO",Y256="LIMBO"),"IMP","NOIMP")</f>
        <v>NOIMP</v>
      </c>
    </row>
    <row r="257" spans="1:36" ht="135.75" hidden="1" customHeight="1">
      <c r="A257" s="272">
        <v>366</v>
      </c>
      <c r="B257" s="273" t="s">
        <v>1934</v>
      </c>
      <c r="C257" s="274" t="s">
        <v>501</v>
      </c>
      <c r="D257" s="272" t="s">
        <v>1935</v>
      </c>
      <c r="E257" s="272" t="s">
        <v>1936</v>
      </c>
      <c r="F257" s="272"/>
      <c r="G257" s="272"/>
      <c r="H257" s="272" t="s">
        <v>1676</v>
      </c>
      <c r="I257" s="273">
        <v>45224</v>
      </c>
      <c r="J257" s="273" t="s">
        <v>2269</v>
      </c>
      <c r="K257" s="272" t="s">
        <v>1950</v>
      </c>
      <c r="L257" s="272" t="s">
        <v>1663</v>
      </c>
      <c r="M257" s="273" t="s">
        <v>333</v>
      </c>
      <c r="N257" s="272" t="s">
        <v>357</v>
      </c>
      <c r="O257" s="272" t="s">
        <v>2049</v>
      </c>
      <c r="P257" s="272"/>
      <c r="Q257" s="272" t="s">
        <v>240</v>
      </c>
      <c r="R257" s="272"/>
      <c r="S257" s="272" t="s">
        <v>1940</v>
      </c>
      <c r="T257" s="272" t="s">
        <v>1941</v>
      </c>
      <c r="U257" s="272" t="s">
        <v>1942</v>
      </c>
      <c r="V257" s="272" t="s">
        <v>199</v>
      </c>
      <c r="W257" s="272" t="s">
        <v>1937</v>
      </c>
      <c r="X257" s="272" t="s">
        <v>1938</v>
      </c>
      <c r="Y257" s="272" t="str">
        <f ca="1">IF(I257&lt;&gt;"",IF(I257&lt;=TODAY(),IF(OR(N257="REPROGRAMADA",N257="SUSPENDIDA",N257="EXCLUSION",N257="COLEGIADO"),"NO HECHA",IF(N257=" ","SINRESULTADO","SI")),"NO"),IF(N257="EXCLUSION","NO HECHA","LIMBO"))</f>
        <v>SI</v>
      </c>
      <c r="Z257" s="272" t="str">
        <f>IF($Z$1=I257,"DIASOL", "DIANOSOL")</f>
        <v>DIANOSOL</v>
      </c>
      <c r="AA257" s="272" t="s">
        <v>240</v>
      </c>
      <c r="AB257" s="275"/>
      <c r="AC257" s="272" t="str">
        <f>IF(H257=$M$1,"SI","NO")</f>
        <v>NO</v>
      </c>
      <c r="AD257" s="272"/>
      <c r="AE257" s="272"/>
      <c r="AF257" s="272"/>
      <c r="AG257" s="272" t="str">
        <f>IF(COUNTIF(C257,"*preso*")&gt;0,"SI","NO")</f>
        <v>SI</v>
      </c>
      <c r="AH257" s="315">
        <f>NroOrden(N257)</f>
        <v>50</v>
      </c>
      <c r="AI257" s="272"/>
      <c r="AJ257" s="307" t="str">
        <f ca="1">IF(OR(Y257="NO",Y257="LIMBO"),"IMP","NOIMP")</f>
        <v>NOIMP</v>
      </c>
    </row>
    <row r="258" spans="1:36" ht="25.5" hidden="1">
      <c r="A258" s="226">
        <v>268</v>
      </c>
      <c r="B258" s="227" t="s">
        <v>1779</v>
      </c>
      <c r="C258" s="228"/>
      <c r="D258" s="226" t="s">
        <v>1780</v>
      </c>
      <c r="E258" s="226" t="s">
        <v>1781</v>
      </c>
      <c r="F258" s="229">
        <v>45189</v>
      </c>
      <c r="G258" s="226"/>
      <c r="H258" s="226" t="s">
        <v>1642</v>
      </c>
      <c r="I258" s="227">
        <v>45224</v>
      </c>
      <c r="J258" s="227" t="s">
        <v>1422</v>
      </c>
      <c r="K258" s="226" t="s">
        <v>362</v>
      </c>
      <c r="L258" s="226" t="s">
        <v>1663</v>
      </c>
      <c r="M258" s="227" t="s">
        <v>328</v>
      </c>
      <c r="N258" s="226" t="s">
        <v>354</v>
      </c>
      <c r="O258" s="226" t="s">
        <v>2307</v>
      </c>
      <c r="P258" s="226"/>
      <c r="Q258" s="226"/>
      <c r="R258" s="226"/>
      <c r="S258" s="226"/>
      <c r="T258" s="226"/>
      <c r="U258" s="226"/>
      <c r="V258" s="226" t="s">
        <v>189</v>
      </c>
      <c r="W258" s="226" t="s">
        <v>118</v>
      </c>
      <c r="X258" s="226" t="s">
        <v>111</v>
      </c>
      <c r="Y258" s="226" t="str">
        <f ca="1">IF(I258&lt;&gt;"",IF(I258&lt;=TODAY(),IF(OR(N258="REPROGRAMADA",N258="SUSPENDIDA",N258="EXCLUSION",N258="COLEGIADO"),"NO HECHA",IF(N258=" ","SINRESULTADO","SI")),"NO"),IF(N258="EXCLUSION","NO HECHA","LIMBO"))</f>
        <v>NO HECHA</v>
      </c>
      <c r="Z258" s="226" t="str">
        <f>IF($Z$1=I258,"DIASOL", "DIANOSOL")</f>
        <v>DIANOSOL</v>
      </c>
      <c r="AA258" s="226" t="s">
        <v>240</v>
      </c>
      <c r="AB258" s="226" t="s">
        <v>1782</v>
      </c>
      <c r="AC258" s="226" t="str">
        <f>IF(H258=$M$1,"SI","NO")</f>
        <v>NO</v>
      </c>
      <c r="AD258" s="226"/>
      <c r="AE258" s="229">
        <v>45189</v>
      </c>
      <c r="AF258" s="226"/>
      <c r="AG258" s="226" t="str">
        <f>IF(COUNTIF(C258,"*preso*")&gt;0,"SI","NO")</f>
        <v>NO</v>
      </c>
      <c r="AH258" s="265">
        <f>NroOrden(N258)</f>
        <v>50</v>
      </c>
      <c r="AI258" s="226" t="s">
        <v>2230</v>
      </c>
      <c r="AJ258" s="283" t="str">
        <f ca="1">IF(OR(Y258="NO",Y258="LIMBO"),"IMP","NOIMP")</f>
        <v>NOIMP</v>
      </c>
    </row>
    <row r="259" spans="1:36" ht="38.25" hidden="1">
      <c r="A259" s="272">
        <v>228</v>
      </c>
      <c r="B259" s="273" t="s">
        <v>1577</v>
      </c>
      <c r="C259" s="274" t="s">
        <v>990</v>
      </c>
      <c r="D259" s="272" t="s">
        <v>1578</v>
      </c>
      <c r="E259" s="272" t="s">
        <v>1579</v>
      </c>
      <c r="F259" s="275">
        <v>45170</v>
      </c>
      <c r="G259" s="272" t="s">
        <v>1580</v>
      </c>
      <c r="H259" s="272" t="s">
        <v>1645</v>
      </c>
      <c r="I259" s="273">
        <v>45224</v>
      </c>
      <c r="J259" s="273" t="s">
        <v>396</v>
      </c>
      <c r="K259" s="272" t="s">
        <v>362</v>
      </c>
      <c r="L259" s="144" t="s">
        <v>1663</v>
      </c>
      <c r="M259" s="273" t="s">
        <v>328</v>
      </c>
      <c r="N259" s="272" t="s">
        <v>357</v>
      </c>
      <c r="O259" s="272" t="s">
        <v>2049</v>
      </c>
      <c r="P259" s="272"/>
      <c r="Q259" s="272" t="s">
        <v>111</v>
      </c>
      <c r="R259" s="272"/>
      <c r="S259" s="272"/>
      <c r="T259" s="272"/>
      <c r="U259" s="272"/>
      <c r="V259" s="272" t="s">
        <v>1280</v>
      </c>
      <c r="W259" s="272" t="s">
        <v>132</v>
      </c>
      <c r="X259" s="272" t="s">
        <v>111</v>
      </c>
      <c r="Y259" s="272" t="str">
        <f ca="1">IF(I259&lt;&gt;"",IF(I259&lt;=TODAY(),IF(OR(N259="REPROGRAMADA",N259="SUSPENDIDA",N259="EXCLUSION",N259="COLEGIADO"),"NO HECHA",IF(N259=" ","SINRESULTADO","SI")),"NO"),IF(N259="EXCLUSION","NO HECHA","LIMBO"))</f>
        <v>SI</v>
      </c>
      <c r="Z259" s="272" t="str">
        <f>IF($Z$1=I259,"DIASOL", "DIANOSOL")</f>
        <v>DIANOSOL</v>
      </c>
      <c r="AA259" s="272" t="s">
        <v>240</v>
      </c>
      <c r="AB259" s="272" t="s">
        <v>1581</v>
      </c>
      <c r="AC259" s="272" t="str">
        <f>IF(H259=$M$1,"SI","NO")</f>
        <v>NO</v>
      </c>
      <c r="AD259" s="272"/>
      <c r="AE259" s="275">
        <v>45168</v>
      </c>
      <c r="AF259" s="272"/>
      <c r="AG259" s="272" t="str">
        <f>IF(COUNTIF(C259,"*preso*")&gt;0,"SI","NO")</f>
        <v>SI</v>
      </c>
      <c r="AH259" s="269">
        <f>NroOrden(N259)</f>
        <v>50</v>
      </c>
      <c r="AI259" s="272"/>
      <c r="AJ259" s="270" t="str">
        <f ca="1">IF(OR(Y259="NO",Y259="LIMBO"),"IMP","NOIMP")</f>
        <v>NOIMP</v>
      </c>
    </row>
    <row r="260" spans="1:36" ht="39.950000000000003" hidden="1" customHeight="1">
      <c r="A260" s="142">
        <v>351</v>
      </c>
      <c r="B260" s="143" t="s">
        <v>37</v>
      </c>
      <c r="C260" s="291" t="s">
        <v>501</v>
      </c>
      <c r="D260" s="142" t="s">
        <v>455</v>
      </c>
      <c r="E260" s="142" t="s">
        <v>456</v>
      </c>
      <c r="F260" s="142">
        <v>45076</v>
      </c>
      <c r="G260" s="142" t="s">
        <v>2260</v>
      </c>
      <c r="H260" s="142" t="s">
        <v>1650</v>
      </c>
      <c r="I260" s="143">
        <v>45224</v>
      </c>
      <c r="J260" s="143" t="s">
        <v>396</v>
      </c>
      <c r="K260" s="142" t="s">
        <v>1679</v>
      </c>
      <c r="L260" s="142" t="s">
        <v>1663</v>
      </c>
      <c r="M260" s="143" t="s">
        <v>332</v>
      </c>
      <c r="N260" s="142" t="s">
        <v>357</v>
      </c>
      <c r="O260" s="142" t="s">
        <v>2049</v>
      </c>
      <c r="P260" s="142" t="s">
        <v>2315</v>
      </c>
      <c r="Q260" s="142" t="s">
        <v>240</v>
      </c>
      <c r="R260" s="142"/>
      <c r="S260" s="142"/>
      <c r="T260" s="142"/>
      <c r="U260" s="142" t="s">
        <v>2316</v>
      </c>
      <c r="V260" s="142" t="s">
        <v>192</v>
      </c>
      <c r="W260" s="142" t="s">
        <v>119</v>
      </c>
      <c r="X260" s="142" t="s">
        <v>111</v>
      </c>
      <c r="Y260" s="142" t="str">
        <f ca="1">IF(I260&lt;&gt;"",IF(I260&lt;=TODAY(),IF(OR(N260="REPROGRAMADA",N260="SUSPENDIDA",N260="EXCLUSION",N260="COLEGIADO"),"NO HECHA",IF(N260=" ","SINRESULTADO","SI")),"NO"),IF(N260="EXCLUSION","NO HECHA","LIMBO"))</f>
        <v>SI</v>
      </c>
      <c r="Z260" s="142" t="str">
        <f>IF($Z$1=I260,"DIASOL", "DIANOSOL")</f>
        <v>DIANOSOL</v>
      </c>
      <c r="AA260" s="142" t="s">
        <v>458</v>
      </c>
      <c r="AB260" s="284"/>
      <c r="AC260" s="142" t="str">
        <f>IF(H260=$M$1,"SI","NO")</f>
        <v>NO</v>
      </c>
      <c r="AD260" s="142"/>
      <c r="AE260" s="142"/>
      <c r="AF260" s="142"/>
      <c r="AG260" s="142" t="str">
        <f>IF(COUNTIF(C260,"*preso*")&gt;0,"SI","NO")</f>
        <v>SI</v>
      </c>
      <c r="AH260" s="269">
        <f>NroOrden(N260)</f>
        <v>50</v>
      </c>
      <c r="AI260" s="142" t="s">
        <v>459</v>
      </c>
      <c r="AJ260" s="270" t="str">
        <f ca="1">IF(OR(Y260="NO",Y260="LIMBO"),"IMP","NOIMP")</f>
        <v>NOIMP</v>
      </c>
    </row>
    <row r="261" spans="1:36" ht="231.75" hidden="1" customHeight="1">
      <c r="A261" s="272">
        <v>285</v>
      </c>
      <c r="B261" s="273" t="s">
        <v>1853</v>
      </c>
      <c r="C261" s="274"/>
      <c r="D261" s="272" t="s">
        <v>1854</v>
      </c>
      <c r="E261" s="272" t="s">
        <v>1855</v>
      </c>
      <c r="F261" s="275">
        <v>45191</v>
      </c>
      <c r="G261" s="272" t="s">
        <v>1848</v>
      </c>
      <c r="H261" s="272" t="s">
        <v>1648</v>
      </c>
      <c r="I261" s="273">
        <v>45225</v>
      </c>
      <c r="J261" s="273" t="s">
        <v>1182</v>
      </c>
      <c r="K261" s="272" t="s">
        <v>364</v>
      </c>
      <c r="L261" s="272" t="s">
        <v>2009</v>
      </c>
      <c r="M261" s="273" t="s">
        <v>333</v>
      </c>
      <c r="N261" s="272" t="s">
        <v>357</v>
      </c>
      <c r="O261" s="272" t="s">
        <v>2049</v>
      </c>
      <c r="P261" s="272"/>
      <c r="Q261" s="272"/>
      <c r="R261" s="272"/>
      <c r="S261" s="272"/>
      <c r="T261" s="272"/>
      <c r="U261" s="272"/>
      <c r="V261" s="272" t="s">
        <v>347</v>
      </c>
      <c r="W261" s="272" t="s">
        <v>111</v>
      </c>
      <c r="X261" s="272" t="s">
        <v>111</v>
      </c>
      <c r="Y261" s="272" t="str">
        <f ca="1">IF(I261&lt;&gt;"",IF(I261&lt;=TODAY(),IF(OR(N261="REPROGRAMADA",N261="SUSPENDIDA",N261="EXCLUSION",N261="COLEGIADO"),"NO HECHA",IF(N261=" ","SINRESULTADO","SI")),"NO"),IF(N261="EXCLUSION","NO HECHA","LIMBO"))</f>
        <v>SI</v>
      </c>
      <c r="Z261" s="272" t="str">
        <f>IF($Z$1=I261,"DIASOL", "DIANOSOL")</f>
        <v>DIANOSOL</v>
      </c>
      <c r="AA261" s="272" t="s">
        <v>240</v>
      </c>
      <c r="AB261" s="272" t="s">
        <v>1856</v>
      </c>
      <c r="AC261" s="272" t="str">
        <f>IF(H261=$M$1,"SI","NO")</f>
        <v>NO</v>
      </c>
      <c r="AD261" s="272"/>
      <c r="AE261" s="275">
        <v>45191</v>
      </c>
      <c r="AF261" s="272"/>
      <c r="AG261" s="272" t="str">
        <f>IF(COUNTIF(C261,"*preso*")&gt;0,"SI","NO")</f>
        <v>NO</v>
      </c>
      <c r="AH261" s="269">
        <f>NroOrden(N261)</f>
        <v>50</v>
      </c>
      <c r="AI261" s="272"/>
      <c r="AJ261" s="270" t="str">
        <f ca="1">IF(OR(Y261="NO",Y261="LIMBO"),"IMP","NOIMP")</f>
        <v>NOIMP</v>
      </c>
    </row>
    <row r="262" spans="1:36" ht="39.950000000000003" hidden="1" customHeight="1">
      <c r="A262" s="160">
        <v>333</v>
      </c>
      <c r="B262" s="161" t="s">
        <v>922</v>
      </c>
      <c r="C262" s="211"/>
      <c r="D262" s="160" t="s">
        <v>923</v>
      </c>
      <c r="E262" s="160" t="s">
        <v>924</v>
      </c>
      <c r="F262" s="160">
        <v>45104</v>
      </c>
      <c r="G262" s="160"/>
      <c r="H262" s="160" t="s">
        <v>1642</v>
      </c>
      <c r="I262" s="161">
        <v>45225</v>
      </c>
      <c r="J262" s="161" t="s">
        <v>396</v>
      </c>
      <c r="K262" s="160" t="s">
        <v>363</v>
      </c>
      <c r="L262" s="160" t="s">
        <v>1663</v>
      </c>
      <c r="M262" s="161" t="s">
        <v>330</v>
      </c>
      <c r="N262" s="160" t="s">
        <v>355</v>
      </c>
      <c r="O262" s="160" t="s">
        <v>2049</v>
      </c>
      <c r="P262" s="160" t="s">
        <v>2318</v>
      </c>
      <c r="Q262" s="160" t="s">
        <v>240</v>
      </c>
      <c r="R262" s="160"/>
      <c r="S262" s="160"/>
      <c r="T262" s="160"/>
      <c r="U262" s="160"/>
      <c r="V262" s="160" t="s">
        <v>342</v>
      </c>
      <c r="W262" s="160" t="s">
        <v>134</v>
      </c>
      <c r="X262" s="160" t="s">
        <v>111</v>
      </c>
      <c r="Y262" s="160" t="str">
        <f ca="1">IF(I262&lt;&gt;"",IF(I262&lt;=TODAY(),IF(OR(N262="REPROGRAMADA",N262="SUSPENDIDA",N262="EXCLUSION",N262="COLEGIADO"),"NO HECHA",IF(N262=" ","SINRESULTADO","SI")),"NO"),IF(N262="EXCLUSION","NO HECHA","LIMBO"))</f>
        <v>SI</v>
      </c>
      <c r="Z262" s="160" t="str">
        <f>IF($Z$1=I262,"DIASOL", "DIANOSOL")</f>
        <v>DIANOSOL</v>
      </c>
      <c r="AA262" s="160" t="s">
        <v>240</v>
      </c>
      <c r="AB262" s="266"/>
      <c r="AC262" s="160" t="str">
        <f>IF(H262=$M$1,"SI","NO")</f>
        <v>NO</v>
      </c>
      <c r="AD262" s="160"/>
      <c r="AE262" s="160"/>
      <c r="AF262" s="160"/>
      <c r="AG262" s="160" t="str">
        <f>IF(COUNTIF(C262,"*preso*")&gt;0,"SI","NO")</f>
        <v>NO</v>
      </c>
      <c r="AH262" s="264">
        <f>NroOrden(N262)</f>
        <v>50</v>
      </c>
      <c r="AI262" s="160" t="s">
        <v>1443</v>
      </c>
      <c r="AJ262" s="186" t="str">
        <f ca="1">IF(OR(Y262="NO",Y262="LIMBO"),"IMP","NOIMP")</f>
        <v>NOIMP</v>
      </c>
    </row>
    <row r="263" spans="1:36" ht="57" hidden="1" customHeight="1">
      <c r="A263" s="182">
        <v>171</v>
      </c>
      <c r="B263" s="99" t="s">
        <v>1236</v>
      </c>
      <c r="C263" s="210"/>
      <c r="D263" s="182" t="s">
        <v>1237</v>
      </c>
      <c r="E263" s="98" t="s">
        <v>1238</v>
      </c>
      <c r="F263" s="184">
        <v>45140</v>
      </c>
      <c r="G263" s="98"/>
      <c r="H263" s="98"/>
      <c r="I263" s="183">
        <v>45226</v>
      </c>
      <c r="J263" s="99" t="s">
        <v>396</v>
      </c>
      <c r="K263" s="182" t="s">
        <v>365</v>
      </c>
      <c r="L263" s="182" t="s">
        <v>1663</v>
      </c>
      <c r="M263" s="99" t="s">
        <v>332</v>
      </c>
      <c r="N263" s="98" t="s">
        <v>354</v>
      </c>
      <c r="O263" s="98" t="s">
        <v>2307</v>
      </c>
      <c r="P263" s="98" t="s">
        <v>2320</v>
      </c>
      <c r="Q263" s="182" t="s">
        <v>111</v>
      </c>
      <c r="R263" s="182"/>
      <c r="S263" s="98"/>
      <c r="T263" s="182"/>
      <c r="U263" s="182"/>
      <c r="V263" s="98" t="s">
        <v>340</v>
      </c>
      <c r="W263" s="98" t="s">
        <v>1239</v>
      </c>
      <c r="X263" s="98" t="s">
        <v>1240</v>
      </c>
      <c r="Y263" s="160" t="str">
        <f ca="1">IF(I263&lt;&gt;"",IF(I263&lt;=TODAY(),IF(OR(N263="REPROGRAMADA",N263="SUSPENDIDA",N263="EXCLUSION",N263="COLEGIADO"),"NO HECHA",IF(N263=" ","SINRESULTADO","SI")),"NO"),IF(N263="EXCLUSION","NO HECHA","LIMBO"))</f>
        <v>NO HECHA</v>
      </c>
      <c r="Z263" s="149" t="str">
        <f>IF($Z$1=I263,"DIASOL", "DIANOSOL")</f>
        <v>DIANOSOL</v>
      </c>
      <c r="AA263" s="98" t="s">
        <v>240</v>
      </c>
      <c r="AB263" s="98" t="s">
        <v>1241</v>
      </c>
      <c r="AC263" s="151" t="str">
        <f>IF(H263=$M$1,"SI","NO")</f>
        <v>NO</v>
      </c>
      <c r="AD263" s="151"/>
      <c r="AE263" s="182"/>
      <c r="AF263" s="182"/>
      <c r="AG263" s="84" t="str">
        <f>IF(COUNTIF(C263,"*preso*")&gt;0,"SI","NO")</f>
        <v>NO</v>
      </c>
      <c r="AH263" s="253">
        <f>NroOrden(N263)</f>
        <v>50</v>
      </c>
      <c r="AI263" s="98" t="s">
        <v>2296</v>
      </c>
      <c r="AJ263" s="48" t="str">
        <f ca="1">IF(OR(Y263="NO",Y263="LIMBO"),"IMP","NOIMP")</f>
        <v>NOIMP</v>
      </c>
    </row>
    <row r="264" spans="1:36" ht="110.25" hidden="1" customHeight="1">
      <c r="A264" s="272">
        <v>321</v>
      </c>
      <c r="B264" s="273" t="s">
        <v>2013</v>
      </c>
      <c r="C264" s="274" t="s">
        <v>501</v>
      </c>
      <c r="D264" s="272" t="s">
        <v>2014</v>
      </c>
      <c r="E264" s="272" t="s">
        <v>2015</v>
      </c>
      <c r="F264" s="275">
        <v>45205</v>
      </c>
      <c r="G264" s="272"/>
      <c r="H264" s="272" t="s">
        <v>1647</v>
      </c>
      <c r="I264" s="273">
        <v>45230</v>
      </c>
      <c r="J264" s="273" t="s">
        <v>282</v>
      </c>
      <c r="K264" s="272" t="s">
        <v>1680</v>
      </c>
      <c r="L264" s="272" t="s">
        <v>1663</v>
      </c>
      <c r="M264" s="273" t="s">
        <v>2173</v>
      </c>
      <c r="N264" s="272" t="s">
        <v>357</v>
      </c>
      <c r="O264" s="272" t="s">
        <v>2049</v>
      </c>
      <c r="P264" s="272"/>
      <c r="Q264" s="272"/>
      <c r="R264" s="272"/>
      <c r="S264" s="272" t="s">
        <v>2017</v>
      </c>
      <c r="T264" s="272" t="s">
        <v>2018</v>
      </c>
      <c r="U264" s="272" t="s">
        <v>2019</v>
      </c>
      <c r="V264" s="272" t="s">
        <v>199</v>
      </c>
      <c r="W264" s="272" t="s">
        <v>141</v>
      </c>
      <c r="X264" s="272" t="s">
        <v>111</v>
      </c>
      <c r="Y264" s="202" t="str">
        <f ca="1">IF(I264&lt;&gt;"",IF(I264&lt;=TODAY(),IF(OR(N264="REPROGRAMADA",N264="SUSPENDIDA",N264="EXCLUSION",N264="COLEGIADO"),"NO HECHA",IF(N264=" ","SINRESULTADO","SI")),"NO"),IF(N264="EXCLUSION","NO HECHA","LIMBO"))</f>
        <v>SI</v>
      </c>
      <c r="Z264" s="202" t="str">
        <f>IF($Z$1=I264,"DIASOL", "DIANOSOL")</f>
        <v>DIANOSOL</v>
      </c>
      <c r="AA264" s="272" t="s">
        <v>240</v>
      </c>
      <c r="AB264" s="272" t="s">
        <v>2016</v>
      </c>
      <c r="AC264" s="202" t="str">
        <f>IF(H264=$M$1,"SI","NO")</f>
        <v>NO</v>
      </c>
      <c r="AD264" s="202"/>
      <c r="AE264" s="272"/>
      <c r="AF264" s="272"/>
      <c r="AG264" s="202" t="str">
        <f>IF(COUNTIF(C264,"*preso*")&gt;0,"SI","NO")</f>
        <v>SI</v>
      </c>
      <c r="AH264" s="257">
        <f>NroOrden(N264)</f>
        <v>50</v>
      </c>
      <c r="AI264" s="272"/>
      <c r="AJ264" s="48" t="str">
        <f ca="1">IF(OR(Y264="NO",Y264="LIMBO"),"IMP","NOIMP")</f>
        <v>NOIMP</v>
      </c>
    </row>
    <row r="265" spans="1:36" ht="63.75" hidden="1">
      <c r="A265" s="272">
        <v>237</v>
      </c>
      <c r="B265" s="273" t="s">
        <v>1627</v>
      </c>
      <c r="C265" s="274"/>
      <c r="D265" s="272" t="s">
        <v>1628</v>
      </c>
      <c r="E265" s="272" t="s">
        <v>1629</v>
      </c>
      <c r="F265" s="275">
        <v>45175</v>
      </c>
      <c r="G265" s="272" t="s">
        <v>1630</v>
      </c>
      <c r="H265" s="272" t="s">
        <v>1643</v>
      </c>
      <c r="I265" s="273">
        <v>45230</v>
      </c>
      <c r="J265" s="273" t="s">
        <v>961</v>
      </c>
      <c r="K265" s="272" t="s">
        <v>362</v>
      </c>
      <c r="L265" s="144" t="s">
        <v>1663</v>
      </c>
      <c r="M265" s="273" t="s">
        <v>329</v>
      </c>
      <c r="N265" s="272" t="s">
        <v>357</v>
      </c>
      <c r="O265" s="272" t="s">
        <v>2049</v>
      </c>
      <c r="P265" s="272"/>
      <c r="Q265" s="272" t="s">
        <v>111</v>
      </c>
      <c r="R265" s="272"/>
      <c r="S265" s="272"/>
      <c r="T265" s="272"/>
      <c r="U265" s="272"/>
      <c r="V265" s="272" t="s">
        <v>191</v>
      </c>
      <c r="W265" s="272" t="s">
        <v>1631</v>
      </c>
      <c r="X265" s="272" t="s">
        <v>1632</v>
      </c>
      <c r="Y265" s="197" t="str">
        <f ca="1">IF(I265&lt;&gt;"",IF(I265&lt;=TODAY(),IF(OR(N265="REPROGRAMADA",N265="SUSPENDIDA",N265="EXCLUSION",N265="COLEGIADO"),"NO HECHA",IF(N265=" ","SINRESULTADO","SI")),"NO"),IF(N265="EXCLUSION","NO HECHA","LIMBO"))</f>
        <v>SI</v>
      </c>
      <c r="Z265" s="197" t="str">
        <f>IF($Z$1=I265,"DIASOL", "DIANOSOL")</f>
        <v>DIANOSOL</v>
      </c>
      <c r="AA265" s="272" t="s">
        <v>240</v>
      </c>
      <c r="AB265" s="272" t="s">
        <v>1633</v>
      </c>
      <c r="AC265" s="197" t="str">
        <f>IF(H265=$M$1,"SI","NO")</f>
        <v>NO</v>
      </c>
      <c r="AD265" s="197"/>
      <c r="AE265" s="275">
        <v>45168</v>
      </c>
      <c r="AF265" s="272"/>
      <c r="AG265" s="197" t="str">
        <f>IF(COUNTIF(C265,"*preso*")&gt;0,"SI","NO")</f>
        <v>NO</v>
      </c>
      <c r="AH265" s="253">
        <f>NroOrden(N265)</f>
        <v>50</v>
      </c>
      <c r="AI265" s="272"/>
      <c r="AJ265" s="48" t="str">
        <f ca="1">IF(OR(Y265="NO",Y265="LIMBO"),"IMP","NOIMP")</f>
        <v>NOIMP</v>
      </c>
    </row>
    <row r="266" spans="1:36" ht="47.25" hidden="1" customHeight="1">
      <c r="A266" s="160">
        <v>272</v>
      </c>
      <c r="B266" s="161" t="s">
        <v>1794</v>
      </c>
      <c r="C266" s="211"/>
      <c r="D266" s="160" t="s">
        <v>1793</v>
      </c>
      <c r="E266" s="160" t="s">
        <v>573</v>
      </c>
      <c r="F266" s="266">
        <v>45190</v>
      </c>
      <c r="G266" s="160" t="s">
        <v>1753</v>
      </c>
      <c r="H266" s="160" t="s">
        <v>1644</v>
      </c>
      <c r="I266" s="161">
        <v>45230</v>
      </c>
      <c r="J266" s="161" t="s">
        <v>396</v>
      </c>
      <c r="K266" s="160" t="s">
        <v>1679</v>
      </c>
      <c r="L266" s="160" t="s">
        <v>1664</v>
      </c>
      <c r="M266" s="161" t="s">
        <v>331</v>
      </c>
      <c r="N266" s="160" t="s">
        <v>1392</v>
      </c>
      <c r="O266" s="160" t="s">
        <v>2050</v>
      </c>
      <c r="P266" s="160"/>
      <c r="Q266" s="160"/>
      <c r="R266" s="160"/>
      <c r="S266" s="160"/>
      <c r="T266" s="160"/>
      <c r="U266" s="160"/>
      <c r="V266" s="160" t="s">
        <v>184</v>
      </c>
      <c r="W266" s="160" t="s">
        <v>119</v>
      </c>
      <c r="X266" s="160" t="s">
        <v>111</v>
      </c>
      <c r="Y266" s="197" t="str">
        <f ca="1">IF(I266&lt;&gt;"",IF(I266&lt;=TODAY(),IF(OR(N266="REPROGRAMADA",N266="SUSPENDIDA",N266="EXCLUSION",N266="COLEGIADO"),"NO HECHA",IF(N266=" ","SINRESULTADO","SI")),"NO"),IF(N266="EXCLUSION","NO HECHA","LIMBO"))</f>
        <v>SI</v>
      </c>
      <c r="Z266" s="197" t="str">
        <f>IF($Z$1=I266,"DIASOL", "DIANOSOL")</f>
        <v>DIANOSOL</v>
      </c>
      <c r="AA266" s="160" t="s">
        <v>240</v>
      </c>
      <c r="AB266" s="160" t="s">
        <v>1795</v>
      </c>
      <c r="AC266" s="197" t="str">
        <f>IF(H266=$M$1,"SI","NO")</f>
        <v>SI</v>
      </c>
      <c r="AD266" s="197"/>
      <c r="AE266" s="266">
        <v>45190</v>
      </c>
      <c r="AF266" s="160"/>
      <c r="AG266" s="197" t="str">
        <f>IF(COUNTIF(C266,"*preso*")&gt;0,"SI","NO")</f>
        <v>NO</v>
      </c>
      <c r="AH266" s="253">
        <f>NroOrden(N266)</f>
        <v>50</v>
      </c>
      <c r="AI266" s="160"/>
      <c r="AJ266" s="48" t="str">
        <f ca="1">IF(OR(Y266="NO",Y266="LIMBO"),"IMP","NOIMP")</f>
        <v>NOIMP</v>
      </c>
    </row>
    <row r="267" spans="1:36" ht="45" hidden="1" customHeight="1">
      <c r="A267" s="160">
        <v>170</v>
      </c>
      <c r="B267" s="161" t="s">
        <v>1230</v>
      </c>
      <c r="C267" s="211"/>
      <c r="D267" s="160" t="s">
        <v>1231</v>
      </c>
      <c r="E267" s="160" t="s">
        <v>1232</v>
      </c>
      <c r="F267" s="266">
        <v>45140</v>
      </c>
      <c r="G267" s="160" t="s">
        <v>1203</v>
      </c>
      <c r="H267" s="160" t="s">
        <v>1642</v>
      </c>
      <c r="I267" s="161">
        <v>45231</v>
      </c>
      <c r="J267" s="161" t="s">
        <v>14</v>
      </c>
      <c r="K267" s="160" t="s">
        <v>365</v>
      </c>
      <c r="L267" s="160" t="s">
        <v>2009</v>
      </c>
      <c r="M267" s="161" t="s">
        <v>331</v>
      </c>
      <c r="N267" s="160" t="s">
        <v>355</v>
      </c>
      <c r="O267" s="160" t="s">
        <v>2049</v>
      </c>
      <c r="P267" s="160" t="s">
        <v>2376</v>
      </c>
      <c r="Q267" s="160" t="s">
        <v>111</v>
      </c>
      <c r="R267" s="160"/>
      <c r="S267" s="160"/>
      <c r="T267" s="160"/>
      <c r="U267" s="160"/>
      <c r="V267" s="160" t="s">
        <v>914</v>
      </c>
      <c r="W267" s="160" t="s">
        <v>1233</v>
      </c>
      <c r="X267" s="160" t="s">
        <v>1234</v>
      </c>
      <c r="Y267" s="160" t="str">
        <f ca="1">IF(I267&lt;&gt;"",IF(I267&lt;=TODAY(),IF(OR(N267="REPROGRAMADA",N267="SUSPENDIDA",N267="EXCLUSION",N267="COLEGIADO"),"NO HECHA",IF(N267=" ","SINRESULTADO","SI")),"NO"),IF(N267="EXCLUSION","NO HECHA","LIMBO"))</f>
        <v>SI</v>
      </c>
      <c r="Z267" s="160" t="str">
        <f>IF($Z$1=I267,"DIASOL", "DIANOSOL")</f>
        <v>DIANOSOL</v>
      </c>
      <c r="AA267" s="160" t="s">
        <v>240</v>
      </c>
      <c r="AB267" s="160" t="s">
        <v>1235</v>
      </c>
      <c r="AC267" s="160" t="str">
        <f>IF(H267=$M$1,"SI","NO")</f>
        <v>NO</v>
      </c>
      <c r="AD267" s="160"/>
      <c r="AE267" s="160"/>
      <c r="AF267" s="160"/>
      <c r="AG267" s="160" t="str">
        <f>IF(COUNTIF(C267,"*preso*")&gt;0,"SI","NO")</f>
        <v>NO</v>
      </c>
      <c r="AH267" s="264">
        <f>NroOrden(N267)</f>
        <v>50</v>
      </c>
      <c r="AI267" s="160"/>
      <c r="AJ267" s="186" t="str">
        <f ca="1">IF(OR(Y267="NO",Y267="LIMBO"),"IMP","NOIMP")</f>
        <v>NOIMP</v>
      </c>
    </row>
    <row r="268" spans="1:36" ht="39.950000000000003" hidden="1" customHeight="1">
      <c r="A268" s="160">
        <v>358</v>
      </c>
      <c r="B268" s="161" t="s">
        <v>2217</v>
      </c>
      <c r="C268" s="211" t="s">
        <v>501</v>
      </c>
      <c r="D268" s="160" t="s">
        <v>2218</v>
      </c>
      <c r="E268" s="160" t="s">
        <v>2219</v>
      </c>
      <c r="F268" s="266">
        <v>45218</v>
      </c>
      <c r="G268" s="160"/>
      <c r="H268" s="160" t="s">
        <v>1643</v>
      </c>
      <c r="I268" s="161">
        <v>45231</v>
      </c>
      <c r="J268" s="161" t="s">
        <v>1567</v>
      </c>
      <c r="K268" s="160" t="s">
        <v>362</v>
      </c>
      <c r="L268" s="160" t="s">
        <v>1664</v>
      </c>
      <c r="M268" s="161" t="s">
        <v>330</v>
      </c>
      <c r="N268" s="160" t="s">
        <v>356</v>
      </c>
      <c r="O268" s="160" t="s">
        <v>2049</v>
      </c>
      <c r="P268" s="160"/>
      <c r="Q268" s="160" t="s">
        <v>240</v>
      </c>
      <c r="R268" s="160"/>
      <c r="S268" s="160" t="s">
        <v>1958</v>
      </c>
      <c r="T268" s="160" t="s">
        <v>2221</v>
      </c>
      <c r="U268" s="160" t="s">
        <v>2223</v>
      </c>
      <c r="V268" s="160" t="s">
        <v>345</v>
      </c>
      <c r="W268" s="160" t="s">
        <v>140</v>
      </c>
      <c r="X268" s="160"/>
      <c r="Y268" s="160" t="str">
        <f ca="1">IF(I268&lt;&gt;"",IF(I268&lt;=TODAY(),IF(OR(N268="REPROGRAMADA",N268="SUSPENDIDA",N268="EXCLUSION",N268="COLEGIADO"),"NO HECHA",IF(N268=" ","SINRESULTADO","SI")),"NO"),IF(N268="EXCLUSION","NO HECHA","LIMBO"))</f>
        <v>SI</v>
      </c>
      <c r="Z268" s="160" t="str">
        <f>IF($Z$1=I268,"DIASOL", "DIANOSOL")</f>
        <v>DIANOSOL</v>
      </c>
      <c r="AA268" s="160"/>
      <c r="AB268" s="160" t="s">
        <v>2220</v>
      </c>
      <c r="AC268" s="160" t="str">
        <f>IF(H268=$M$1,"SI","NO")</f>
        <v>NO</v>
      </c>
      <c r="AD268" s="160"/>
      <c r="AE268" s="266">
        <v>45218</v>
      </c>
      <c r="AF268" s="160"/>
      <c r="AG268" s="160" t="str">
        <f>IF(COUNTIF(C268,"*preso*")&gt;0,"SI","NO")</f>
        <v>SI</v>
      </c>
      <c r="AH268" s="264">
        <f>NroOrden(N268)</f>
        <v>50</v>
      </c>
      <c r="AI268" s="160"/>
      <c r="AJ268" s="186" t="str">
        <f ca="1">IF(OR(Y268="NO",Y268="LIMBO"),"IMP","NOIMP")</f>
        <v>NOIMP</v>
      </c>
    </row>
    <row r="269" spans="1:36" ht="39.950000000000003" hidden="1" customHeight="1">
      <c r="A269" s="160">
        <v>336</v>
      </c>
      <c r="B269" s="161" t="s">
        <v>524</v>
      </c>
      <c r="C269" s="211"/>
      <c r="D269" s="160" t="s">
        <v>521</v>
      </c>
      <c r="E269" s="160" t="s">
        <v>2101</v>
      </c>
      <c r="F269" s="266">
        <v>45084</v>
      </c>
      <c r="G269" s="160" t="s">
        <v>2097</v>
      </c>
      <c r="H269" s="160" t="s">
        <v>1646</v>
      </c>
      <c r="I269" s="161">
        <v>45232</v>
      </c>
      <c r="J269" s="161" t="s">
        <v>2102</v>
      </c>
      <c r="K269" s="160" t="s">
        <v>1679</v>
      </c>
      <c r="L269" s="160" t="s">
        <v>1663</v>
      </c>
      <c r="M269" s="161" t="s">
        <v>331</v>
      </c>
      <c r="N269" s="160" t="s">
        <v>359</v>
      </c>
      <c r="O269" s="160" t="s">
        <v>2049</v>
      </c>
      <c r="P269" s="160"/>
      <c r="Q269" s="160" t="s">
        <v>240</v>
      </c>
      <c r="R269" s="160"/>
      <c r="S269" s="160"/>
      <c r="T269" s="160"/>
      <c r="U269" s="160"/>
      <c r="V269" s="160" t="s">
        <v>339</v>
      </c>
      <c r="W269" s="160" t="s">
        <v>132</v>
      </c>
      <c r="X269" s="160" t="s">
        <v>111</v>
      </c>
      <c r="Y269" s="160" t="str">
        <f ca="1">IF(I269&lt;&gt;"",IF(I269&lt;=TODAY(),IF(OR(N269="REPROGRAMADA",N269="SUSPENDIDA",N269="EXCLUSION",N269="COLEGIADO"),"NO HECHA",IF(N269=" ","SINRESULTADO","SI")),"NO"),IF(N269="EXCLUSION","NO HECHA","LIMBO"))</f>
        <v>SI</v>
      </c>
      <c r="Z269" s="160" t="str">
        <f>IF($Z$1=I269,"DIASOL", "DIANOSOL")</f>
        <v>DIANOSOL</v>
      </c>
      <c r="AA269" s="160" t="s">
        <v>240</v>
      </c>
      <c r="AB269" s="266"/>
      <c r="AC269" s="160" t="str">
        <f>IF(H269=$M$1,"SI","NO")</f>
        <v>NO</v>
      </c>
      <c r="AD269" s="160"/>
      <c r="AE269" s="160"/>
      <c r="AF269" s="160"/>
      <c r="AG269" s="160" t="str">
        <f>IF(COUNTIF(C269,"*preso*")&gt;0,"SI","NO")</f>
        <v>NO</v>
      </c>
      <c r="AH269" s="264">
        <f>NroOrden(N269)</f>
        <v>50</v>
      </c>
      <c r="AI269" s="160"/>
      <c r="AJ269" s="186" t="str">
        <f ca="1">IF(OR(Y269="NO",Y269="LIMBO"),"IMP","NOIMP")</f>
        <v>NOIMP</v>
      </c>
    </row>
    <row r="270" spans="1:36" ht="39.950000000000003" hidden="1" customHeight="1">
      <c r="A270" s="272">
        <v>396</v>
      </c>
      <c r="B270" s="273" t="s">
        <v>1897</v>
      </c>
      <c r="C270" s="274" t="s">
        <v>1477</v>
      </c>
      <c r="D270" s="272" t="s">
        <v>1898</v>
      </c>
      <c r="E270" s="272" t="s">
        <v>1899</v>
      </c>
      <c r="F270" s="272">
        <v>45194</v>
      </c>
      <c r="G270" s="272"/>
      <c r="H270" s="272" t="s">
        <v>1648</v>
      </c>
      <c r="I270" s="273">
        <v>45232</v>
      </c>
      <c r="J270" s="273" t="s">
        <v>13</v>
      </c>
      <c r="K270" s="272" t="s">
        <v>363</v>
      </c>
      <c r="L270" s="272" t="s">
        <v>1664</v>
      </c>
      <c r="M270" s="273" t="s">
        <v>1761</v>
      </c>
      <c r="N270" s="272" t="s">
        <v>357</v>
      </c>
      <c r="O270" s="272" t="s">
        <v>2049</v>
      </c>
      <c r="P270" s="272"/>
      <c r="Q270" s="272" t="s">
        <v>240</v>
      </c>
      <c r="R270" s="272"/>
      <c r="S270" s="272" t="s">
        <v>1900</v>
      </c>
      <c r="T270" s="272" t="s">
        <v>1901</v>
      </c>
      <c r="U270" s="272" t="s">
        <v>1902</v>
      </c>
      <c r="V270" s="272" t="s">
        <v>186</v>
      </c>
      <c r="W270" s="272" t="s">
        <v>1464</v>
      </c>
      <c r="X270" s="272" t="s">
        <v>111</v>
      </c>
      <c r="Y270" s="272" t="str">
        <f ca="1">IF(I270&lt;&gt;"",IF(I270&lt;=TODAY(),IF(OR(N270="REPROGRAMADA",N270="SUSPENDIDA",N270="EXCLUSION",N270="COLEGIADO"),"NO HECHA",IF(N270=" ","SINRESULTADO","SI")),"NO"),IF(N270="EXCLUSION","NO HECHA","LIMBO"))</f>
        <v>SI</v>
      </c>
      <c r="Z270" s="272" t="str">
        <f>IF($Z$1=I270,"DIASOL", "DIANOSOL")</f>
        <v>DIANOSOL</v>
      </c>
      <c r="AA270" s="272" t="s">
        <v>240</v>
      </c>
      <c r="AB270" s="275"/>
      <c r="AC270" s="272" t="str">
        <f>IF(H270=$M$1,"SI","NO")</f>
        <v>NO</v>
      </c>
      <c r="AD270" s="272"/>
      <c r="AE270" s="272"/>
      <c r="AF270" s="272"/>
      <c r="AG270" s="272" t="str">
        <f>IF(COUNTIF(C270,"*preso*")&gt;0,"SI","NO")</f>
        <v>SI</v>
      </c>
      <c r="AH270" s="315">
        <f>NroOrden(N270)</f>
        <v>50</v>
      </c>
      <c r="AI270" s="272"/>
      <c r="AJ270" s="307" t="str">
        <f ca="1">IF(OR(Y270="NO",Y270="LIMBO"),"IMP","NOIMP")</f>
        <v>NOIMP</v>
      </c>
    </row>
    <row r="271" spans="1:36" ht="39.950000000000003" customHeight="1">
      <c r="A271" s="160">
        <v>281</v>
      </c>
      <c r="B271" s="161" t="s">
        <v>1834</v>
      </c>
      <c r="C271" s="211"/>
      <c r="D271" s="160" t="s">
        <v>1836</v>
      </c>
      <c r="E271" s="160" t="s">
        <v>1837</v>
      </c>
      <c r="F271" s="266">
        <v>45176</v>
      </c>
      <c r="G271" s="160" t="s">
        <v>1828</v>
      </c>
      <c r="H271" s="160"/>
      <c r="I271" s="161">
        <v>45232</v>
      </c>
      <c r="J271" s="161" t="s">
        <v>282</v>
      </c>
      <c r="K271" s="160" t="s">
        <v>364</v>
      </c>
      <c r="L271" s="160" t="s">
        <v>1664</v>
      </c>
      <c r="M271" s="161" t="s">
        <v>330</v>
      </c>
      <c r="N271" s="160" t="s">
        <v>359</v>
      </c>
      <c r="O271" s="160" t="s">
        <v>2051</v>
      </c>
      <c r="P271" s="160"/>
      <c r="Q271" s="160"/>
      <c r="R271" s="160"/>
      <c r="S271" s="160"/>
      <c r="T271" s="160"/>
      <c r="U271" s="160"/>
      <c r="V271" s="160" t="s">
        <v>191</v>
      </c>
      <c r="W271" s="160" t="s">
        <v>111</v>
      </c>
      <c r="X271" s="160" t="s">
        <v>111</v>
      </c>
      <c r="Y271" s="160" t="str">
        <f ca="1">IF(I271&lt;&gt;"",IF(I271&lt;=TODAY(),IF(OR(N271="REPROGRAMADA",N271="SUSPENDIDA",N271="EXCLUSION",N271="COLEGIADO"),"NO HECHA",IF(N271=" ","SINRESULTADO","SI")),"NO"),IF(N271="EXCLUSION","NO HECHA","LIMBO"))</f>
        <v>SI</v>
      </c>
      <c r="Z271" s="160" t="str">
        <f>IF($Z$1=I271,"DIASOL", "DIANOSOL")</f>
        <v>DIANOSOL</v>
      </c>
      <c r="AA271" s="160" t="s">
        <v>240</v>
      </c>
      <c r="AB271" s="160" t="s">
        <v>1835</v>
      </c>
      <c r="AC271" s="160" t="str">
        <f>IF(H271=$M$1,"SI","NO")</f>
        <v>NO</v>
      </c>
      <c r="AD271" s="160"/>
      <c r="AE271" s="266">
        <v>45176</v>
      </c>
      <c r="AF271" s="160"/>
      <c r="AG271" s="160" t="str">
        <f>IF(COUNTIF(C271,"*preso*")&gt;0,"SI","NO")</f>
        <v>NO</v>
      </c>
      <c r="AH271" s="264">
        <f>NroOrden(N271)</f>
        <v>50</v>
      </c>
      <c r="AI271" s="160"/>
      <c r="AJ271" s="186" t="str">
        <f ca="1">IF(OR(Y271="NO",Y271="LIMBO"),"IMP","NOIMP")</f>
        <v>NOIMP</v>
      </c>
    </row>
    <row r="272" spans="1:36" ht="39.950000000000003" hidden="1" customHeight="1">
      <c r="A272" s="160">
        <v>218</v>
      </c>
      <c r="B272" s="161" t="s">
        <v>1512</v>
      </c>
      <c r="C272" s="211"/>
      <c r="D272" s="160" t="s">
        <v>1513</v>
      </c>
      <c r="E272" s="160" t="s">
        <v>2404</v>
      </c>
      <c r="F272" s="266">
        <v>45163</v>
      </c>
      <c r="G272" s="160" t="s">
        <v>1514</v>
      </c>
      <c r="H272" s="160" t="s">
        <v>1649</v>
      </c>
      <c r="I272" s="161">
        <v>45232</v>
      </c>
      <c r="J272" s="161" t="s">
        <v>14</v>
      </c>
      <c r="K272" s="160" t="s">
        <v>362</v>
      </c>
      <c r="L272" s="160" t="s">
        <v>1664</v>
      </c>
      <c r="M272" s="161" t="s">
        <v>328</v>
      </c>
      <c r="N272" s="160" t="s">
        <v>357</v>
      </c>
      <c r="O272" s="160" t="s">
        <v>2049</v>
      </c>
      <c r="P272" s="160"/>
      <c r="Q272" s="160" t="s">
        <v>111</v>
      </c>
      <c r="R272" s="160"/>
      <c r="S272" s="160"/>
      <c r="T272" s="160"/>
      <c r="U272" s="160"/>
      <c r="V272" s="160" t="s">
        <v>1286</v>
      </c>
      <c r="W272" s="160" t="s">
        <v>1515</v>
      </c>
      <c r="X272" s="160" t="s">
        <v>111</v>
      </c>
      <c r="Y272" s="160" t="str">
        <f ca="1">IF(I272&lt;&gt;"",IF(I272&lt;=TODAY(),IF(OR(N272="REPROGRAMADA",N272="SUSPENDIDA",N272="EXCLUSION",N272="COLEGIADO"),"NO HECHA",IF(N272=" ","SINRESULTADO","SI")),"NO"),IF(N272="EXCLUSION","NO HECHA","LIMBO"))</f>
        <v>SI</v>
      </c>
      <c r="Z272" s="160" t="str">
        <f>IF($Z$1=I272,"DIASOL", "DIANOSOL")</f>
        <v>DIANOSOL</v>
      </c>
      <c r="AA272" s="160" t="s">
        <v>240</v>
      </c>
      <c r="AB272" s="160" t="s">
        <v>1516</v>
      </c>
      <c r="AC272" s="160" t="str">
        <f>IF(H272=$M$1,"SI","NO")</f>
        <v>NO</v>
      </c>
      <c r="AD272" s="160"/>
      <c r="AE272" s="266">
        <v>45162</v>
      </c>
      <c r="AF272" s="160"/>
      <c r="AG272" s="160" t="str">
        <f>IF(COUNTIF(C272,"*preso*")&gt;0,"SI","NO")</f>
        <v>NO</v>
      </c>
      <c r="AH272" s="264">
        <f>NroOrden(N272)</f>
        <v>50</v>
      </c>
      <c r="AI272" s="160"/>
      <c r="AJ272" s="186" t="str">
        <f ca="1">IF(OR(Y272="NO",Y272="LIMBO"),"IMP","NOIMP")</f>
        <v>NOIMP</v>
      </c>
    </row>
    <row r="273" spans="1:36" ht="39.950000000000003" hidden="1" customHeight="1">
      <c r="A273" s="272">
        <v>296</v>
      </c>
      <c r="B273" s="273" t="s">
        <v>1904</v>
      </c>
      <c r="C273" s="274"/>
      <c r="D273" s="272" t="s">
        <v>1905</v>
      </c>
      <c r="E273" s="272" t="s">
        <v>518</v>
      </c>
      <c r="F273" s="275">
        <v>45197</v>
      </c>
      <c r="G273" s="272" t="s">
        <v>1848</v>
      </c>
      <c r="H273" s="272" t="s">
        <v>1646</v>
      </c>
      <c r="I273" s="273">
        <v>45233</v>
      </c>
      <c r="J273" s="273" t="s">
        <v>282</v>
      </c>
      <c r="K273" s="272" t="s">
        <v>1950</v>
      </c>
      <c r="L273" s="272" t="s">
        <v>1663</v>
      </c>
      <c r="M273" s="273" t="s">
        <v>332</v>
      </c>
      <c r="N273" s="272" t="s">
        <v>357</v>
      </c>
      <c r="O273" s="272" t="s">
        <v>2049</v>
      </c>
      <c r="P273" s="272"/>
      <c r="Q273" s="272"/>
      <c r="R273" s="272"/>
      <c r="S273" s="272"/>
      <c r="T273" s="272"/>
      <c r="U273" s="272"/>
      <c r="V273" s="272" t="s">
        <v>189</v>
      </c>
      <c r="W273" s="272" t="s">
        <v>119</v>
      </c>
      <c r="X273" s="272" t="s">
        <v>111</v>
      </c>
      <c r="Y273" s="272" t="str">
        <f ca="1">IF(I273&lt;&gt;"",IF(I273&lt;=TODAY(),IF(OR(N273="REPROGRAMADA",N273="SUSPENDIDA",N273="EXCLUSION",N273="COLEGIADO"),"NO HECHA",IF(N273=" ","SINRESULTADO","SI")),"NO"),IF(N273="EXCLUSION","NO HECHA","LIMBO"))</f>
        <v>SI</v>
      </c>
      <c r="Z273" s="272" t="str">
        <f>IF($Z$1=I273,"DIASOL", "DIANOSOL")</f>
        <v>DIANOSOL</v>
      </c>
      <c r="AA273" s="272" t="s">
        <v>240</v>
      </c>
      <c r="AB273" s="272" t="s">
        <v>1906</v>
      </c>
      <c r="AC273" s="272" t="str">
        <f>IF(H273=$M$1,"SI","NO")</f>
        <v>NO</v>
      </c>
      <c r="AD273" s="272"/>
      <c r="AE273" s="275">
        <v>45197</v>
      </c>
      <c r="AF273" s="272"/>
      <c r="AG273" s="272" t="str">
        <f>IF(COUNTIF(C273,"*preso*")&gt;0,"SI","NO")</f>
        <v>NO</v>
      </c>
      <c r="AH273" s="269">
        <f>NroOrden(N273)</f>
        <v>50</v>
      </c>
      <c r="AI273" s="272"/>
      <c r="AJ273" s="270" t="str">
        <f ca="1">IF(OR(Y273="NO",Y273="LIMBO"),"IMP","NOIMP")</f>
        <v>NOIMP</v>
      </c>
    </row>
    <row r="274" spans="1:36" ht="39.950000000000003" hidden="1" customHeight="1">
      <c r="A274" s="98">
        <v>55</v>
      </c>
      <c r="B274" s="99" t="s">
        <v>711</v>
      </c>
      <c r="C274" s="209"/>
      <c r="D274" s="98" t="s">
        <v>712</v>
      </c>
      <c r="E274" s="98" t="s">
        <v>713</v>
      </c>
      <c r="F274" s="184">
        <v>45090</v>
      </c>
      <c r="G274" s="98"/>
      <c r="H274" s="98"/>
      <c r="I274" s="99" t="s">
        <v>1520</v>
      </c>
      <c r="J274" s="141">
        <v>0.52083333333333337</v>
      </c>
      <c r="K274" s="98" t="s">
        <v>362</v>
      </c>
      <c r="L274" s="182"/>
      <c r="M274" s="99" t="s">
        <v>330</v>
      </c>
      <c r="N274" s="98" t="s">
        <v>354</v>
      </c>
      <c r="O274" s="98" t="s">
        <v>2355</v>
      </c>
      <c r="P274" s="98" t="s">
        <v>1521</v>
      </c>
      <c r="Q274" s="182" t="s">
        <v>111</v>
      </c>
      <c r="R274" s="182"/>
      <c r="S274" s="98"/>
      <c r="T274" s="182"/>
      <c r="U274" s="182"/>
      <c r="V274" s="98" t="s">
        <v>346</v>
      </c>
      <c r="W274" s="98" t="s">
        <v>119</v>
      </c>
      <c r="X274" s="98" t="s">
        <v>111</v>
      </c>
      <c r="Y274" s="163" t="str">
        <f ca="1">IF(I274&lt;&gt;"",IF(I274&lt;=TODAY(),IF(OR(N274="REPROGRAMADA",N274="SUSPENDIDA",N274="EXCLUSION",N274="COLEGIADO"),"NO HECHA",IF(N274=" ","SINRESULTADO","SI")),"NO"),IF(N274="EXCLUSION","NO HECHA","LIMBO"))</f>
        <v>NO</v>
      </c>
      <c r="Z274" s="98" t="str">
        <f>IF($Z$1=I274,"DIASOL", "DIANOSOL")</f>
        <v>DIANOSOL</v>
      </c>
      <c r="AA274" s="98" t="s">
        <v>240</v>
      </c>
      <c r="AB274" s="98" t="s">
        <v>714</v>
      </c>
      <c r="AC274" s="185" t="str">
        <f>IF(H274=$M$1,"SI","NO")</f>
        <v>NO</v>
      </c>
      <c r="AD274" s="185"/>
      <c r="AE274" s="182"/>
      <c r="AF274" s="182"/>
      <c r="AG274" s="182" t="str">
        <f>IF(COUNTIF(C274,"*preso*")&gt;0,"SI","NO")</f>
        <v>NO</v>
      </c>
      <c r="AH274" s="265">
        <f>NroOrden(N274)</f>
        <v>50</v>
      </c>
      <c r="AI274" s="182"/>
      <c r="AJ274" s="283" t="str">
        <f ca="1">IF(OR(Y274="NO",Y274="LIMBO"),"IMP","NOIMP")</f>
        <v>IMP</v>
      </c>
    </row>
    <row r="275" spans="1:36" ht="51" hidden="1">
      <c r="A275" s="259">
        <v>233</v>
      </c>
      <c r="B275" s="260" t="s">
        <v>1611</v>
      </c>
      <c r="C275" s="259"/>
      <c r="D275" s="259" t="s">
        <v>1658</v>
      </c>
      <c r="E275" s="259" t="s">
        <v>1612</v>
      </c>
      <c r="F275" s="262">
        <v>45173</v>
      </c>
      <c r="G275" s="259" t="s">
        <v>1606</v>
      </c>
      <c r="H275" s="259" t="s">
        <v>111</v>
      </c>
      <c r="I275" s="260"/>
      <c r="J275" s="260"/>
      <c r="K275" s="259" t="s">
        <v>111</v>
      </c>
      <c r="L275" s="138"/>
      <c r="M275" s="260" t="s">
        <v>332</v>
      </c>
      <c r="N275" s="259" t="s">
        <v>360</v>
      </c>
      <c r="O275" s="259" t="s">
        <v>2051</v>
      </c>
      <c r="P275" s="259" t="s">
        <v>2377</v>
      </c>
      <c r="Q275" s="259" t="s">
        <v>111</v>
      </c>
      <c r="R275" s="259"/>
      <c r="S275" s="259"/>
      <c r="T275" s="259"/>
      <c r="U275" s="259"/>
      <c r="V275" s="259" t="s">
        <v>1286</v>
      </c>
      <c r="W275" s="259" t="s">
        <v>1613</v>
      </c>
      <c r="X275" s="259" t="s">
        <v>111</v>
      </c>
      <c r="Y275" s="259" t="str">
        <f ca="1">IF(I275&lt;&gt;"",IF(I275&lt;=TODAY(),IF(OR(N275="REPROGRAMADA",N275="SUSPENDIDA",N275="EXCLUSION",N275="COLEGIADO"),"NO HECHA",IF(N275=" ","SINRESULTADO","SI")),"NO"),IF(N275="EXCLUSION","NO HECHA","LIMBO"))</f>
        <v>LIMBO</v>
      </c>
      <c r="Z275" s="259" t="str">
        <f>IF($Z$1=I275,"DIASOL", "DIANOSOL")</f>
        <v>DIANOSOL</v>
      </c>
      <c r="AA275" s="259" t="s">
        <v>1614</v>
      </c>
      <c r="AB275" s="259" t="s">
        <v>1615</v>
      </c>
      <c r="AC275" s="259" t="str">
        <f>IF(H275=$M$1,"SI","NO")</f>
        <v>NO</v>
      </c>
      <c r="AD275" s="259"/>
      <c r="AE275" s="262">
        <v>45169</v>
      </c>
      <c r="AF275" s="259"/>
      <c r="AG275" s="259" t="str">
        <f>IF(COUNTIF(C275,"*preso*")&gt;0,"SI","NO")</f>
        <v>NO</v>
      </c>
      <c r="AH275" s="263">
        <f>NroOrden(N275)</f>
        <v>50</v>
      </c>
      <c r="AI275" s="259"/>
      <c r="AJ275" s="251" t="str">
        <f ca="1">IF(OR(Y275="NO",Y275="LIMBO"),"IMP","NOIMP")</f>
        <v>IMP</v>
      </c>
    </row>
    <row r="276" spans="1:36" ht="129.75" hidden="1" customHeight="1">
      <c r="A276" s="259">
        <v>260</v>
      </c>
      <c r="B276" s="260" t="s">
        <v>1749</v>
      </c>
      <c r="C276" s="261"/>
      <c r="D276" s="259" t="s">
        <v>1750</v>
      </c>
      <c r="E276" s="259" t="s">
        <v>1751</v>
      </c>
      <c r="F276" s="262">
        <v>45180</v>
      </c>
      <c r="G276" s="259" t="s">
        <v>1753</v>
      </c>
      <c r="H276" s="259" t="s">
        <v>111</v>
      </c>
      <c r="I276" s="260"/>
      <c r="J276" s="260"/>
      <c r="K276" s="259" t="s">
        <v>111</v>
      </c>
      <c r="L276" s="259" t="s">
        <v>111</v>
      </c>
      <c r="M276" s="260" t="s">
        <v>332</v>
      </c>
      <c r="N276" s="259" t="s">
        <v>360</v>
      </c>
      <c r="O276" s="259" t="s">
        <v>2051</v>
      </c>
      <c r="P276" s="259" t="s">
        <v>2378</v>
      </c>
      <c r="Q276" s="259"/>
      <c r="R276" s="259"/>
      <c r="S276" s="259"/>
      <c r="T276" s="259"/>
      <c r="U276" s="259"/>
      <c r="V276" s="259" t="s">
        <v>189</v>
      </c>
      <c r="W276" s="259" t="s">
        <v>111</v>
      </c>
      <c r="X276" s="259" t="s">
        <v>111</v>
      </c>
      <c r="Y276" s="259" t="str">
        <f ca="1">IF(I276&lt;&gt;"",IF(I276&lt;=TODAY(),IF(OR(N276="REPROGRAMADA",N276="SUSPENDIDA",N276="EXCLUSION",N276="COLEGIADO"),"NO HECHA",IF(N276=" ","SINRESULTADO","SI")),"NO"),IF(N276="EXCLUSION","NO HECHA","LIMBO"))</f>
        <v>LIMBO</v>
      </c>
      <c r="Z276" s="259" t="str">
        <f>IF($Z$1=I276,"DIASOL", "DIANOSOL")</f>
        <v>DIANOSOL</v>
      </c>
      <c r="AA276" s="259" t="s">
        <v>240</v>
      </c>
      <c r="AB276" s="259" t="s">
        <v>1752</v>
      </c>
      <c r="AC276" s="259" t="str">
        <f>IF(H276=$M$1,"SI","NO")</f>
        <v>NO</v>
      </c>
      <c r="AD276" s="259"/>
      <c r="AE276" s="262">
        <v>45169</v>
      </c>
      <c r="AF276" s="259"/>
      <c r="AG276" s="259" t="str">
        <f>IF(COUNTIF(C276,"*preso*")&gt;0,"SI","NO")</f>
        <v>NO</v>
      </c>
      <c r="AH276" s="263">
        <f>NroOrden(N276)</f>
        <v>50</v>
      </c>
      <c r="AI276" s="259"/>
      <c r="AJ276" s="251" t="str">
        <f ca="1">IF(OR(Y276="NO",Y276="LIMBO"),"IMP","NOIMP")</f>
        <v>IMP</v>
      </c>
    </row>
    <row r="277" spans="1:36" ht="60.75" hidden="1" customHeight="1">
      <c r="A277" s="98">
        <v>32</v>
      </c>
      <c r="B277" s="99" t="s">
        <v>572</v>
      </c>
      <c r="C277" s="209"/>
      <c r="D277" s="98" t="s">
        <v>1340</v>
      </c>
      <c r="E277" s="98" t="s">
        <v>573</v>
      </c>
      <c r="F277" s="153">
        <v>45079</v>
      </c>
      <c r="G277" s="98"/>
      <c r="H277" s="98"/>
      <c r="I277" s="99">
        <v>45111</v>
      </c>
      <c r="J277" s="141">
        <v>0.39583333333333331</v>
      </c>
      <c r="K277" s="98" t="s">
        <v>364</v>
      </c>
      <c r="L277" s="182"/>
      <c r="M277" s="99" t="s">
        <v>329</v>
      </c>
      <c r="N277" s="98" t="s">
        <v>354</v>
      </c>
      <c r="O277" s="181"/>
      <c r="P277" s="181"/>
      <c r="Q277" s="98" t="s">
        <v>111</v>
      </c>
      <c r="R277" s="182"/>
      <c r="S277" s="98"/>
      <c r="T277" s="98"/>
      <c r="U277" s="98"/>
      <c r="V277" s="98" t="s">
        <v>191</v>
      </c>
      <c r="W277" s="98" t="s">
        <v>111</v>
      </c>
      <c r="X277" s="98" t="s">
        <v>111</v>
      </c>
      <c r="Y277" s="163" t="str">
        <f ca="1">IF(I277&lt;&gt;"",IF(I277&lt;=TODAY(),IF(OR(N277="REPROGRAMADA",N277="SUSPENDIDA",N277="EXCLUSION",N277="COLEGIADO"),"NO HECHA",IF(N277=" ","SINRESULTADO","SI")),"NO"),IF(N277="EXCLUSION","NO HECHA","LIMBO"))</f>
        <v>NO HECHA</v>
      </c>
      <c r="Z277" s="98" t="str">
        <f>IF($Z$1=I277,"DIASOL", "DIANOSOL")</f>
        <v>DIANOSOL</v>
      </c>
      <c r="AA277" s="98" t="s">
        <v>240</v>
      </c>
      <c r="AB277" s="98" t="s">
        <v>574</v>
      </c>
      <c r="AC277" s="98" t="str">
        <f>IF(H277=$M$1,"SI","NO")</f>
        <v>NO</v>
      </c>
      <c r="AD277" s="98"/>
      <c r="AE277" s="98"/>
      <c r="AF277" s="98"/>
      <c r="AG277" s="163" t="str">
        <f>IF(COUNTIF(C277,"*preso*")&gt;0,"SI","NO")</f>
        <v>NO</v>
      </c>
      <c r="AH277" s="253">
        <f>NroOrden(N277)</f>
        <v>60</v>
      </c>
      <c r="AI277" s="98"/>
      <c r="AJ277" s="48" t="str">
        <f ca="1">IF(OR(Y277="NO",Y277="LIMBO"),"IMP","NOIMP")</f>
        <v>NOIMP</v>
      </c>
    </row>
    <row r="278" spans="1:36" ht="129.75" hidden="1" customHeight="1">
      <c r="A278" s="292">
        <v>251</v>
      </c>
      <c r="B278" s="293" t="s">
        <v>1706</v>
      </c>
      <c r="C278" s="294"/>
      <c r="D278" s="292" t="s">
        <v>1707</v>
      </c>
      <c r="E278" s="292" t="s">
        <v>1719</v>
      </c>
      <c r="F278" s="295">
        <v>45174</v>
      </c>
      <c r="G278" s="292" t="s">
        <v>1696</v>
      </c>
      <c r="H278" s="292" t="s">
        <v>1644</v>
      </c>
      <c r="I278" s="293">
        <v>45225</v>
      </c>
      <c r="J278" s="293" t="s">
        <v>1974</v>
      </c>
      <c r="K278" s="292" t="s">
        <v>364</v>
      </c>
      <c r="L278" s="292" t="s">
        <v>1663</v>
      </c>
      <c r="M278" s="293" t="s">
        <v>333</v>
      </c>
      <c r="N278" s="292" t="s">
        <v>111</v>
      </c>
      <c r="O278" s="292"/>
      <c r="P278" s="292"/>
      <c r="Q278" s="292"/>
      <c r="R278" s="292"/>
      <c r="S278" s="292"/>
      <c r="T278" s="292"/>
      <c r="U278" s="292"/>
      <c r="V278" s="292" t="s">
        <v>185</v>
      </c>
      <c r="W278" s="292" t="s">
        <v>111</v>
      </c>
      <c r="X278" s="292" t="s">
        <v>111</v>
      </c>
      <c r="Y278" s="292" t="str">
        <f ca="1">IF(I278&lt;&gt;"",IF(I278&lt;=TODAY(),IF(OR(N278="REPROGRAMADA",N278="SUSPENDIDA",N278="EXCLUSION",N278="COLEGIADO"),"NO HECHA",IF(N278=" ","SINRESULTADO","SI")),"NO"),IF(N278="EXCLUSION","NO HECHA","LIMBO"))</f>
        <v>SINRESULTADO</v>
      </c>
      <c r="Z278" s="292" t="str">
        <f>IF($Z$1=I278,"DIASOL", "DIANOSOL")</f>
        <v>DIANOSOL</v>
      </c>
      <c r="AA278" s="292" t="s">
        <v>240</v>
      </c>
      <c r="AB278" s="292" t="s">
        <v>1708</v>
      </c>
      <c r="AC278" s="292" t="str">
        <f>IF(H278=$M$1,"SI","NO")</f>
        <v>SI</v>
      </c>
      <c r="AD278" s="292"/>
      <c r="AE278" s="295">
        <v>45174</v>
      </c>
      <c r="AF278" s="292"/>
      <c r="AG278" s="292" t="str">
        <f>IF(COUNTIF(C278,"*preso*")&gt;0,"SI","NO")</f>
        <v>NO</v>
      </c>
      <c r="AH278" s="296">
        <f>NroOrden(N278)</f>
        <v>99</v>
      </c>
      <c r="AI278" s="292"/>
      <c r="AJ278" s="48" t="str">
        <f ca="1">IF(OR(Y278="NO",Y278="LIMBO"),"IMP","NOIMP")</f>
        <v>NOIMP</v>
      </c>
    </row>
    <row r="279" spans="1:36" ht="39.950000000000003" hidden="1" customHeight="1">
      <c r="A279" s="292">
        <v>236</v>
      </c>
      <c r="B279" s="293" t="s">
        <v>1623</v>
      </c>
      <c r="C279" s="294"/>
      <c r="D279" s="292" t="s">
        <v>1624</v>
      </c>
      <c r="E279" s="292" t="s">
        <v>1625</v>
      </c>
      <c r="F279" s="295">
        <v>45174</v>
      </c>
      <c r="G279" s="292" t="s">
        <v>1622</v>
      </c>
      <c r="H279" s="292" t="s">
        <v>1647</v>
      </c>
      <c r="I279" s="293">
        <v>45226</v>
      </c>
      <c r="J279" s="293" t="s">
        <v>396</v>
      </c>
      <c r="K279" s="292" t="s">
        <v>362</v>
      </c>
      <c r="L279" s="297" t="s">
        <v>1664</v>
      </c>
      <c r="M279" s="293" t="s">
        <v>330</v>
      </c>
      <c r="N279" s="292" t="s">
        <v>111</v>
      </c>
      <c r="O279" s="292"/>
      <c r="P279" s="292"/>
      <c r="Q279" s="292" t="s">
        <v>111</v>
      </c>
      <c r="R279" s="292"/>
      <c r="S279" s="292"/>
      <c r="T279" s="292"/>
      <c r="U279" s="292"/>
      <c r="V279" s="292" t="s">
        <v>199</v>
      </c>
      <c r="W279" s="292" t="s">
        <v>136</v>
      </c>
      <c r="X279" s="292" t="s">
        <v>111</v>
      </c>
      <c r="Y279" s="292" t="str">
        <f ca="1">IF(I279&lt;&gt;"",IF(I279&lt;=TODAY(),IF(OR(N279="REPROGRAMADA",N279="SUSPENDIDA",N279="EXCLUSION",N279="COLEGIADO"),"NO HECHA",IF(N279=" ","SINRESULTADO","SI")),"NO"),IF(N279="EXCLUSION","NO HECHA","LIMBO"))</f>
        <v>SINRESULTADO</v>
      </c>
      <c r="Z279" s="292" t="str">
        <f>IF($Z$1=I279,"DIASOL", "DIANOSOL")</f>
        <v>DIANOSOL</v>
      </c>
      <c r="AA279" s="292" t="s">
        <v>240</v>
      </c>
      <c r="AB279" s="292" t="s">
        <v>1626</v>
      </c>
      <c r="AC279" s="292" t="str">
        <f>IF(H279=$M$1,"SI","NO")</f>
        <v>NO</v>
      </c>
      <c r="AD279" s="292"/>
      <c r="AE279" s="295">
        <v>45091</v>
      </c>
      <c r="AF279" s="292"/>
      <c r="AG279" s="292" t="str">
        <f>IF(COUNTIF(C279,"*preso*")&gt;0,"SI","NO")</f>
        <v>NO</v>
      </c>
      <c r="AH279" s="296">
        <f>NroOrden(N279)</f>
        <v>99</v>
      </c>
      <c r="AI279" s="292"/>
      <c r="AJ279" s="48" t="str">
        <f ca="1">IF(OR(Y279="NO",Y279="LIMBO"),"IMP","NOIMP")</f>
        <v>NOIMP</v>
      </c>
    </row>
    <row r="280" spans="1:36" ht="39.950000000000003" hidden="1" customHeight="1">
      <c r="A280" s="292">
        <v>342</v>
      </c>
      <c r="B280" s="293" t="s">
        <v>1043</v>
      </c>
      <c r="C280" s="294"/>
      <c r="D280" s="292" t="s">
        <v>1044</v>
      </c>
      <c r="E280" s="292" t="s">
        <v>1045</v>
      </c>
      <c r="F280" s="292"/>
      <c r="G280" s="292"/>
      <c r="H280" s="292" t="s">
        <v>1644</v>
      </c>
      <c r="I280" s="293">
        <v>45229</v>
      </c>
      <c r="J280" s="293" t="s">
        <v>1182</v>
      </c>
      <c r="K280" s="292" t="s">
        <v>364</v>
      </c>
      <c r="L280" s="292" t="s">
        <v>1664</v>
      </c>
      <c r="M280" s="293" t="s">
        <v>328</v>
      </c>
      <c r="N280" s="292"/>
      <c r="O280" s="292"/>
      <c r="P280" s="292"/>
      <c r="Q280" s="292" t="s">
        <v>240</v>
      </c>
      <c r="R280" s="292"/>
      <c r="S280" s="292"/>
      <c r="T280" s="292"/>
      <c r="U280" s="292"/>
      <c r="V280" s="292" t="s">
        <v>182</v>
      </c>
      <c r="W280" s="292" t="s">
        <v>1047</v>
      </c>
      <c r="X280" s="292" t="s">
        <v>111</v>
      </c>
      <c r="Y280" s="292" t="str">
        <f ca="1">IF(I280&lt;&gt;"",IF(I280&lt;=TODAY(),IF(OR(N280="REPROGRAMADA",N280="SUSPENDIDA",N280="EXCLUSION",N280="COLEGIADO"),"NO HECHA",IF(N280=" ","SINRESULTADO","SI")),"NO"),IF(N280="EXCLUSION","NO HECHA","LIMBO"))</f>
        <v>SI</v>
      </c>
      <c r="Z280" s="292" t="str">
        <f>IF($Z$1=I280,"DIASOL", "DIANOSOL")</f>
        <v>DIANOSOL</v>
      </c>
      <c r="AA280" s="292" t="s">
        <v>240</v>
      </c>
      <c r="AB280" s="295"/>
      <c r="AC280" s="292" t="str">
        <f>IF(H280=$M$1,"SI","NO")</f>
        <v>SI</v>
      </c>
      <c r="AD280" s="292"/>
      <c r="AE280" s="292"/>
      <c r="AF280" s="292"/>
      <c r="AG280" s="292" t="str">
        <f>IF(COUNTIF(C280,"*preso*")&gt;0,"SI","NO")</f>
        <v>NO</v>
      </c>
      <c r="AH280" s="313">
        <f>NroOrden(N280)</f>
        <v>99</v>
      </c>
      <c r="AI280" s="292" t="s">
        <v>1447</v>
      </c>
      <c r="AJ280" s="48" t="str">
        <f ca="1">IF(OR(Y280="NO",Y280="LIMBO"),"IMP","NOIMP")</f>
        <v>NOIMP</v>
      </c>
    </row>
    <row r="281" spans="1:36" ht="89.25" hidden="1" customHeight="1">
      <c r="A281" s="197">
        <v>354</v>
      </c>
      <c r="B281" s="198" t="s">
        <v>1783</v>
      </c>
      <c r="C281" s="199"/>
      <c r="D281" s="197" t="s">
        <v>1784</v>
      </c>
      <c r="E281" s="197" t="s">
        <v>1785</v>
      </c>
      <c r="F281" s="197">
        <v>45188</v>
      </c>
      <c r="G281" s="197"/>
      <c r="H281" s="200" t="s">
        <v>1642</v>
      </c>
      <c r="I281" s="201">
        <v>45233</v>
      </c>
      <c r="J281" s="201" t="s">
        <v>282</v>
      </c>
      <c r="K281" s="200" t="s">
        <v>363</v>
      </c>
      <c r="L281" s="200" t="s">
        <v>1663</v>
      </c>
      <c r="M281" s="201" t="s">
        <v>330</v>
      </c>
      <c r="N281" s="197"/>
      <c r="O281" s="197"/>
      <c r="P281" s="197"/>
      <c r="Q281" s="197" t="s">
        <v>240</v>
      </c>
      <c r="R281" s="197"/>
      <c r="S281" s="197"/>
      <c r="T281" s="197"/>
      <c r="U281" s="197"/>
      <c r="V281" s="197" t="s">
        <v>100</v>
      </c>
      <c r="W281" s="197" t="s">
        <v>535</v>
      </c>
      <c r="X281" s="197" t="s">
        <v>111</v>
      </c>
      <c r="Y281" s="197" t="str">
        <f ca="1">IF(I281&lt;&gt;"",IF(I281&lt;=TODAY(),IF(OR(N281="REPROGRAMADA",N281="SUSPENDIDA",N281="EXCLUSION",N281="COLEGIADO"),"NO HECHA",IF(N281=" ","SINRESULTADO","SI")),"NO"),IF(N281="EXCLUSION","NO HECHA","LIMBO"))</f>
        <v>SI</v>
      </c>
      <c r="Z281" s="197" t="str">
        <f>IF($Z$1=I281,"DIASOL", "DIANOSOL")</f>
        <v>DIANOSOL</v>
      </c>
      <c r="AA281" s="197" t="s">
        <v>240</v>
      </c>
      <c r="AB281" s="321"/>
      <c r="AC281" s="197" t="str">
        <f>IF(H281=$M$1,"SI","NO")</f>
        <v>NO</v>
      </c>
      <c r="AD281" s="197"/>
      <c r="AE281" s="197">
        <v>45188</v>
      </c>
      <c r="AF281" s="197"/>
      <c r="AG281" s="197" t="str">
        <f>IF(COUNTIF(C281,"*preso*")&gt;0,"SI","NO")</f>
        <v>NO</v>
      </c>
      <c r="AH281" s="311">
        <f>NroOrden(N281)</f>
        <v>99</v>
      </c>
      <c r="AI281" s="197" t="s">
        <v>2193</v>
      </c>
      <c r="AJ281" s="287" t="str">
        <f ca="1">IF(OR(Y281="NO",Y281="LIMBO"),"IMP","NOIMP")</f>
        <v>NOIMP</v>
      </c>
    </row>
    <row r="282" spans="1:36" ht="96.75" hidden="1" customHeight="1">
      <c r="A282" s="84">
        <v>211</v>
      </c>
      <c r="B282" s="150" t="s">
        <v>1478</v>
      </c>
      <c r="C282" s="215"/>
      <c r="D282" s="149" t="s">
        <v>1479</v>
      </c>
      <c r="E282" s="149" t="s">
        <v>1480</v>
      </c>
      <c r="F282" s="188">
        <v>45161</v>
      </c>
      <c r="G282" s="149" t="s">
        <v>1453</v>
      </c>
      <c r="H282" s="175" t="s">
        <v>1649</v>
      </c>
      <c r="I282" s="172">
        <v>45233</v>
      </c>
      <c r="J282" s="173" t="s">
        <v>1046</v>
      </c>
      <c r="K282" s="174" t="s">
        <v>2149</v>
      </c>
      <c r="L282" s="174" t="s">
        <v>1663</v>
      </c>
      <c r="M282" s="173" t="s">
        <v>332</v>
      </c>
      <c r="N282" s="149" t="s">
        <v>111</v>
      </c>
      <c r="O282" s="149"/>
      <c r="P282" s="84"/>
      <c r="Q282" s="84" t="s">
        <v>111</v>
      </c>
      <c r="R282" s="196"/>
      <c r="S282" s="149"/>
      <c r="T282" s="84"/>
      <c r="U282" s="84"/>
      <c r="V282" s="149" t="s">
        <v>1481</v>
      </c>
      <c r="W282" s="149" t="s">
        <v>1482</v>
      </c>
      <c r="X282" s="149" t="s">
        <v>111</v>
      </c>
      <c r="Y282" s="160" t="str">
        <f ca="1">IF(I282&lt;&gt;"",IF(I282&lt;=TODAY(),IF(OR(N282="REPROGRAMADA",N282="SUSPENDIDA",N282="EXCLUSION",N282="COLEGIADO"),"NO HECHA",IF(N282=" ","SINRESULTADO","SI")),"NO"),IF(N282="EXCLUSION","NO HECHA","LIMBO"))</f>
        <v>SINRESULTADO</v>
      </c>
      <c r="Z282" s="149" t="str">
        <f>IF($Z$1=I282,"DIASOL", "DIANOSOL")</f>
        <v>DIANOSOL</v>
      </c>
      <c r="AA282" s="149" t="s">
        <v>240</v>
      </c>
      <c r="AB282" s="149" t="s">
        <v>1483</v>
      </c>
      <c r="AC282" s="151" t="str">
        <f>IF(H282=$M$1,"SI","NO")</f>
        <v>NO</v>
      </c>
      <c r="AD282" s="151"/>
      <c r="AE282" s="188">
        <v>45156</v>
      </c>
      <c r="AF282" s="84"/>
      <c r="AG282" s="84" t="str">
        <f>IF(COUNTIF(C282,"*preso*")&gt;0,"SI","NO")</f>
        <v>NO</v>
      </c>
      <c r="AH282" s="253">
        <f>NroOrden(N282)</f>
        <v>99</v>
      </c>
      <c r="AI282" s="84"/>
      <c r="AJ282" s="48" t="str">
        <f ca="1">IF(OR(Y282="NO",Y282="LIMBO"),"IMP","NOIMP")</f>
        <v>NOIMP</v>
      </c>
    </row>
    <row r="283" spans="1:36" ht="39.950000000000003" hidden="1" customHeight="1">
      <c r="A283" s="202">
        <v>261</v>
      </c>
      <c r="B283" s="203" t="s">
        <v>1754</v>
      </c>
      <c r="C283" s="204" t="s">
        <v>501</v>
      </c>
      <c r="D283" s="202" t="s">
        <v>1755</v>
      </c>
      <c r="E283" s="202" t="s">
        <v>1756</v>
      </c>
      <c r="F283" s="224">
        <v>45191</v>
      </c>
      <c r="G283" s="202" t="s">
        <v>1753</v>
      </c>
      <c r="H283" s="200" t="s">
        <v>1645</v>
      </c>
      <c r="I283" s="201">
        <v>45233</v>
      </c>
      <c r="J283" s="201" t="s">
        <v>396</v>
      </c>
      <c r="K283" s="200" t="s">
        <v>2149</v>
      </c>
      <c r="L283" s="200" t="s">
        <v>1664</v>
      </c>
      <c r="M283" s="201" t="s">
        <v>1816</v>
      </c>
      <c r="N283" s="202" t="s">
        <v>111</v>
      </c>
      <c r="O283" s="202"/>
      <c r="P283" s="202"/>
      <c r="Q283" s="202"/>
      <c r="R283" s="202"/>
      <c r="S283" s="202"/>
      <c r="T283" s="202"/>
      <c r="U283" s="202"/>
      <c r="V283" s="202" t="s">
        <v>1128</v>
      </c>
      <c r="W283" s="202" t="s">
        <v>1306</v>
      </c>
      <c r="X283" s="202" t="s">
        <v>111</v>
      </c>
      <c r="Y283" s="202" t="str">
        <f ca="1">IF(I283&lt;&gt;"",IF(I283&lt;=TODAY(),IF(OR(N283="REPROGRAMADA",N283="SUSPENDIDA",N283="EXCLUSION",N283="COLEGIADO"),"NO HECHA",IF(N283=" ","SINRESULTADO","SI")),"NO"),IF(N283="EXCLUSION","NO HECHA","LIMBO"))</f>
        <v>SINRESULTADO</v>
      </c>
      <c r="Z283" s="202" t="str">
        <f>IF($Z$1=I283,"DIASOL", "DIANOSOL")</f>
        <v>DIANOSOL</v>
      </c>
      <c r="AA283" s="202" t="s">
        <v>1130</v>
      </c>
      <c r="AB283" s="202" t="s">
        <v>1757</v>
      </c>
      <c r="AC283" s="202" t="str">
        <f>IF(H283=$M$1,"SI","NO")</f>
        <v>NO</v>
      </c>
      <c r="AD283" s="202"/>
      <c r="AE283" s="224">
        <v>45191</v>
      </c>
      <c r="AF283" s="202"/>
      <c r="AG283" s="202" t="str">
        <f>IF(COUNTIF(C283,"*preso*")&gt;0,"SI","NO")</f>
        <v>SI</v>
      </c>
      <c r="AH283" s="253">
        <f>NroOrden(N283)</f>
        <v>99</v>
      </c>
      <c r="AI283" s="202"/>
      <c r="AJ283" s="48" t="str">
        <f ca="1">IF(OR(Y283="NO",Y283="LIMBO"),"IMP","NOIMP")</f>
        <v>NOIMP</v>
      </c>
    </row>
    <row r="284" spans="1:36" ht="39.950000000000003" hidden="1" customHeight="1">
      <c r="A284" s="197">
        <v>298</v>
      </c>
      <c r="B284" s="198" t="s">
        <v>1911</v>
      </c>
      <c r="C284" s="199"/>
      <c r="D284" s="197" t="s">
        <v>1912</v>
      </c>
      <c r="E284" s="197" t="s">
        <v>369</v>
      </c>
      <c r="F284" s="321">
        <v>45197</v>
      </c>
      <c r="G284" s="197" t="s">
        <v>1848</v>
      </c>
      <c r="H284" s="200" t="s">
        <v>1649</v>
      </c>
      <c r="I284" s="201">
        <v>45236</v>
      </c>
      <c r="J284" s="201" t="s">
        <v>2147</v>
      </c>
      <c r="K284" s="200" t="s">
        <v>2148</v>
      </c>
      <c r="L284" s="200" t="s">
        <v>1663</v>
      </c>
      <c r="M284" s="201" t="s">
        <v>332</v>
      </c>
      <c r="N284" s="197" t="s">
        <v>111</v>
      </c>
      <c r="O284" s="197"/>
      <c r="P284" s="197"/>
      <c r="Q284" s="197"/>
      <c r="R284" s="197"/>
      <c r="S284" s="197"/>
      <c r="T284" s="197"/>
      <c r="U284" s="197"/>
      <c r="V284" s="197" t="s">
        <v>337</v>
      </c>
      <c r="W284" s="197" t="s">
        <v>119</v>
      </c>
      <c r="X284" s="197" t="s">
        <v>111</v>
      </c>
      <c r="Y284" s="197" t="str">
        <f ca="1">IF(I284&lt;&gt;"",IF(I284&lt;=TODAY(),IF(OR(N284="REPROGRAMADA",N284="SUSPENDIDA",N284="EXCLUSION",N284="COLEGIADO"),"NO HECHA",IF(N284=" ","SINRESULTADO","SI")),"NO"),IF(N284="EXCLUSION","NO HECHA","LIMBO"))</f>
        <v>NO</v>
      </c>
      <c r="Z284" s="197" t="str">
        <f>IF($Z$1=I284,"DIASOL", "DIANOSOL")</f>
        <v>DIANOSOL</v>
      </c>
      <c r="AA284" s="197" t="s">
        <v>240</v>
      </c>
      <c r="AB284" s="197"/>
      <c r="AC284" s="197" t="str">
        <f>IF(H284=$M$1,"SI","NO")</f>
        <v>NO</v>
      </c>
      <c r="AD284" s="197"/>
      <c r="AE284" s="321">
        <v>45197</v>
      </c>
      <c r="AF284" s="197"/>
      <c r="AG284" s="197" t="str">
        <f>IF(COUNTIF(C284,"*preso*")&gt;0,"SI","NO")</f>
        <v>NO</v>
      </c>
      <c r="AH284" s="253">
        <f>NroOrden(N284)</f>
        <v>99</v>
      </c>
      <c r="AI284" s="197"/>
      <c r="AJ284" s="48" t="str">
        <f ca="1">IF(OR(Y284="NO",Y284="LIMBO"),"IMP","NOIMP")</f>
        <v>IMP</v>
      </c>
    </row>
    <row r="285" spans="1:36" ht="39.950000000000003" hidden="1" customHeight="1">
      <c r="A285" s="197">
        <v>254</v>
      </c>
      <c r="B285" s="198" t="s">
        <v>1713</v>
      </c>
      <c r="C285" s="199"/>
      <c r="D285" s="197" t="s">
        <v>1714</v>
      </c>
      <c r="E285" s="197" t="s">
        <v>1720</v>
      </c>
      <c r="F285" s="289">
        <v>45188</v>
      </c>
      <c r="G285" s="197" t="s">
        <v>1726</v>
      </c>
      <c r="H285" s="200" t="s">
        <v>1642</v>
      </c>
      <c r="I285" s="201">
        <v>45236</v>
      </c>
      <c r="J285" s="201" t="s">
        <v>282</v>
      </c>
      <c r="K285" s="200" t="s">
        <v>363</v>
      </c>
      <c r="L285" s="200" t="s">
        <v>1663</v>
      </c>
      <c r="M285" s="201" t="s">
        <v>332</v>
      </c>
      <c r="N285" s="197" t="s">
        <v>111</v>
      </c>
      <c r="O285" s="197"/>
      <c r="P285" s="197"/>
      <c r="Q285" s="197"/>
      <c r="R285" s="197"/>
      <c r="S285" s="197"/>
      <c r="T285" s="197"/>
      <c r="U285" s="197"/>
      <c r="V285" s="197" t="s">
        <v>185</v>
      </c>
      <c r="W285" s="197" t="s">
        <v>132</v>
      </c>
      <c r="X285" s="197" t="s">
        <v>111</v>
      </c>
      <c r="Y285" s="197" t="str">
        <f ca="1">IF(I285&lt;&gt;"",IF(I285&lt;=TODAY(),IF(OR(N285="REPROGRAMADA",N285="SUSPENDIDA",N285="EXCLUSION",N285="COLEGIADO"),"NO HECHA",IF(N285=" ","SINRESULTADO","SI")),"NO"),IF(N285="EXCLUSION","NO HECHA","LIMBO"))</f>
        <v>NO</v>
      </c>
      <c r="Z285" s="197" t="str">
        <f>IF($Z$1=I285,"DIASOL", "DIANOSOL")</f>
        <v>DIANOSOL</v>
      </c>
      <c r="AA285" s="197" t="s">
        <v>240</v>
      </c>
      <c r="AB285" s="197" t="s">
        <v>1715</v>
      </c>
      <c r="AC285" s="197" t="str">
        <f>IF(H285=$M$1,"SI","NO")</f>
        <v>NO</v>
      </c>
      <c r="AD285" s="197"/>
      <c r="AE285" s="289">
        <v>45180</v>
      </c>
      <c r="AF285" s="197"/>
      <c r="AG285" s="197" t="str">
        <f>IF(COUNTIF(C285,"*preso*")&gt;0,"SI","NO")</f>
        <v>NO</v>
      </c>
      <c r="AH285" s="253">
        <f>NroOrden(N285)</f>
        <v>99</v>
      </c>
      <c r="AI285" s="197"/>
      <c r="AJ285" s="48" t="str">
        <f ca="1">IF(OR(Y285="NO",Y285="LIMBO"),"IMP","NOIMP")</f>
        <v>IMP</v>
      </c>
    </row>
    <row r="286" spans="1:36" ht="106.5" hidden="1" customHeight="1">
      <c r="A286" s="202">
        <v>311</v>
      </c>
      <c r="B286" s="203" t="s">
        <v>1966</v>
      </c>
      <c r="C286" s="204" t="s">
        <v>1477</v>
      </c>
      <c r="D286" s="202" t="s">
        <v>1967</v>
      </c>
      <c r="E286" s="202" t="s">
        <v>1973</v>
      </c>
      <c r="F286" s="224">
        <v>45204</v>
      </c>
      <c r="G286" s="202"/>
      <c r="H286" s="200" t="s">
        <v>1645</v>
      </c>
      <c r="I286" s="201">
        <v>45236</v>
      </c>
      <c r="J286" s="201" t="s">
        <v>1422</v>
      </c>
      <c r="K286" s="200" t="s">
        <v>362</v>
      </c>
      <c r="L286" s="200" t="s">
        <v>1663</v>
      </c>
      <c r="M286" s="201" t="s">
        <v>328</v>
      </c>
      <c r="N286" s="202" t="s">
        <v>111</v>
      </c>
      <c r="O286" s="202"/>
      <c r="P286" s="202"/>
      <c r="Q286" s="202"/>
      <c r="R286" s="202"/>
      <c r="S286" s="202" t="s">
        <v>2006</v>
      </c>
      <c r="T286" s="202" t="s">
        <v>2005</v>
      </c>
      <c r="U286" s="202"/>
      <c r="V286" s="202" t="s">
        <v>1129</v>
      </c>
      <c r="W286" s="202" t="s">
        <v>111</v>
      </c>
      <c r="X286" s="202" t="s">
        <v>111</v>
      </c>
      <c r="Y286" s="202" t="str">
        <f ca="1">IF(I286&lt;&gt;"",IF(I286&lt;=TODAY(),IF(OR(N286="REPROGRAMADA",N286="SUSPENDIDA",N286="EXCLUSION",N286="COLEGIADO"),"NO HECHA",IF(N286=" ","SINRESULTADO","SI")),"NO"),IF(N286="EXCLUSION","NO HECHA","LIMBO"))</f>
        <v>NO</v>
      </c>
      <c r="Z286" s="202" t="str">
        <f>IF($Z$1=I286,"DIASOL", "DIANOSOL")</f>
        <v>DIANOSOL</v>
      </c>
      <c r="AA286" s="202" t="s">
        <v>240</v>
      </c>
      <c r="AB286" s="202" t="s">
        <v>1971</v>
      </c>
      <c r="AC286" s="202" t="str">
        <f>IF(H286=$M$1,"SI","NO")</f>
        <v>NO</v>
      </c>
      <c r="AD286" s="202"/>
      <c r="AE286" s="224">
        <v>45204</v>
      </c>
      <c r="AF286" s="202"/>
      <c r="AG286" s="202" t="str">
        <f>IF(COUNTIF(C286,"*preso*")&gt;0,"SI","NO")</f>
        <v>SI</v>
      </c>
      <c r="AH286" s="253">
        <f>NroOrden(N286)</f>
        <v>99</v>
      </c>
      <c r="AI286" s="202"/>
      <c r="AJ286" s="48" t="str">
        <f ca="1">IF(OR(Y286="NO",Y286="LIMBO"),"IMP","NOIMP")</f>
        <v>IMP</v>
      </c>
    </row>
    <row r="287" spans="1:36" ht="137.25" hidden="1" customHeight="1">
      <c r="A287" s="197">
        <v>302</v>
      </c>
      <c r="B287" s="198" t="s">
        <v>1922</v>
      </c>
      <c r="C287" s="199"/>
      <c r="D287" s="197" t="s">
        <v>1924</v>
      </c>
      <c r="E287" s="197" t="s">
        <v>1923</v>
      </c>
      <c r="F287" s="321">
        <v>45198</v>
      </c>
      <c r="G287" s="197" t="s">
        <v>1848</v>
      </c>
      <c r="H287" s="200" t="s">
        <v>1646</v>
      </c>
      <c r="I287" s="201">
        <v>45236</v>
      </c>
      <c r="J287" s="201" t="s">
        <v>396</v>
      </c>
      <c r="K287" s="200" t="s">
        <v>2149</v>
      </c>
      <c r="L287" s="200" t="s">
        <v>1664</v>
      </c>
      <c r="M287" s="201" t="s">
        <v>1813</v>
      </c>
      <c r="N287" s="197" t="s">
        <v>111</v>
      </c>
      <c r="O287" s="197"/>
      <c r="P287" s="197"/>
      <c r="Q287" s="197"/>
      <c r="R287" s="197"/>
      <c r="S287" s="197"/>
      <c r="T287" s="197"/>
      <c r="U287" s="197"/>
      <c r="V287" s="197" t="s">
        <v>100</v>
      </c>
      <c r="W287" s="197" t="s">
        <v>119</v>
      </c>
      <c r="X287" s="197" t="s">
        <v>111</v>
      </c>
      <c r="Y287" s="197" t="str">
        <f ca="1">IF(I287&lt;&gt;"",IF(I287&lt;=TODAY(),IF(OR(N287="REPROGRAMADA",N287="SUSPENDIDA",N287="EXCLUSION",N287="COLEGIADO"),"NO HECHA",IF(N287=" ","SINRESULTADO","SI")),"NO"),IF(N287="EXCLUSION","NO HECHA","LIMBO"))</f>
        <v>NO</v>
      </c>
      <c r="Z287" s="197" t="str">
        <f>IF($Z$1=I287,"DIASOL", "DIANOSOL")</f>
        <v>DIANOSOL</v>
      </c>
      <c r="AA287" s="197" t="s">
        <v>240</v>
      </c>
      <c r="AB287" s="197" t="s">
        <v>1925</v>
      </c>
      <c r="AC287" s="197" t="str">
        <f>IF(H287=$M$1,"SI","NO")</f>
        <v>NO</v>
      </c>
      <c r="AD287" s="197"/>
      <c r="AE287" s="321">
        <v>45198</v>
      </c>
      <c r="AF287" s="197"/>
      <c r="AG287" s="197" t="str">
        <f>IF(COUNTIF(C287,"*preso*")&gt;0,"SI","NO")</f>
        <v>NO</v>
      </c>
      <c r="AH287" s="253">
        <f>NroOrden(N287)</f>
        <v>99</v>
      </c>
      <c r="AI287" s="197"/>
      <c r="AJ287" s="48" t="str">
        <f ca="1">IF(OR(Y287="NO",Y287="LIMBO"),"IMP","NOIMP")</f>
        <v>IMP</v>
      </c>
    </row>
    <row r="288" spans="1:36" ht="39.950000000000003" hidden="1" customHeight="1">
      <c r="A288" s="197">
        <v>396</v>
      </c>
      <c r="B288" s="198" t="s">
        <v>1551</v>
      </c>
      <c r="C288" s="199"/>
      <c r="D288" s="197" t="s">
        <v>1552</v>
      </c>
      <c r="E288" s="197" t="s">
        <v>1553</v>
      </c>
      <c r="F288" s="197" t="s">
        <v>1555</v>
      </c>
      <c r="G288" s="197"/>
      <c r="H288" s="200" t="s">
        <v>1645</v>
      </c>
      <c r="I288" s="201">
        <v>45236</v>
      </c>
      <c r="J288" s="201" t="s">
        <v>396</v>
      </c>
      <c r="K288" s="200" t="s">
        <v>362</v>
      </c>
      <c r="L288" s="200" t="s">
        <v>1663</v>
      </c>
      <c r="M288" s="201" t="s">
        <v>328</v>
      </c>
      <c r="N288" s="197"/>
      <c r="O288" s="197"/>
      <c r="P288" s="197"/>
      <c r="Q288" s="197" t="s">
        <v>240</v>
      </c>
      <c r="R288" s="197"/>
      <c r="S288" s="197"/>
      <c r="T288" s="197"/>
      <c r="U288" s="197"/>
      <c r="V288" s="197" t="s">
        <v>184</v>
      </c>
      <c r="W288" s="197" t="s">
        <v>133</v>
      </c>
      <c r="X288" s="197" t="s">
        <v>111</v>
      </c>
      <c r="Y288" s="197" t="str">
        <f ca="1">IF(I288&lt;&gt;"",IF(I288&lt;=TODAY(),IF(OR(N288="REPROGRAMADA",N288="SUSPENDIDA",N288="EXCLUSION",N288="COLEGIADO"),"NO HECHA",IF(N288=" ","SINRESULTADO","SI")),"NO"),IF(N288="EXCLUSION","NO HECHA","LIMBO"))</f>
        <v>NO</v>
      </c>
      <c r="Z288" s="197" t="str">
        <f>IF($Z$1=I288,"DIASOL", "DIANOSOL")</f>
        <v>DIANOSOL</v>
      </c>
      <c r="AA288" s="197" t="s">
        <v>240</v>
      </c>
      <c r="AB288" s="321"/>
      <c r="AC288" s="197" t="str">
        <f>IF(H288=$M$1,"SI","NO")</f>
        <v>NO</v>
      </c>
      <c r="AD288" s="197"/>
      <c r="AE288" s="197">
        <v>45163</v>
      </c>
      <c r="AF288" s="197"/>
      <c r="AG288" s="197" t="str">
        <f>IF(COUNTIF(C288,"*preso*")&gt;0,"SI","NO")</f>
        <v>NO</v>
      </c>
      <c r="AH288" s="311">
        <f>NroOrden(N288)</f>
        <v>99</v>
      </c>
      <c r="AI288" s="197"/>
      <c r="AJ288" s="287" t="str">
        <f ca="1">IF(OR(Y288="NO",Y288="LIMBO"),"IMP","NOIMP")</f>
        <v>IMP</v>
      </c>
    </row>
    <row r="289" spans="1:36" ht="63" hidden="1" customHeight="1">
      <c r="A289" s="322">
        <v>187</v>
      </c>
      <c r="B289" s="150" t="s">
        <v>1359</v>
      </c>
      <c r="C289" s="215"/>
      <c r="D289" s="84" t="s">
        <v>1360</v>
      </c>
      <c r="E289" s="152" t="s">
        <v>1361</v>
      </c>
      <c r="F289" s="169">
        <v>45145</v>
      </c>
      <c r="G289" s="149" t="s">
        <v>1279</v>
      </c>
      <c r="H289" s="175" t="s">
        <v>1645</v>
      </c>
      <c r="I289" s="172">
        <v>45237</v>
      </c>
      <c r="J289" s="173" t="s">
        <v>282</v>
      </c>
      <c r="K289" s="175" t="s">
        <v>362</v>
      </c>
      <c r="L289" s="174" t="s">
        <v>1663</v>
      </c>
      <c r="M289" s="173" t="s">
        <v>330</v>
      </c>
      <c r="N289" s="149" t="s">
        <v>111</v>
      </c>
      <c r="O289" s="149"/>
      <c r="P289" s="84"/>
      <c r="Q289" s="149" t="s">
        <v>111</v>
      </c>
      <c r="R289" s="196"/>
      <c r="S289" s="149"/>
      <c r="T289" s="84"/>
      <c r="U289" s="84"/>
      <c r="V289" s="149" t="s">
        <v>184</v>
      </c>
      <c r="W289" s="149" t="s">
        <v>134</v>
      </c>
      <c r="X289" s="149" t="s">
        <v>111</v>
      </c>
      <c r="Y289" s="160" t="str">
        <f ca="1">IF(I289&lt;&gt;"",IF(I289&lt;=TODAY(),IF(OR(N289="REPROGRAMADA",N289="SUSPENDIDA",N289="EXCLUSION",N289="COLEGIADO"),"NO HECHA",IF(N289=" ","SINRESULTADO","SI")),"NO"),IF(N289="EXCLUSION","NO HECHA","LIMBO"))</f>
        <v>NO</v>
      </c>
      <c r="Z289" s="149" t="str">
        <f>IF($Z$1=I289,"DIASOL", "DIANOSOL")</f>
        <v>DIANOSOL</v>
      </c>
      <c r="AA289" s="149" t="s">
        <v>240</v>
      </c>
      <c r="AB289" s="167" t="s">
        <v>1362</v>
      </c>
      <c r="AC289" s="149" t="str">
        <f>IF(H289=$M$1,"SI","NO")</f>
        <v>NO</v>
      </c>
      <c r="AD289" s="151"/>
      <c r="AE289" s="84"/>
      <c r="AF289" s="84"/>
      <c r="AG289" s="149" t="str">
        <f>IF(COUNTIF(C289,"*preso*")&gt;0,"SI","NO")</f>
        <v>NO</v>
      </c>
      <c r="AH289" s="253">
        <f>NroOrden(N289)</f>
        <v>99</v>
      </c>
      <c r="AI289" s="84"/>
      <c r="AJ289" s="48" t="str">
        <f ca="1">IF(OR(Y289="NO",Y289="LIMBO"),"IMP","NOIMP")</f>
        <v>IMP</v>
      </c>
    </row>
    <row r="290" spans="1:36" ht="39.950000000000003" hidden="1" customHeight="1">
      <c r="A290" s="197">
        <v>330</v>
      </c>
      <c r="B290" s="198" t="s">
        <v>2074</v>
      </c>
      <c r="C290" s="199"/>
      <c r="D290" s="197" t="s">
        <v>2075</v>
      </c>
      <c r="E290" s="197" t="s">
        <v>2076</v>
      </c>
      <c r="F290" s="289">
        <v>45208</v>
      </c>
      <c r="G290" s="197" t="s">
        <v>2268</v>
      </c>
      <c r="H290" s="200" t="s">
        <v>1642</v>
      </c>
      <c r="I290" s="201">
        <v>45237</v>
      </c>
      <c r="J290" s="201" t="s">
        <v>1182</v>
      </c>
      <c r="K290" s="200" t="s">
        <v>362</v>
      </c>
      <c r="L290" s="200" t="s">
        <v>1664</v>
      </c>
      <c r="M290" s="201" t="s">
        <v>328</v>
      </c>
      <c r="N290" s="197"/>
      <c r="O290" s="197"/>
      <c r="P290" s="197"/>
      <c r="Q290" s="197" t="s">
        <v>240</v>
      </c>
      <c r="R290" s="197"/>
      <c r="S290" s="197"/>
      <c r="T290" s="197"/>
      <c r="U290" s="197" t="s">
        <v>111</v>
      </c>
      <c r="V290" s="197" t="s">
        <v>184</v>
      </c>
      <c r="W290" s="197" t="s">
        <v>2078</v>
      </c>
      <c r="X290" s="197" t="s">
        <v>434</v>
      </c>
      <c r="Y290" s="197" t="str">
        <f ca="1">IF(I290&lt;&gt;"",IF(I290&lt;=TODAY(),IF(OR(N290="REPROGRAMADA",N290="SUSPENDIDA",N290="EXCLUSION",N290="COLEGIADO"),"NO HECHA",IF(N290=" ","SINRESULTADO","SI")),"NO"),IF(N290="EXCLUSION","NO HECHA","LIMBO"))</f>
        <v>NO</v>
      </c>
      <c r="Z290" s="197" t="str">
        <f>IF($Z$1=I290,"DIASOL", "DIANOSOL")</f>
        <v>DIANOSOL</v>
      </c>
      <c r="AA290" s="197"/>
      <c r="AB290" s="197" t="s">
        <v>2077</v>
      </c>
      <c r="AC290" s="197" t="str">
        <f>IF(H290=$M$1,"SI","NO")</f>
        <v>NO</v>
      </c>
      <c r="AD290" s="197"/>
      <c r="AE290" s="289">
        <v>45208</v>
      </c>
      <c r="AF290" s="197"/>
      <c r="AG290" s="197" t="str">
        <f>IF(COUNTIF(C290,"*preso*")&gt;0,"SI","NO")</f>
        <v>NO</v>
      </c>
      <c r="AH290" s="311">
        <f>NroOrden(N290)</f>
        <v>99</v>
      </c>
      <c r="AI290" s="197"/>
      <c r="AJ290" s="48" t="str">
        <f ca="1">IF(OR(Y290="NO",Y290="LIMBO"),"IMP","NOIMP")</f>
        <v>IMP</v>
      </c>
    </row>
    <row r="291" spans="1:36" ht="39.950000000000003" hidden="1" customHeight="1">
      <c r="A291" s="84">
        <v>122</v>
      </c>
      <c r="B291" s="150" t="s">
        <v>1003</v>
      </c>
      <c r="C291" s="215"/>
      <c r="D291" s="149" t="s">
        <v>1004</v>
      </c>
      <c r="E291" s="149" t="s">
        <v>481</v>
      </c>
      <c r="F291" s="84"/>
      <c r="G291" s="149" t="s">
        <v>1005</v>
      </c>
      <c r="H291" s="175" t="s">
        <v>1648</v>
      </c>
      <c r="I291" s="172">
        <v>45237</v>
      </c>
      <c r="J291" s="173" t="s">
        <v>1422</v>
      </c>
      <c r="K291" s="174" t="s">
        <v>363</v>
      </c>
      <c r="L291" s="174" t="s">
        <v>1663</v>
      </c>
      <c r="M291" s="173" t="s">
        <v>330</v>
      </c>
      <c r="N291" s="149" t="s">
        <v>111</v>
      </c>
      <c r="O291" s="149"/>
      <c r="P291" s="84"/>
      <c r="Q291" s="84" t="s">
        <v>111</v>
      </c>
      <c r="R291" s="196"/>
      <c r="S291" s="149"/>
      <c r="T291" s="84"/>
      <c r="U291" s="84"/>
      <c r="V291" s="149" t="s">
        <v>339</v>
      </c>
      <c r="W291" s="149" t="s">
        <v>134</v>
      </c>
      <c r="X291" s="149" t="s">
        <v>111</v>
      </c>
      <c r="Y291" s="160" t="str">
        <f ca="1">IF(I291&lt;&gt;"",IF(I291&lt;=TODAY(),IF(OR(N291="REPROGRAMADA",N291="SUSPENDIDA",N291="EXCLUSION",N291="COLEGIADO"),"NO HECHA",IF(N291=" ","SINRESULTADO","SI")),"NO"),IF(N291="EXCLUSION","NO HECHA","LIMBO"))</f>
        <v>NO</v>
      </c>
      <c r="Z291" s="149" t="str">
        <f>IF($Z$1=I291,"DIASOL", "DIANOSOL")</f>
        <v>DIANOSOL</v>
      </c>
      <c r="AA291" s="149" t="s">
        <v>240</v>
      </c>
      <c r="AB291" s="152" t="s">
        <v>1006</v>
      </c>
      <c r="AC291" s="151" t="str">
        <f>IF(H291=$M$1,"SI","NO")</f>
        <v>NO</v>
      </c>
      <c r="AD291" s="151"/>
      <c r="AE291" s="84"/>
      <c r="AF291" s="84"/>
      <c r="AG291" s="84" t="str">
        <f>IF(COUNTIF(C291,"*preso*")&gt;0,"SI","NO")</f>
        <v>NO</v>
      </c>
      <c r="AH291" s="253">
        <f>NroOrden(N291)</f>
        <v>99</v>
      </c>
      <c r="AI291" s="84"/>
      <c r="AJ291" s="48" t="str">
        <f ca="1">IF(OR(Y291="NO",Y291="LIMBO"),"IMP","NOIMP")</f>
        <v>IMP</v>
      </c>
    </row>
    <row r="292" spans="1:36" ht="39.950000000000003" hidden="1" customHeight="1">
      <c r="A292" s="197">
        <v>316</v>
      </c>
      <c r="B292" s="198" t="s">
        <v>1987</v>
      </c>
      <c r="C292" s="199"/>
      <c r="D292" s="197" t="s">
        <v>1988</v>
      </c>
      <c r="E292" s="197" t="s">
        <v>1999</v>
      </c>
      <c r="F292" s="321">
        <v>45202</v>
      </c>
      <c r="G292" s="197" t="s">
        <v>1848</v>
      </c>
      <c r="H292" s="200" t="s">
        <v>1649</v>
      </c>
      <c r="I292" s="201">
        <v>45237</v>
      </c>
      <c r="J292" s="201" t="s">
        <v>309</v>
      </c>
      <c r="K292" s="200" t="s">
        <v>362</v>
      </c>
      <c r="L292" s="200" t="s">
        <v>1664</v>
      </c>
      <c r="M292" s="201" t="s">
        <v>330</v>
      </c>
      <c r="N292" s="197" t="s">
        <v>111</v>
      </c>
      <c r="O292" s="197"/>
      <c r="P292" s="197"/>
      <c r="Q292" s="197"/>
      <c r="R292" s="197"/>
      <c r="S292" s="197"/>
      <c r="T292" s="197"/>
      <c r="U292" s="197"/>
      <c r="V292" s="197" t="s">
        <v>1280</v>
      </c>
      <c r="W292" s="197" t="s">
        <v>111</v>
      </c>
      <c r="X292" s="197" t="s">
        <v>111</v>
      </c>
      <c r="Y292" s="197" t="str">
        <f ca="1">IF(I292&lt;&gt;"",IF(I292&lt;=TODAY(),IF(OR(N292="REPROGRAMADA",N292="SUSPENDIDA",N292="EXCLUSION",N292="COLEGIADO"),"NO HECHA",IF(N292=" ","SINRESULTADO","SI")),"NO"),IF(N292="EXCLUSION","NO HECHA","LIMBO"))</f>
        <v>NO</v>
      </c>
      <c r="Z292" s="197" t="str">
        <f>IF($Z$1=I292,"DIASOL", "DIANOSOL")</f>
        <v>DIANOSOL</v>
      </c>
      <c r="AA292" s="197" t="s">
        <v>240</v>
      </c>
      <c r="AB292" s="197" t="s">
        <v>2000</v>
      </c>
      <c r="AC292" s="197" t="str">
        <f>IF(H292=$M$1,"SI","NO")</f>
        <v>NO</v>
      </c>
      <c r="AD292" s="197"/>
      <c r="AE292" s="321">
        <v>45202</v>
      </c>
      <c r="AF292" s="197"/>
      <c r="AG292" s="197" t="str">
        <f>IF(COUNTIF(C292,"*preso*")&gt;0,"SI","NO")</f>
        <v>NO</v>
      </c>
      <c r="AH292" s="253">
        <f>NroOrden(N292)</f>
        <v>99</v>
      </c>
      <c r="AI292" s="197"/>
      <c r="AJ292" s="48" t="str">
        <f ca="1">IF(OR(Y292="NO",Y292="LIMBO"),"IMP","NOIMP")</f>
        <v>IMP</v>
      </c>
    </row>
    <row r="293" spans="1:36" ht="75.75" hidden="1" customHeight="1">
      <c r="A293" s="197">
        <v>314</v>
      </c>
      <c r="B293" s="198" t="s">
        <v>1979</v>
      </c>
      <c r="C293" s="199"/>
      <c r="D293" s="197" t="s">
        <v>1981</v>
      </c>
      <c r="E293" s="197" t="s">
        <v>1983</v>
      </c>
      <c r="F293" s="321">
        <v>45202</v>
      </c>
      <c r="G293" s="197" t="s">
        <v>1848</v>
      </c>
      <c r="H293" s="200" t="s">
        <v>1647</v>
      </c>
      <c r="I293" s="201">
        <v>45238</v>
      </c>
      <c r="J293" s="201" t="s">
        <v>2011</v>
      </c>
      <c r="K293" s="200" t="s">
        <v>1839</v>
      </c>
      <c r="L293" s="200" t="s">
        <v>1663</v>
      </c>
      <c r="M293" s="201" t="s">
        <v>1818</v>
      </c>
      <c r="N293" s="197" t="s">
        <v>111</v>
      </c>
      <c r="O293" s="197"/>
      <c r="P293" s="197"/>
      <c r="Q293" s="197"/>
      <c r="R293" s="197"/>
      <c r="S293" s="197"/>
      <c r="T293" s="197"/>
      <c r="U293" s="197"/>
      <c r="V293" s="197" t="s">
        <v>914</v>
      </c>
      <c r="W293" s="197" t="s">
        <v>111</v>
      </c>
      <c r="X293" s="197" t="s">
        <v>111</v>
      </c>
      <c r="Y293" s="197" t="str">
        <f ca="1">IF(I293&lt;&gt;"",IF(I293&lt;=TODAY(),IF(OR(N293="REPROGRAMADA",N293="SUSPENDIDA",N293="EXCLUSION",N293="COLEGIADO"),"NO HECHA",IF(N293=" ","SINRESULTADO","SI")),"NO"),IF(N293="EXCLUSION","NO HECHA","LIMBO"))</f>
        <v>NO</v>
      </c>
      <c r="Z293" s="197" t="str">
        <f>IF($Z$1=I293,"DIASOL", "DIANOSOL")</f>
        <v>DIANOSOL</v>
      </c>
      <c r="AA293" s="197" t="s">
        <v>240</v>
      </c>
      <c r="AB293" s="197" t="s">
        <v>1984</v>
      </c>
      <c r="AC293" s="197" t="str">
        <f>IF(H293=$M$1,"SI","NO")</f>
        <v>NO</v>
      </c>
      <c r="AD293" s="197"/>
      <c r="AE293" s="321">
        <v>45202</v>
      </c>
      <c r="AF293" s="197"/>
      <c r="AG293" s="197" t="str">
        <f>IF(COUNTIF(C293,"*preso*")&gt;0,"SI","NO")</f>
        <v>NO</v>
      </c>
      <c r="AH293" s="253">
        <f>NroOrden(N293)</f>
        <v>99</v>
      </c>
      <c r="AI293" s="197"/>
      <c r="AJ293" s="48" t="str">
        <f ca="1">IF(OR(Y293="NO",Y293="LIMBO"),"IMP","NOIMP")</f>
        <v>IMP</v>
      </c>
    </row>
    <row r="294" spans="1:36" ht="54" hidden="1" customHeight="1">
      <c r="A294" s="84">
        <v>189</v>
      </c>
      <c r="B294" s="150" t="s">
        <v>1367</v>
      </c>
      <c r="C294" s="215"/>
      <c r="D294" s="84" t="s">
        <v>1368</v>
      </c>
      <c r="E294" s="152" t="s">
        <v>1369</v>
      </c>
      <c r="F294" s="188">
        <v>45149</v>
      </c>
      <c r="G294" s="149" t="s">
        <v>1349</v>
      </c>
      <c r="H294" s="175" t="s">
        <v>1649</v>
      </c>
      <c r="I294" s="172">
        <v>45238</v>
      </c>
      <c r="J294" s="173" t="s">
        <v>1422</v>
      </c>
      <c r="K294" s="175" t="s">
        <v>1839</v>
      </c>
      <c r="L294" s="174" t="s">
        <v>1663</v>
      </c>
      <c r="M294" s="173" t="s">
        <v>331</v>
      </c>
      <c r="N294" s="149" t="s">
        <v>111</v>
      </c>
      <c r="O294" s="149"/>
      <c r="P294" s="84"/>
      <c r="Q294" s="149" t="s">
        <v>111</v>
      </c>
      <c r="R294" s="196"/>
      <c r="S294" s="149"/>
      <c r="T294" s="84"/>
      <c r="U294" s="84"/>
      <c r="V294" s="149" t="s">
        <v>346</v>
      </c>
      <c r="W294" s="149" t="s">
        <v>116</v>
      </c>
      <c r="X294" s="149" t="s">
        <v>111</v>
      </c>
      <c r="Y294" s="160" t="str">
        <f ca="1">IF(I294&lt;&gt;"",IF(I294&lt;=TODAY(),IF(OR(N294="REPROGRAMADA",N294="SUSPENDIDA",N294="EXCLUSION",N294="COLEGIADO"),"NO HECHA",IF(N294=" ","SINRESULTADO","SI")),"NO"),IF(N294="EXCLUSION","NO HECHA","LIMBO"))</f>
        <v>NO</v>
      </c>
      <c r="Z294" s="149" t="str">
        <f>IF($Z$1=I294,"DIASOL", "DIANOSOL")</f>
        <v>DIANOSOL</v>
      </c>
      <c r="AA294" s="149" t="s">
        <v>240</v>
      </c>
      <c r="AB294" s="167" t="s">
        <v>1370</v>
      </c>
      <c r="AC294" s="149" t="str">
        <f>IF(H294=$M$1,"SI","NO")</f>
        <v>NO</v>
      </c>
      <c r="AD294" s="151"/>
      <c r="AE294" s="84"/>
      <c r="AF294" s="84"/>
      <c r="AG294" s="149" t="str">
        <f>IF(COUNTIF(C294,"*preso*")&gt;0,"SI","NO")</f>
        <v>NO</v>
      </c>
      <c r="AH294" s="253">
        <f>NroOrden(N294)</f>
        <v>99</v>
      </c>
      <c r="AI294" s="84"/>
      <c r="AJ294" s="48" t="str">
        <f ca="1">IF(OR(Y294="NO",Y294="LIMBO"),"IMP","NOIMP")</f>
        <v>IMP</v>
      </c>
    </row>
    <row r="295" spans="1:36" ht="39.950000000000003" hidden="1" customHeight="1">
      <c r="A295" s="197">
        <v>338</v>
      </c>
      <c r="B295" s="198" t="s">
        <v>2105</v>
      </c>
      <c r="C295" s="199"/>
      <c r="D295" s="197" t="s">
        <v>2110</v>
      </c>
      <c r="E295" s="197" t="s">
        <v>2111</v>
      </c>
      <c r="F295" s="321">
        <v>45208</v>
      </c>
      <c r="G295" s="197" t="s">
        <v>2118</v>
      </c>
      <c r="H295" s="200" t="s">
        <v>1643</v>
      </c>
      <c r="I295" s="201">
        <v>45239</v>
      </c>
      <c r="J295" s="201" t="s">
        <v>282</v>
      </c>
      <c r="K295" s="200" t="s">
        <v>362</v>
      </c>
      <c r="L295" s="200" t="s">
        <v>1663</v>
      </c>
      <c r="M295" s="201" t="s">
        <v>329</v>
      </c>
      <c r="N295" s="197"/>
      <c r="O295" s="197"/>
      <c r="P295" s="197"/>
      <c r="Q295" s="197" t="s">
        <v>240</v>
      </c>
      <c r="R295" s="197"/>
      <c r="S295" s="197"/>
      <c r="T295" s="197"/>
      <c r="U295" s="197"/>
      <c r="V295" s="197" t="s">
        <v>1128</v>
      </c>
      <c r="W295" s="197" t="s">
        <v>140</v>
      </c>
      <c r="X295" s="197"/>
      <c r="Y295" s="197" t="str">
        <f ca="1">IF(I295&lt;&gt;"",IF(I295&lt;=TODAY(),IF(OR(N295="REPROGRAMADA",N295="SUSPENDIDA",N295="EXCLUSION",N295="COLEGIADO"),"NO HECHA",IF(N295=" ","SINRESULTADO","SI")),"NO"),IF(N295="EXCLUSION","NO HECHA","LIMBO"))</f>
        <v>NO</v>
      </c>
      <c r="Z295" s="197" t="str">
        <f>IF($Z$1=I295,"DIASOL", "DIANOSOL")</f>
        <v>DIANOSOL</v>
      </c>
      <c r="AA295" s="197"/>
      <c r="AB295" s="197" t="s">
        <v>2112</v>
      </c>
      <c r="AC295" s="197" t="str">
        <f>IF(H295=$M$1,"SI","NO")</f>
        <v>NO</v>
      </c>
      <c r="AD295" s="197"/>
      <c r="AE295" s="321">
        <v>45208</v>
      </c>
      <c r="AF295" s="197"/>
      <c r="AG295" s="197" t="str">
        <f>IF(COUNTIF(C295,"*preso*")&gt;0,"SI","NO")</f>
        <v>NO</v>
      </c>
      <c r="AH295" s="311">
        <f>NroOrden(N295)</f>
        <v>99</v>
      </c>
      <c r="AI295" s="197"/>
      <c r="AJ295" s="48" t="str">
        <f ca="1">IF(OR(Y295="NO",Y295="LIMBO"),"IMP","NOIMP")</f>
        <v>IMP</v>
      </c>
    </row>
    <row r="296" spans="1:36" ht="39.950000000000003" hidden="1" customHeight="1">
      <c r="A296" s="197">
        <v>291</v>
      </c>
      <c r="B296" s="198" t="s">
        <v>1886</v>
      </c>
      <c r="C296" s="199"/>
      <c r="D296" s="197" t="s">
        <v>1887</v>
      </c>
      <c r="E296" s="197" t="s">
        <v>1888</v>
      </c>
      <c r="F296" s="321">
        <v>45195</v>
      </c>
      <c r="G296" s="197" t="s">
        <v>1848</v>
      </c>
      <c r="H296" s="200" t="s">
        <v>1644</v>
      </c>
      <c r="I296" s="201">
        <v>45239</v>
      </c>
      <c r="J296" s="201" t="s">
        <v>961</v>
      </c>
      <c r="K296" s="200" t="s">
        <v>364</v>
      </c>
      <c r="L296" s="200" t="s">
        <v>1664</v>
      </c>
      <c r="M296" s="201" t="s">
        <v>328</v>
      </c>
      <c r="N296" s="197" t="s">
        <v>111</v>
      </c>
      <c r="O296" s="197"/>
      <c r="P296" s="197"/>
      <c r="Q296" s="197"/>
      <c r="R296" s="197"/>
      <c r="S296" s="197"/>
      <c r="T296" s="197"/>
      <c r="U296" s="197"/>
      <c r="V296" s="197" t="s">
        <v>189</v>
      </c>
      <c r="W296" s="197" t="s">
        <v>116</v>
      </c>
      <c r="X296" s="197" t="s">
        <v>111</v>
      </c>
      <c r="Y296" s="197" t="str">
        <f ca="1">IF(I296&lt;&gt;"",IF(I296&lt;=TODAY(),IF(OR(N296="REPROGRAMADA",N296="SUSPENDIDA",N296="EXCLUSION",N296="COLEGIADO"),"NO HECHA",IF(N296=" ","SINRESULTADO","SI")),"NO"),IF(N296="EXCLUSION","NO HECHA","LIMBO"))</f>
        <v>NO</v>
      </c>
      <c r="Z296" s="197" t="str">
        <f>IF($Z$1=I296,"DIASOL", "DIANOSOL")</f>
        <v>DIANOSOL</v>
      </c>
      <c r="AA296" s="197" t="s">
        <v>240</v>
      </c>
      <c r="AB296" s="197" t="s">
        <v>1889</v>
      </c>
      <c r="AC296" s="197" t="str">
        <f>IF(H296=$M$1,"SI","NO")</f>
        <v>SI</v>
      </c>
      <c r="AD296" s="197"/>
      <c r="AE296" s="321">
        <v>45174</v>
      </c>
      <c r="AF296" s="197"/>
      <c r="AG296" s="197" t="str">
        <f>IF(COUNTIF(C296,"*preso*")&gt;0,"SI","NO")</f>
        <v>NO</v>
      </c>
      <c r="AH296" s="253">
        <f>NroOrden(N296)</f>
        <v>99</v>
      </c>
      <c r="AI296" s="197"/>
      <c r="AJ296" s="48" t="str">
        <f ca="1">IF(OR(Y296="NO",Y296="LIMBO"),"IMP","NOIMP")</f>
        <v>IMP</v>
      </c>
    </row>
    <row r="297" spans="1:36" ht="39.950000000000003" hidden="1" customHeight="1">
      <c r="A297" s="197">
        <v>320</v>
      </c>
      <c r="B297" s="198" t="s">
        <v>2007</v>
      </c>
      <c r="C297" s="199"/>
      <c r="D297" s="197" t="s">
        <v>2008</v>
      </c>
      <c r="E297" s="197" t="s">
        <v>1916</v>
      </c>
      <c r="F297" s="321">
        <v>45197</v>
      </c>
      <c r="G297" s="197" t="s">
        <v>1848</v>
      </c>
      <c r="H297" s="200" t="s">
        <v>1648</v>
      </c>
      <c r="I297" s="201">
        <v>45239</v>
      </c>
      <c r="J297" s="201" t="s">
        <v>1672</v>
      </c>
      <c r="K297" s="200" t="s">
        <v>362</v>
      </c>
      <c r="L297" s="200" t="s">
        <v>1663</v>
      </c>
      <c r="M297" s="201" t="s">
        <v>328</v>
      </c>
      <c r="N297" s="197" t="s">
        <v>111</v>
      </c>
      <c r="O297" s="197"/>
      <c r="P297" s="197"/>
      <c r="Q297" s="197"/>
      <c r="R297" s="197"/>
      <c r="S297" s="197"/>
      <c r="T297" s="197"/>
      <c r="U297" s="197"/>
      <c r="V297" s="197" t="s">
        <v>182</v>
      </c>
      <c r="W297" s="197" t="s">
        <v>119</v>
      </c>
      <c r="X297" s="197" t="s">
        <v>111</v>
      </c>
      <c r="Y297" s="197" t="str">
        <f ca="1">IF(I297&lt;&gt;"",IF(I297&lt;=TODAY(),IF(OR(N297="REPROGRAMADA",N297="SUSPENDIDA",N297="EXCLUSION",N297="COLEGIADO"),"NO HECHA",IF(N297=" ","SINRESULTADO","SI")),"NO"),IF(N297="EXCLUSION","NO HECHA","LIMBO"))</f>
        <v>NO</v>
      </c>
      <c r="Z297" s="197" t="str">
        <f>IF($Z$1=I297,"DIASOL", "DIANOSOL")</f>
        <v>DIANOSOL</v>
      </c>
      <c r="AA297" s="197" t="s">
        <v>240</v>
      </c>
      <c r="AB297" s="197" t="s">
        <v>1917</v>
      </c>
      <c r="AC297" s="197" t="str">
        <f>IF(H297=$M$1,"SI","NO")</f>
        <v>NO</v>
      </c>
      <c r="AD297" s="197"/>
      <c r="AE297" s="321">
        <v>44989</v>
      </c>
      <c r="AF297" s="197"/>
      <c r="AG297" s="197" t="str">
        <f>IF(COUNTIF(C297,"*preso*")&gt;0,"SI","NO")</f>
        <v>NO</v>
      </c>
      <c r="AH297" s="253">
        <f>NroOrden(N297)</f>
        <v>99</v>
      </c>
      <c r="AI297" s="197"/>
      <c r="AJ297" s="48" t="str">
        <f ca="1">IF(OR(Y297="NO",Y297="LIMBO"),"IMP","NOIMP")</f>
        <v>IMP</v>
      </c>
    </row>
    <row r="298" spans="1:36" ht="39.950000000000003" hidden="1" customHeight="1">
      <c r="A298" s="84">
        <v>148</v>
      </c>
      <c r="B298" s="150" t="s">
        <v>1135</v>
      </c>
      <c r="C298" s="215"/>
      <c r="D298" s="84" t="s">
        <v>1131</v>
      </c>
      <c r="E298" s="152" t="s">
        <v>672</v>
      </c>
      <c r="F298" s="84"/>
      <c r="G298" s="149" t="s">
        <v>1132</v>
      </c>
      <c r="H298" s="175" t="s">
        <v>1643</v>
      </c>
      <c r="I298" s="172">
        <v>45240</v>
      </c>
      <c r="J298" s="173" t="s">
        <v>282</v>
      </c>
      <c r="K298" s="174" t="s">
        <v>362</v>
      </c>
      <c r="L298" s="174" t="s">
        <v>1664</v>
      </c>
      <c r="M298" s="173" t="s">
        <v>330</v>
      </c>
      <c r="N298" s="149" t="s">
        <v>111</v>
      </c>
      <c r="O298" s="149"/>
      <c r="P298" s="84"/>
      <c r="Q298" s="84" t="s">
        <v>111</v>
      </c>
      <c r="R298" s="196"/>
      <c r="S298" s="149"/>
      <c r="T298" s="84"/>
      <c r="U298" s="84"/>
      <c r="V298" s="149" t="s">
        <v>339</v>
      </c>
      <c r="W298" s="149" t="s">
        <v>1133</v>
      </c>
      <c r="X298" s="149" t="s">
        <v>111</v>
      </c>
      <c r="Y298" s="160" t="str">
        <f ca="1">IF(I298&lt;&gt;"",IF(I298&lt;=TODAY(),IF(OR(N298="REPROGRAMADA",N298="SUSPENDIDA",N298="EXCLUSION",N298="COLEGIADO"),"NO HECHA",IF(N298=" ","SINRESULTADO","SI")),"NO"),IF(N298="EXCLUSION","NO HECHA","LIMBO"))</f>
        <v>NO</v>
      </c>
      <c r="Z298" s="149" t="str">
        <f>IF($Z$1=I298,"DIASOL", "DIANOSOL")</f>
        <v>DIANOSOL</v>
      </c>
      <c r="AA298" s="149" t="s">
        <v>240</v>
      </c>
      <c r="AB298" s="149" t="s">
        <v>1134</v>
      </c>
      <c r="AC298" s="151" t="str">
        <f>IF(H298=$M$1,"SI","NO")</f>
        <v>NO</v>
      </c>
      <c r="AD298" s="151"/>
      <c r="AE298" s="84"/>
      <c r="AF298" s="84"/>
      <c r="AG298" s="84" t="str">
        <f>IF(COUNTIF(C298,"*preso*")&gt;0,"SI","NO")</f>
        <v>NO</v>
      </c>
      <c r="AH298" s="253">
        <f>NroOrden(N298)</f>
        <v>99</v>
      </c>
      <c r="AI298" s="84"/>
      <c r="AJ298" s="48" t="str">
        <f ca="1">IF(OR(Y298="NO",Y298="LIMBO"),"IMP","NOIMP")</f>
        <v>IMP</v>
      </c>
    </row>
    <row r="299" spans="1:36" ht="49.5" hidden="1" customHeight="1">
      <c r="A299" s="197">
        <v>317</v>
      </c>
      <c r="B299" s="198" t="s">
        <v>1989</v>
      </c>
      <c r="C299" s="199"/>
      <c r="D299" s="197" t="s">
        <v>1990</v>
      </c>
      <c r="E299" s="197" t="s">
        <v>2001</v>
      </c>
      <c r="F299" s="321">
        <v>45202</v>
      </c>
      <c r="G299" s="197" t="s">
        <v>1848</v>
      </c>
      <c r="H299" s="200" t="s">
        <v>1644</v>
      </c>
      <c r="I299" s="201">
        <v>45240</v>
      </c>
      <c r="J299" s="201" t="s">
        <v>961</v>
      </c>
      <c r="K299" s="200" t="s">
        <v>1838</v>
      </c>
      <c r="L299" s="200" t="s">
        <v>1663</v>
      </c>
      <c r="M299" s="201" t="s">
        <v>1761</v>
      </c>
      <c r="N299" s="197" t="s">
        <v>111</v>
      </c>
      <c r="O299" s="197"/>
      <c r="P299" s="197"/>
      <c r="Q299" s="197"/>
      <c r="R299" s="197"/>
      <c r="S299" s="197"/>
      <c r="T299" s="197"/>
      <c r="U299" s="197"/>
      <c r="V299" s="197" t="s">
        <v>1128</v>
      </c>
      <c r="W299" s="197" t="s">
        <v>111</v>
      </c>
      <c r="X299" s="197" t="s">
        <v>111</v>
      </c>
      <c r="Y299" s="197" t="str">
        <f ca="1">IF(I299&lt;&gt;"",IF(I299&lt;=TODAY(),IF(OR(N299="REPROGRAMADA",N299="SUSPENDIDA",N299="EXCLUSION",N299="COLEGIADO"),"NO HECHA",IF(N299=" ","SINRESULTADO","SI")),"NO"),IF(N299="EXCLUSION","NO HECHA","LIMBO"))</f>
        <v>NO</v>
      </c>
      <c r="Z299" s="197" t="str">
        <f>IF($Z$1=I299,"DIASOL", "DIANOSOL")</f>
        <v>DIANOSOL</v>
      </c>
      <c r="AA299" s="197" t="s">
        <v>240</v>
      </c>
      <c r="AB299" s="197" t="s">
        <v>2002</v>
      </c>
      <c r="AC299" s="197" t="str">
        <f>IF(H299=$M$1,"SI","NO")</f>
        <v>SI</v>
      </c>
      <c r="AD299" s="197"/>
      <c r="AE299" s="321">
        <v>45202</v>
      </c>
      <c r="AF299" s="197"/>
      <c r="AG299" s="197" t="str">
        <f>IF(COUNTIF(C299,"*preso*")&gt;0,"SI","NO")</f>
        <v>NO</v>
      </c>
      <c r="AH299" s="253">
        <f>NroOrden(N299)</f>
        <v>99</v>
      </c>
      <c r="AI299" s="197"/>
      <c r="AJ299" s="48" t="str">
        <f ca="1">IF(OR(Y299="NO",Y299="LIMBO"),"IMP","NOIMP")</f>
        <v>IMP</v>
      </c>
    </row>
    <row r="300" spans="1:36" ht="39.950000000000003" hidden="1" customHeight="1">
      <c r="A300" s="202">
        <v>231</v>
      </c>
      <c r="B300" s="203" t="s">
        <v>1598</v>
      </c>
      <c r="C300" s="204" t="s">
        <v>1477</v>
      </c>
      <c r="D300" s="202" t="s">
        <v>1599</v>
      </c>
      <c r="E300" s="202" t="s">
        <v>886</v>
      </c>
      <c r="F300" s="224">
        <v>45174</v>
      </c>
      <c r="G300" s="202" t="s">
        <v>1605</v>
      </c>
      <c r="H300" s="200" t="s">
        <v>1647</v>
      </c>
      <c r="I300" s="201">
        <v>45240</v>
      </c>
      <c r="J300" s="201" t="s">
        <v>1672</v>
      </c>
      <c r="K300" s="200" t="s">
        <v>362</v>
      </c>
      <c r="L300" s="174" t="s">
        <v>1664</v>
      </c>
      <c r="M300" s="201" t="s">
        <v>330</v>
      </c>
      <c r="N300" s="202" t="s">
        <v>111</v>
      </c>
      <c r="O300" s="202"/>
      <c r="P300" s="202"/>
      <c r="Q300" s="202" t="s">
        <v>111</v>
      </c>
      <c r="R300" s="202"/>
      <c r="S300" s="202" t="s">
        <v>1418</v>
      </c>
      <c r="T300" s="202" t="s">
        <v>1959</v>
      </c>
      <c r="U300" s="202" t="s">
        <v>1601</v>
      </c>
      <c r="V300" s="202" t="s">
        <v>192</v>
      </c>
      <c r="W300" s="202" t="s">
        <v>119</v>
      </c>
      <c r="X300" s="202" t="s">
        <v>111</v>
      </c>
      <c r="Y300" s="202" t="str">
        <f ca="1">IF(I300&lt;&gt;"",IF(I300&lt;=TODAY(),IF(OR(N300="REPROGRAMADA",N300="SUSPENDIDA",N300="EXCLUSION",N300="COLEGIADO"),"NO HECHA",IF(N300=" ","SINRESULTADO","SI")),"NO"),IF(N300="EXCLUSION","NO HECHA","LIMBO"))</f>
        <v>NO</v>
      </c>
      <c r="Z300" s="202" t="str">
        <f>IF($Z$1=I300,"DIASOL", "DIANOSOL")</f>
        <v>DIANOSOL</v>
      </c>
      <c r="AA300" s="202" t="s">
        <v>240</v>
      </c>
      <c r="AB300" s="202" t="s">
        <v>1600</v>
      </c>
      <c r="AC300" s="202" t="str">
        <f>IF(H300=$M$1,"SI","NO")</f>
        <v>NO</v>
      </c>
      <c r="AD300" s="202"/>
      <c r="AE300" s="224">
        <v>45170</v>
      </c>
      <c r="AF300" s="202"/>
      <c r="AG300" s="202" t="str">
        <f>IF(COUNTIF(C300,"*preso*")&gt;0,"SI","NO")</f>
        <v>SI</v>
      </c>
      <c r="AH300" s="257">
        <f>NroOrden(N300)</f>
        <v>99</v>
      </c>
      <c r="AI300" s="202"/>
      <c r="AJ300" s="48" t="str">
        <f ca="1">IF(OR(Y300="NO",Y300="LIMBO"),"IMP","NOIMP")</f>
        <v>IMP</v>
      </c>
    </row>
    <row r="301" spans="1:36" ht="39.950000000000003" hidden="1" customHeight="1">
      <c r="A301" s="197">
        <v>355</v>
      </c>
      <c r="B301" s="198" t="s">
        <v>1808</v>
      </c>
      <c r="C301" s="199"/>
      <c r="D301" s="197" t="s">
        <v>1809</v>
      </c>
      <c r="E301" s="197" t="s">
        <v>1810</v>
      </c>
      <c r="F301" s="197">
        <v>45194</v>
      </c>
      <c r="G301" s="197"/>
      <c r="H301" s="200" t="s">
        <v>1648</v>
      </c>
      <c r="I301" s="201">
        <v>45240</v>
      </c>
      <c r="J301" s="201" t="s">
        <v>1672</v>
      </c>
      <c r="K301" s="200" t="s">
        <v>1838</v>
      </c>
      <c r="L301" s="200" t="s">
        <v>1663</v>
      </c>
      <c r="M301" s="201" t="s">
        <v>1761</v>
      </c>
      <c r="N301" s="197"/>
      <c r="O301" s="197"/>
      <c r="P301" s="197"/>
      <c r="Q301" s="197" t="s">
        <v>240</v>
      </c>
      <c r="R301" s="197"/>
      <c r="S301" s="197"/>
      <c r="T301" s="197"/>
      <c r="U301" s="197"/>
      <c r="V301" s="197" t="s">
        <v>193</v>
      </c>
      <c r="W301" s="197" t="s">
        <v>141</v>
      </c>
      <c r="X301" s="197" t="s">
        <v>111</v>
      </c>
      <c r="Y301" s="197" t="str">
        <f ca="1">IF(I301&lt;&gt;"",IF(I301&lt;=TODAY(),IF(OR(N301="REPROGRAMADA",N301="SUSPENDIDA",N301="EXCLUSION",N301="COLEGIADO"),"NO HECHA",IF(N301=" ","SINRESULTADO","SI")),"NO"),IF(N301="EXCLUSION","NO HECHA","LIMBO"))</f>
        <v>NO</v>
      </c>
      <c r="Z301" s="197" t="str">
        <f>IF($Z$1=I301,"DIASOL", "DIANOSOL")</f>
        <v>DIANOSOL</v>
      </c>
      <c r="AA301" s="197" t="s">
        <v>240</v>
      </c>
      <c r="AB301" s="321"/>
      <c r="AC301" s="197" t="str">
        <f>IF(H301=$M$1,"SI","NO")</f>
        <v>NO</v>
      </c>
      <c r="AD301" s="197"/>
      <c r="AE301" s="197">
        <v>45194</v>
      </c>
      <c r="AF301" s="197"/>
      <c r="AG301" s="197" t="str">
        <f>IF(COUNTIF(C301,"*preso*")&gt;0,"SI","NO")</f>
        <v>NO</v>
      </c>
      <c r="AH301" s="311">
        <f>NroOrden(N301)</f>
        <v>99</v>
      </c>
      <c r="AI301" s="197" t="s">
        <v>2124</v>
      </c>
      <c r="AJ301" s="287" t="str">
        <f ca="1">IF(OR(Y301="NO",Y301="LIMBO"),"IMP","NOIMP")</f>
        <v>IMP</v>
      </c>
    </row>
    <row r="302" spans="1:36" ht="39.950000000000003" hidden="1" customHeight="1">
      <c r="A302" s="197">
        <v>346</v>
      </c>
      <c r="B302" s="198" t="s">
        <v>1796</v>
      </c>
      <c r="C302" s="199"/>
      <c r="D302" s="197" t="s">
        <v>1797</v>
      </c>
      <c r="E302" s="197" t="s">
        <v>672</v>
      </c>
      <c r="F302" s="197">
        <v>45190</v>
      </c>
      <c r="G302" s="197"/>
      <c r="H302" s="200" t="s">
        <v>1642</v>
      </c>
      <c r="I302" s="201">
        <v>45240</v>
      </c>
      <c r="J302" s="201" t="s">
        <v>309</v>
      </c>
      <c r="K302" s="200" t="s">
        <v>364</v>
      </c>
      <c r="L302" s="200" t="s">
        <v>1664</v>
      </c>
      <c r="M302" s="201" t="s">
        <v>332</v>
      </c>
      <c r="N302" s="197"/>
      <c r="O302" s="197"/>
      <c r="P302" s="197"/>
      <c r="Q302" s="197" t="s">
        <v>240</v>
      </c>
      <c r="R302" s="197"/>
      <c r="S302" s="197"/>
      <c r="T302" s="197"/>
      <c r="U302" s="197"/>
      <c r="V302" s="197" t="s">
        <v>339</v>
      </c>
      <c r="W302" s="197" t="s">
        <v>269</v>
      </c>
      <c r="X302" s="197" t="s">
        <v>111</v>
      </c>
      <c r="Y302" s="197" t="str">
        <f ca="1">IF(I302&lt;&gt;"",IF(I302&lt;=TODAY(),IF(OR(N302="REPROGRAMADA",N302="SUSPENDIDA",N302="EXCLUSION",N302="COLEGIADO"),"NO HECHA",IF(N302=" ","SINRESULTADO","SI")),"NO"),IF(N302="EXCLUSION","NO HECHA","LIMBO"))</f>
        <v>NO</v>
      </c>
      <c r="Z302" s="197" t="str">
        <f>IF($Z$1=I302,"DIASOL", "DIANOSOL")</f>
        <v>DIANOSOL</v>
      </c>
      <c r="AA302" s="197" t="s">
        <v>240</v>
      </c>
      <c r="AB302" s="321"/>
      <c r="AC302" s="197" t="str">
        <f>IF(H302=$M$1,"SI","NO")</f>
        <v>NO</v>
      </c>
      <c r="AD302" s="197"/>
      <c r="AE302" s="197">
        <v>45190</v>
      </c>
      <c r="AF302" s="197"/>
      <c r="AG302" s="197" t="str">
        <f>IF(COUNTIF(C302,"*preso*")&gt;0,"SI","NO")</f>
        <v>NO</v>
      </c>
      <c r="AH302" s="311">
        <f>NroOrden(N302)</f>
        <v>99</v>
      </c>
      <c r="AI302" s="197" t="s">
        <v>2151</v>
      </c>
      <c r="AJ302" s="48" t="str">
        <f ca="1">IF(OR(Y302="NO",Y302="LIMBO"),"IMP","NOIMP")</f>
        <v>IMP</v>
      </c>
    </row>
    <row r="303" spans="1:36" ht="66.75" hidden="1" customHeight="1">
      <c r="A303" s="197">
        <v>344</v>
      </c>
      <c r="B303" s="198" t="s">
        <v>2143</v>
      </c>
      <c r="C303" s="199"/>
      <c r="D303" s="197" t="s">
        <v>2144</v>
      </c>
      <c r="E303" s="197" t="s">
        <v>2145</v>
      </c>
      <c r="F303" s="321">
        <v>45204</v>
      </c>
      <c r="G303" s="197" t="s">
        <v>2117</v>
      </c>
      <c r="H303" s="200" t="s">
        <v>1644</v>
      </c>
      <c r="I303" s="201">
        <v>45243</v>
      </c>
      <c r="J303" s="201" t="s">
        <v>282</v>
      </c>
      <c r="K303" s="200" t="s">
        <v>1950</v>
      </c>
      <c r="L303" s="200" t="s">
        <v>1663</v>
      </c>
      <c r="M303" s="201" t="s">
        <v>331</v>
      </c>
      <c r="N303" s="197"/>
      <c r="O303" s="197"/>
      <c r="P303" s="197"/>
      <c r="Q303" s="197" t="s">
        <v>240</v>
      </c>
      <c r="R303" s="197"/>
      <c r="S303" s="197"/>
      <c r="T303" s="197"/>
      <c r="U303" s="197"/>
      <c r="V303" s="197" t="s">
        <v>199</v>
      </c>
      <c r="W303" s="197" t="s">
        <v>169</v>
      </c>
      <c r="X303" s="197"/>
      <c r="Y303" s="197" t="str">
        <f ca="1">IF(I303&lt;&gt;"",IF(I303&lt;=TODAY(),IF(OR(N303="REPROGRAMADA",N303="SUSPENDIDA",N303="EXCLUSION",N303="COLEGIADO"),"NO HECHA",IF(N303=" ","SINRESULTADO","SI")),"NO"),IF(N303="EXCLUSION","NO HECHA","LIMBO"))</f>
        <v>NO</v>
      </c>
      <c r="Z303" s="197" t="str">
        <f>IF($Z$1=I303,"DIASOL", "DIANOSOL")</f>
        <v>DIANOSOL</v>
      </c>
      <c r="AA303" s="197"/>
      <c r="AB303" s="197" t="s">
        <v>2146</v>
      </c>
      <c r="AC303" s="197" t="str">
        <f>IF(H303=$M$1,"SI","NO")</f>
        <v>SI</v>
      </c>
      <c r="AD303" s="197"/>
      <c r="AE303" s="321">
        <v>45204</v>
      </c>
      <c r="AF303" s="197"/>
      <c r="AG303" s="197" t="str">
        <f>IF(COUNTIF(C303,"*preso*")&gt;0,"SI","NO")</f>
        <v>NO</v>
      </c>
      <c r="AH303" s="311">
        <f>NroOrden(N303)</f>
        <v>99</v>
      </c>
      <c r="AI303" s="197"/>
      <c r="AJ303" s="48" t="str">
        <f ca="1">IF(OR(Y303="NO",Y303="LIMBO"),"IMP","NOIMP")</f>
        <v>IMP</v>
      </c>
    </row>
    <row r="304" spans="1:36" ht="90" hidden="1" customHeight="1">
      <c r="A304" s="197">
        <v>340</v>
      </c>
      <c r="B304" s="198" t="s">
        <v>2108</v>
      </c>
      <c r="C304" s="199"/>
      <c r="D304" s="197" t="s">
        <v>2262</v>
      </c>
      <c r="E304" s="197" t="s">
        <v>2123</v>
      </c>
      <c r="F304" s="298">
        <v>45209</v>
      </c>
      <c r="G304" s="197" t="s">
        <v>2263</v>
      </c>
      <c r="H304" s="200" t="s">
        <v>1648</v>
      </c>
      <c r="I304" s="201">
        <v>45243</v>
      </c>
      <c r="J304" s="201" t="s">
        <v>961</v>
      </c>
      <c r="K304" s="200" t="s">
        <v>1950</v>
      </c>
      <c r="L304" s="200" t="s">
        <v>1663</v>
      </c>
      <c r="M304" s="201" t="s">
        <v>1813</v>
      </c>
      <c r="N304" s="197"/>
      <c r="O304" s="197"/>
      <c r="P304" s="197"/>
      <c r="Q304" s="197" t="s">
        <v>240</v>
      </c>
      <c r="R304" s="197"/>
      <c r="S304" s="197"/>
      <c r="T304" s="197"/>
      <c r="U304" s="197"/>
      <c r="V304" s="197" t="s">
        <v>183</v>
      </c>
      <c r="W304" s="197" t="s">
        <v>133</v>
      </c>
      <c r="X304" s="197"/>
      <c r="Y304" s="197" t="str">
        <f ca="1">IF(I304&lt;&gt;"",IF(I304&lt;=TODAY(),IF(OR(N304="REPROGRAMADA",N304="SUSPENDIDA",N304="EXCLUSION",N304="COLEGIADO"),"NO HECHA",IF(N304=" ","SINRESULTADO","SI")),"NO"),IF(N304="EXCLUSION","NO HECHA","LIMBO"))</f>
        <v>NO</v>
      </c>
      <c r="Z304" s="197" t="str">
        <f>IF($Z$1=I304,"DIASOL", "DIANOSOL")</f>
        <v>DIANOSOL</v>
      </c>
      <c r="AA304" s="197"/>
      <c r="AB304" s="197" t="s">
        <v>2122</v>
      </c>
      <c r="AC304" s="197" t="str">
        <f>IF(H304=$M$1,"SI","NO")</f>
        <v>NO</v>
      </c>
      <c r="AD304" s="197"/>
      <c r="AE304" s="298">
        <v>45209</v>
      </c>
      <c r="AF304" s="197"/>
      <c r="AG304" s="197" t="str">
        <f>IF(COUNTIF(C304,"*preso*")&gt;0,"SI","NO")</f>
        <v>NO</v>
      </c>
      <c r="AH304" s="311">
        <f>NroOrden(N304)</f>
        <v>99</v>
      </c>
      <c r="AI304" s="197"/>
      <c r="AJ304" s="48" t="str">
        <f ca="1">IF(OR(Y304="NO",Y304="LIMBO"),"IMP","NOIMP")</f>
        <v>IMP</v>
      </c>
    </row>
    <row r="305" spans="1:36" ht="39.950000000000003" hidden="1" customHeight="1">
      <c r="A305" s="84">
        <v>123</v>
      </c>
      <c r="B305" s="150" t="s">
        <v>1007</v>
      </c>
      <c r="C305" s="215"/>
      <c r="D305" s="84" t="s">
        <v>1008</v>
      </c>
      <c r="E305" s="149" t="s">
        <v>1009</v>
      </c>
      <c r="F305" s="188">
        <v>45110</v>
      </c>
      <c r="G305" s="149" t="s">
        <v>1010</v>
      </c>
      <c r="H305" s="175" t="s">
        <v>1647</v>
      </c>
      <c r="I305" s="172">
        <v>45243</v>
      </c>
      <c r="J305" s="173" t="s">
        <v>309</v>
      </c>
      <c r="K305" s="174" t="s">
        <v>1679</v>
      </c>
      <c r="L305" s="174" t="s">
        <v>1664</v>
      </c>
      <c r="M305" s="173" t="s">
        <v>332</v>
      </c>
      <c r="N305" s="149" t="s">
        <v>111</v>
      </c>
      <c r="O305" s="149"/>
      <c r="P305" s="84"/>
      <c r="Q305" s="84" t="s">
        <v>111</v>
      </c>
      <c r="R305" s="196"/>
      <c r="S305" s="149"/>
      <c r="T305" s="84"/>
      <c r="U305" s="84"/>
      <c r="V305" s="149" t="s">
        <v>114</v>
      </c>
      <c r="W305" s="149" t="s">
        <v>119</v>
      </c>
      <c r="X305" s="149" t="s">
        <v>111</v>
      </c>
      <c r="Y305" s="160" t="str">
        <f ca="1">IF(I305&lt;&gt;"",IF(I305&lt;=TODAY(),IF(OR(N305="REPROGRAMADA",N305="SUSPENDIDA",N305="EXCLUSION",N305="COLEGIADO"),"NO HECHA",IF(N305=" ","SINRESULTADO","SI")),"NO"),IF(N305="EXCLUSION","NO HECHA","LIMBO"))</f>
        <v>NO</v>
      </c>
      <c r="Z305" s="149" t="str">
        <f>IF($Z$1=I305,"DIASOL", "DIANOSOL")</f>
        <v>DIANOSOL</v>
      </c>
      <c r="AA305" s="149" t="s">
        <v>240</v>
      </c>
      <c r="AB305" s="149" t="s">
        <v>1011</v>
      </c>
      <c r="AC305" s="151" t="str">
        <f>IF(H305=$M$1,"SI","NO")</f>
        <v>NO</v>
      </c>
      <c r="AD305" s="151"/>
      <c r="AE305" s="84"/>
      <c r="AF305" s="84"/>
      <c r="AG305" s="84" t="str">
        <f>IF(COUNTIF(C305,"*preso*")&gt;0,"SI","NO")</f>
        <v>NO</v>
      </c>
      <c r="AH305" s="253">
        <f>NroOrden(N305)</f>
        <v>99</v>
      </c>
      <c r="AI305" s="84"/>
      <c r="AJ305" s="48" t="str">
        <f ca="1">IF(OR(Y305="NO",Y305="LIMBO"),"IMP","NOIMP")</f>
        <v>IMP</v>
      </c>
    </row>
    <row r="306" spans="1:36" ht="39.950000000000003" hidden="1" customHeight="1">
      <c r="A306" s="197">
        <v>287</v>
      </c>
      <c r="B306" s="198" t="s">
        <v>1861</v>
      </c>
      <c r="C306" s="199"/>
      <c r="D306" s="197" t="s">
        <v>1862</v>
      </c>
      <c r="E306" s="197" t="s">
        <v>1863</v>
      </c>
      <c r="F306" s="321">
        <v>45191</v>
      </c>
      <c r="G306" s="197" t="s">
        <v>1848</v>
      </c>
      <c r="H306" s="200" t="s">
        <v>1648</v>
      </c>
      <c r="I306" s="201">
        <v>45245</v>
      </c>
      <c r="J306" s="201" t="s">
        <v>396</v>
      </c>
      <c r="K306" s="200" t="s">
        <v>2149</v>
      </c>
      <c r="L306" s="200" t="s">
        <v>1664</v>
      </c>
      <c r="M306" s="201" t="s">
        <v>1818</v>
      </c>
      <c r="N306" s="197" t="s">
        <v>111</v>
      </c>
      <c r="O306" s="197"/>
      <c r="P306" s="197"/>
      <c r="Q306" s="197"/>
      <c r="R306" s="197"/>
      <c r="S306" s="197"/>
      <c r="T306" s="197"/>
      <c r="U306" s="197"/>
      <c r="V306" s="197" t="s">
        <v>1280</v>
      </c>
      <c r="W306" s="197" t="s">
        <v>111</v>
      </c>
      <c r="X306" s="197" t="s">
        <v>111</v>
      </c>
      <c r="Y306" s="197" t="str">
        <f ca="1">IF(I306&lt;&gt;"",IF(I306&lt;=TODAY(),IF(OR(N306="REPROGRAMADA",N306="SUSPENDIDA",N306="EXCLUSION",N306="COLEGIADO"),"NO HECHA",IF(N306=" ","SINRESULTADO","SI")),"NO"),IF(N306="EXCLUSION","NO HECHA","LIMBO"))</f>
        <v>NO</v>
      </c>
      <c r="Z306" s="197" t="str">
        <f>IF($Z$1=I306,"DIASOL", "DIANOSOL")</f>
        <v>DIANOSOL</v>
      </c>
      <c r="AA306" s="197" t="s">
        <v>240</v>
      </c>
      <c r="AB306" s="197" t="s">
        <v>1865</v>
      </c>
      <c r="AC306" s="197" t="str">
        <f>IF(H306=$M$1,"SI","NO")</f>
        <v>NO</v>
      </c>
      <c r="AD306" s="197"/>
      <c r="AE306" s="321">
        <v>45191</v>
      </c>
      <c r="AF306" s="197"/>
      <c r="AG306" s="197" t="str">
        <f>IF(COUNTIF(C306,"*preso*")&gt;0,"SI","NO")</f>
        <v>NO</v>
      </c>
      <c r="AH306" s="253">
        <f>NroOrden(N306)</f>
        <v>99</v>
      </c>
      <c r="AI306" s="197"/>
      <c r="AJ306" s="48" t="str">
        <f ca="1">IF(OR(Y306="NO",Y306="LIMBO"),"IMP","NOIMP")</f>
        <v>IMP</v>
      </c>
    </row>
    <row r="307" spans="1:36" ht="39.950000000000003" hidden="1" customHeight="1">
      <c r="A307" s="197">
        <v>303</v>
      </c>
      <c r="B307" s="198" t="s">
        <v>1926</v>
      </c>
      <c r="C307" s="199"/>
      <c r="D307" s="197" t="s">
        <v>1927</v>
      </c>
      <c r="E307" s="197" t="s">
        <v>1928</v>
      </c>
      <c r="F307" s="321">
        <v>45201</v>
      </c>
      <c r="G307" s="197" t="s">
        <v>1848</v>
      </c>
      <c r="H307" s="200" t="s">
        <v>1647</v>
      </c>
      <c r="I307" s="201">
        <v>45245</v>
      </c>
      <c r="J307" s="201" t="s">
        <v>396</v>
      </c>
      <c r="K307" s="200" t="s">
        <v>1839</v>
      </c>
      <c r="L307" s="200" t="s">
        <v>1664</v>
      </c>
      <c r="M307" s="201" t="s">
        <v>1816</v>
      </c>
      <c r="N307" s="197" t="s">
        <v>111</v>
      </c>
      <c r="O307" s="197"/>
      <c r="P307" s="197"/>
      <c r="Q307" s="197"/>
      <c r="R307" s="197"/>
      <c r="S307" s="197"/>
      <c r="T307" s="197"/>
      <c r="U307" s="197"/>
      <c r="V307" s="197" t="s">
        <v>346</v>
      </c>
      <c r="W307" s="197" t="s">
        <v>111</v>
      </c>
      <c r="X307" s="197" t="s">
        <v>111</v>
      </c>
      <c r="Y307" s="197" t="str">
        <f ca="1">IF(I307&lt;&gt;"",IF(I307&lt;=TODAY(),IF(OR(N307="REPROGRAMADA",N307="SUSPENDIDA",N307="EXCLUSION",N307="COLEGIADO"),"NO HECHA",IF(N307=" ","SINRESULTADO","SI")),"NO"),IF(N307="EXCLUSION","NO HECHA","LIMBO"))</f>
        <v>NO</v>
      </c>
      <c r="Z307" s="197" t="str">
        <f>IF($Z$1=I307,"DIASOL", "DIANOSOL")</f>
        <v>DIANOSOL</v>
      </c>
      <c r="AA307" s="197" t="s">
        <v>240</v>
      </c>
      <c r="AB307" s="197" t="s">
        <v>1929</v>
      </c>
      <c r="AC307" s="197" t="str">
        <f>IF(H307=$M$1,"SI","NO")</f>
        <v>NO</v>
      </c>
      <c r="AD307" s="197"/>
      <c r="AE307" s="321">
        <v>45201</v>
      </c>
      <c r="AF307" s="197"/>
      <c r="AG307" s="197" t="str">
        <f>IF(COUNTIF(C307,"*preso*")&gt;0,"SI","NO")</f>
        <v>NO</v>
      </c>
      <c r="AH307" s="253">
        <f>NroOrden(N307)</f>
        <v>99</v>
      </c>
      <c r="AI307" s="197"/>
      <c r="AJ307" s="48" t="str">
        <f ca="1">IF(OR(Y307="NO",Y307="LIMBO"),"IMP","NOIMP")</f>
        <v>IMP</v>
      </c>
    </row>
    <row r="308" spans="1:36" ht="100.5" hidden="1" customHeight="1">
      <c r="A308" s="197">
        <v>304</v>
      </c>
      <c r="B308" s="198" t="s">
        <v>1930</v>
      </c>
      <c r="C308" s="199"/>
      <c r="D308" s="197" t="s">
        <v>1931</v>
      </c>
      <c r="E308" s="197" t="s">
        <v>1932</v>
      </c>
      <c r="F308" s="321">
        <v>45201</v>
      </c>
      <c r="G308" s="197" t="s">
        <v>1848</v>
      </c>
      <c r="H308" s="200" t="s">
        <v>1644</v>
      </c>
      <c r="I308" s="201">
        <v>45245</v>
      </c>
      <c r="J308" s="201" t="s">
        <v>309</v>
      </c>
      <c r="K308" s="200" t="s">
        <v>1679</v>
      </c>
      <c r="L308" s="200" t="s">
        <v>1663</v>
      </c>
      <c r="M308" s="201" t="s">
        <v>333</v>
      </c>
      <c r="N308" s="197" t="s">
        <v>111</v>
      </c>
      <c r="O308" s="197"/>
      <c r="P308" s="197"/>
      <c r="Q308" s="197"/>
      <c r="R308" s="197"/>
      <c r="S308" s="197"/>
      <c r="T308" s="197"/>
      <c r="U308" s="197"/>
      <c r="V308" s="197" t="s">
        <v>184</v>
      </c>
      <c r="W308" s="197" t="s">
        <v>118</v>
      </c>
      <c r="X308" s="197" t="s">
        <v>111</v>
      </c>
      <c r="Y308" s="197" t="str">
        <f ca="1">IF(I308&lt;&gt;"",IF(I308&lt;=TODAY(),IF(OR(N308="REPROGRAMADA",N308="SUSPENDIDA",N308="EXCLUSION",N308="COLEGIADO"),"NO HECHA",IF(N308=" ","SINRESULTADO","SI")),"NO"),IF(N308="EXCLUSION","NO HECHA","LIMBO"))</f>
        <v>NO</v>
      </c>
      <c r="Z308" s="197" t="str">
        <f>IF($Z$1=I308,"DIASOL", "DIANOSOL")</f>
        <v>DIANOSOL</v>
      </c>
      <c r="AA308" s="197" t="s">
        <v>240</v>
      </c>
      <c r="AB308" s="197" t="s">
        <v>1933</v>
      </c>
      <c r="AC308" s="197" t="str">
        <f>IF(H308=$M$1,"SI","NO")</f>
        <v>SI</v>
      </c>
      <c r="AD308" s="197"/>
      <c r="AE308" s="321">
        <v>45050</v>
      </c>
      <c r="AF308" s="197"/>
      <c r="AG308" s="197" t="str">
        <f>IF(COUNTIF(C308,"*preso*")&gt;0,"SI","NO")</f>
        <v>NO</v>
      </c>
      <c r="AH308" s="253">
        <f>NroOrden(N308)</f>
        <v>99</v>
      </c>
      <c r="AI308" s="197"/>
      <c r="AJ308" s="48" t="str">
        <f ca="1">IF(OR(Y308="NO",Y308="LIMBO"),"IMP","NOIMP")</f>
        <v>IMP</v>
      </c>
    </row>
    <row r="309" spans="1:36" ht="52.5" hidden="1" customHeight="1">
      <c r="A309" s="84">
        <v>155</v>
      </c>
      <c r="B309" s="150" t="s">
        <v>1162</v>
      </c>
      <c r="C309" s="215"/>
      <c r="D309" s="84" t="s">
        <v>1163</v>
      </c>
      <c r="E309" s="84" t="s">
        <v>1164</v>
      </c>
      <c r="F309" s="188">
        <v>45114</v>
      </c>
      <c r="G309" s="149" t="s">
        <v>1065</v>
      </c>
      <c r="H309" s="175" t="s">
        <v>1649</v>
      </c>
      <c r="I309" s="172">
        <v>45246</v>
      </c>
      <c r="J309" s="173" t="s">
        <v>282</v>
      </c>
      <c r="K309" s="174" t="s">
        <v>362</v>
      </c>
      <c r="L309" s="174" t="s">
        <v>1663</v>
      </c>
      <c r="M309" s="173" t="s">
        <v>330</v>
      </c>
      <c r="N309" s="149" t="s">
        <v>111</v>
      </c>
      <c r="O309" s="149"/>
      <c r="P309" s="84"/>
      <c r="Q309" s="84" t="s">
        <v>111</v>
      </c>
      <c r="R309" s="196"/>
      <c r="S309" s="149"/>
      <c r="T309" s="84"/>
      <c r="U309" s="84"/>
      <c r="V309" s="149" t="s">
        <v>342</v>
      </c>
      <c r="W309" s="149" t="s">
        <v>118</v>
      </c>
      <c r="X309" s="149" t="s">
        <v>111</v>
      </c>
      <c r="Y309" s="160" t="str">
        <f ca="1">IF(I309&lt;&gt;"",IF(I309&lt;=TODAY(),IF(OR(N309="REPROGRAMADA",N309="SUSPENDIDA",N309="EXCLUSION",N309="COLEGIADO"),"NO HECHA",IF(N309=" ","SINRESULTADO","SI")),"NO"),IF(N309="EXCLUSION","NO HECHA","LIMBO"))</f>
        <v>NO</v>
      </c>
      <c r="Z309" s="149" t="str">
        <f>IF($Z$1=I309,"DIASOL", "DIANOSOL")</f>
        <v>DIANOSOL</v>
      </c>
      <c r="AA309" s="149" t="s">
        <v>240</v>
      </c>
      <c r="AB309" s="152" t="s">
        <v>1165</v>
      </c>
      <c r="AC309" s="151" t="str">
        <f>IF(H309=$M$1,"SI","NO")</f>
        <v>NO</v>
      </c>
      <c r="AD309" s="151"/>
      <c r="AE309" s="84"/>
      <c r="AF309" s="84"/>
      <c r="AG309" s="84" t="str">
        <f>IF(COUNTIF(C309,"*preso*")&gt;0,"SI","NO")</f>
        <v>NO</v>
      </c>
      <c r="AH309" s="253">
        <f>NroOrden(N309)</f>
        <v>99</v>
      </c>
      <c r="AI309" s="84"/>
      <c r="AJ309" s="48" t="str">
        <f ca="1">IF(OR(Y309="NO",Y309="LIMBO"),"IMP","NOIMP")</f>
        <v>IMP</v>
      </c>
    </row>
    <row r="310" spans="1:36" ht="113.25" hidden="1" customHeight="1">
      <c r="A310" s="197">
        <v>279</v>
      </c>
      <c r="B310" s="198" t="s">
        <v>1826</v>
      </c>
      <c r="C310" s="199"/>
      <c r="D310" s="197" t="s">
        <v>1827</v>
      </c>
      <c r="E310" s="197" t="s">
        <v>1045</v>
      </c>
      <c r="F310" s="321">
        <v>45156</v>
      </c>
      <c r="G310" s="197" t="s">
        <v>1828</v>
      </c>
      <c r="H310" s="200" t="s">
        <v>1645</v>
      </c>
      <c r="I310" s="201">
        <v>45246</v>
      </c>
      <c r="J310" s="201" t="s">
        <v>961</v>
      </c>
      <c r="K310" s="200" t="s">
        <v>1679</v>
      </c>
      <c r="L310" s="200" t="s">
        <v>1664</v>
      </c>
      <c r="M310" s="201" t="s">
        <v>331</v>
      </c>
      <c r="N310" s="197" t="s">
        <v>111</v>
      </c>
      <c r="O310" s="197"/>
      <c r="P310" s="197"/>
      <c r="Q310" s="197"/>
      <c r="R310" s="197"/>
      <c r="S310" s="197"/>
      <c r="T310" s="197"/>
      <c r="U310" s="197"/>
      <c r="V310" s="197" t="s">
        <v>344</v>
      </c>
      <c r="W310" s="197" t="s">
        <v>111</v>
      </c>
      <c r="X310" s="197" t="s">
        <v>111</v>
      </c>
      <c r="Y310" s="197" t="str">
        <f ca="1">IF(I310&lt;&gt;"",IF(I310&lt;=TODAY(),IF(OR(N310="REPROGRAMADA",N310="SUSPENDIDA",N310="EXCLUSION",N310="COLEGIADO"),"NO HECHA",IF(N310=" ","SINRESULTADO","SI")),"NO"),IF(N310="EXCLUSION","NO HECHA","LIMBO"))</f>
        <v>NO</v>
      </c>
      <c r="Z310" s="197" t="str">
        <f>IF($Z$1=I310,"DIASOL", "DIANOSOL")</f>
        <v>DIANOSOL</v>
      </c>
      <c r="AA310" s="197" t="s">
        <v>681</v>
      </c>
      <c r="AB310" s="197" t="s">
        <v>1829</v>
      </c>
      <c r="AC310" s="197" t="str">
        <f>IF(H310=$M$1,"SI","NO")</f>
        <v>NO</v>
      </c>
      <c r="AD310" s="197"/>
      <c r="AE310" s="321">
        <v>45156</v>
      </c>
      <c r="AF310" s="197"/>
      <c r="AG310" s="197" t="str">
        <f>IF(COUNTIF(C310,"*preso*")&gt;0,"SI","NO")</f>
        <v>NO</v>
      </c>
      <c r="AH310" s="253">
        <f>NroOrden(N310)</f>
        <v>99</v>
      </c>
      <c r="AI310" s="197"/>
      <c r="AJ310" s="48" t="str">
        <f ca="1">IF(OR(Y310="NO",Y310="LIMBO"),"IMP","NOIMP")</f>
        <v>IMP</v>
      </c>
    </row>
    <row r="311" spans="1:36" ht="39.950000000000003" hidden="1" customHeight="1">
      <c r="A311" s="197">
        <v>343</v>
      </c>
      <c r="B311" s="198" t="s">
        <v>1674</v>
      </c>
      <c r="C311" s="199"/>
      <c r="D311" s="197" t="s">
        <v>1503</v>
      </c>
      <c r="E311" s="197" t="s">
        <v>1504</v>
      </c>
      <c r="F311" s="298">
        <v>45162</v>
      </c>
      <c r="G311" s="197" t="s">
        <v>2117</v>
      </c>
      <c r="H311" s="200" t="s">
        <v>1642</v>
      </c>
      <c r="I311" s="201">
        <v>45246</v>
      </c>
      <c r="J311" s="201" t="s">
        <v>961</v>
      </c>
      <c r="K311" s="200" t="s">
        <v>2149</v>
      </c>
      <c r="L311" s="200" t="s">
        <v>1663</v>
      </c>
      <c r="M311" s="201" t="s">
        <v>332</v>
      </c>
      <c r="N311" s="197"/>
      <c r="O311" s="197"/>
      <c r="P311" s="197"/>
      <c r="Q311" s="197" t="s">
        <v>240</v>
      </c>
      <c r="R311" s="197"/>
      <c r="S311" s="197"/>
      <c r="T311" s="197"/>
      <c r="U311" s="197"/>
      <c r="V311" s="197" t="s">
        <v>191</v>
      </c>
      <c r="W311" s="197" t="s">
        <v>117</v>
      </c>
      <c r="X311" s="197" t="s">
        <v>111</v>
      </c>
      <c r="Y311" s="197" t="str">
        <f ca="1">IF(I311&lt;&gt;"",IF(I311&lt;=TODAY(),IF(OR(N311="REPROGRAMADA",N311="SUSPENDIDA",N311="EXCLUSION",N311="COLEGIADO"),"NO HECHA",IF(N311=" ","SINRESULTADO","SI")),"NO"),IF(N311="EXCLUSION","NO HECHA","LIMBO"))</f>
        <v>NO</v>
      </c>
      <c r="Z311" s="197" t="str">
        <f>IF($Z$1=I311,"DIASOL", "DIANOSOL")</f>
        <v>DIANOSOL</v>
      </c>
      <c r="AA311" s="197" t="s">
        <v>240</v>
      </c>
      <c r="AB311" s="321"/>
      <c r="AC311" s="197" t="str">
        <f>IF(H311=$M$1,"SI","NO")</f>
        <v>NO</v>
      </c>
      <c r="AD311" s="197"/>
      <c r="AE311" s="197">
        <v>45161</v>
      </c>
      <c r="AF311" s="197"/>
      <c r="AG311" s="197" t="str">
        <f>IF(COUNTIF(C311,"*preso*")&gt;0,"SI","NO")</f>
        <v>NO</v>
      </c>
      <c r="AH311" s="311">
        <f>NroOrden(N311)</f>
        <v>99</v>
      </c>
      <c r="AI311" s="197"/>
      <c r="AJ311" s="48" t="str">
        <f ca="1">IF(OR(Y311="NO",Y311="LIMBO"),"IMP","NOIMP")</f>
        <v>IMP</v>
      </c>
    </row>
    <row r="312" spans="1:36" ht="39.950000000000003" hidden="1" customHeight="1">
      <c r="A312" s="202">
        <v>345</v>
      </c>
      <c r="B312" s="203" t="s">
        <v>2026</v>
      </c>
      <c r="C312" s="204" t="s">
        <v>1477</v>
      </c>
      <c r="D312" s="202" t="s">
        <v>2028</v>
      </c>
      <c r="E312" s="202" t="s">
        <v>2027</v>
      </c>
      <c r="F312" s="202">
        <v>45198</v>
      </c>
      <c r="G312" s="202"/>
      <c r="H312" s="200" t="s">
        <v>1648</v>
      </c>
      <c r="I312" s="201">
        <v>45246</v>
      </c>
      <c r="J312" s="201" t="s">
        <v>1672</v>
      </c>
      <c r="K312" s="200" t="s">
        <v>1839</v>
      </c>
      <c r="L312" s="200" t="s">
        <v>1663</v>
      </c>
      <c r="M312" s="201" t="s">
        <v>2173</v>
      </c>
      <c r="N312" s="202"/>
      <c r="O312" s="202"/>
      <c r="P312" s="202"/>
      <c r="Q312" s="202" t="s">
        <v>240</v>
      </c>
      <c r="R312" s="202"/>
      <c r="S312" s="202" t="s">
        <v>1693</v>
      </c>
      <c r="T312" s="202" t="s">
        <v>2068</v>
      </c>
      <c r="U312" s="202" t="s">
        <v>2069</v>
      </c>
      <c r="V312" s="202" t="s">
        <v>1286</v>
      </c>
      <c r="W312" s="202"/>
      <c r="X312" s="202"/>
      <c r="Y312" s="202" t="str">
        <f ca="1">IF(I312&lt;&gt;"",IF(I312&lt;=TODAY(),IF(OR(N312="REPROGRAMADA",N312="SUSPENDIDA",N312="EXCLUSION",N312="COLEGIADO"),"NO HECHA",IF(N312=" ","SINRESULTADO","SI")),"NO"),IF(N312="EXCLUSION","NO HECHA","LIMBO"))</f>
        <v>NO</v>
      </c>
      <c r="Z312" s="202" t="str">
        <f>IF($Z$1=I312,"DIASOL", "DIANOSOL")</f>
        <v>DIANOSOL</v>
      </c>
      <c r="AA312" s="202" t="s">
        <v>738</v>
      </c>
      <c r="AB312" s="202" t="s">
        <v>2030</v>
      </c>
      <c r="AC312" s="202" t="str">
        <f>IF(H312=$M$1,"SI","NO")</f>
        <v>NO</v>
      </c>
      <c r="AD312" s="202"/>
      <c r="AE312" s="202"/>
      <c r="AF312" s="202"/>
      <c r="AG312" s="202" t="str">
        <f>IF(COUNTIF(C312,"*preso*")&gt;0,"SI","NO")</f>
        <v>SI</v>
      </c>
      <c r="AH312" s="314">
        <f>NroOrden(N312)</f>
        <v>99</v>
      </c>
      <c r="AI312" s="202"/>
      <c r="AJ312" s="317" t="str">
        <f ca="1">IF(OR(Y312="NO",Y312="LIMBO"),"IMP","NOIMP")</f>
        <v>IMP</v>
      </c>
    </row>
    <row r="313" spans="1:36" ht="39.950000000000003" hidden="1" customHeight="1">
      <c r="A313" s="197">
        <v>270</v>
      </c>
      <c r="B313" s="198" t="s">
        <v>1786</v>
      </c>
      <c r="C313" s="199"/>
      <c r="D313" s="197" t="s">
        <v>1787</v>
      </c>
      <c r="E313" s="197" t="s">
        <v>573</v>
      </c>
      <c r="F313" s="321">
        <v>45188</v>
      </c>
      <c r="G313" s="197" t="s">
        <v>1753</v>
      </c>
      <c r="H313" s="200" t="s">
        <v>1646</v>
      </c>
      <c r="I313" s="201">
        <v>45246</v>
      </c>
      <c r="J313" s="201" t="s">
        <v>14</v>
      </c>
      <c r="K313" s="200" t="s">
        <v>1679</v>
      </c>
      <c r="L313" s="200" t="s">
        <v>1664</v>
      </c>
      <c r="M313" s="201" t="s">
        <v>332</v>
      </c>
      <c r="N313" s="197" t="s">
        <v>111</v>
      </c>
      <c r="O313" s="197"/>
      <c r="P313" s="197"/>
      <c r="Q313" s="197"/>
      <c r="R313" s="197"/>
      <c r="S313" s="197"/>
      <c r="T313" s="197"/>
      <c r="U313" s="197"/>
      <c r="V313" s="197" t="s">
        <v>1280</v>
      </c>
      <c r="W313" s="197" t="s">
        <v>169</v>
      </c>
      <c r="X313" s="197" t="s">
        <v>111</v>
      </c>
      <c r="Y313" s="197" t="str">
        <f ca="1">IF(I313&lt;&gt;"",IF(I313&lt;=TODAY(),IF(OR(N313="REPROGRAMADA",N313="SUSPENDIDA",N313="EXCLUSION",N313="COLEGIADO"),"NO HECHA",IF(N313=" ","SINRESULTADO","SI")),"NO"),IF(N313="EXCLUSION","NO HECHA","LIMBO"))</f>
        <v>NO</v>
      </c>
      <c r="Z313" s="197" t="str">
        <f>IF($Z$1=I313,"DIASOL", "DIANOSOL")</f>
        <v>DIANOSOL</v>
      </c>
      <c r="AA313" s="197" t="s">
        <v>240</v>
      </c>
      <c r="AB313" s="197" t="s">
        <v>1788</v>
      </c>
      <c r="AC313" s="197" t="str">
        <f>IF(H313=$M$1,"SI","NO")</f>
        <v>NO</v>
      </c>
      <c r="AD313" s="197"/>
      <c r="AE313" s="321">
        <v>45187</v>
      </c>
      <c r="AF313" s="197"/>
      <c r="AG313" s="197" t="str">
        <f>IF(COUNTIF(C313,"*preso*")&gt;0,"SI","NO")</f>
        <v>NO</v>
      </c>
      <c r="AH313" s="253">
        <f>NroOrden(N313)</f>
        <v>99</v>
      </c>
      <c r="AI313" s="197"/>
      <c r="AJ313" s="48" t="str">
        <f ca="1">IF(OR(Y313="NO",Y313="LIMBO"),"IMP","NOIMP")</f>
        <v>IMP</v>
      </c>
    </row>
    <row r="314" spans="1:36" ht="39.950000000000003" hidden="1" customHeight="1">
      <c r="A314" s="197">
        <v>368</v>
      </c>
      <c r="B314" s="198" t="s">
        <v>2261</v>
      </c>
      <c r="C314" s="199"/>
      <c r="D314" s="197" t="s">
        <v>2255</v>
      </c>
      <c r="E314" s="197" t="s">
        <v>2256</v>
      </c>
      <c r="F314" s="298">
        <v>45205</v>
      </c>
      <c r="G314" s="197" t="s">
        <v>2258</v>
      </c>
      <c r="H314" s="200" t="s">
        <v>1647</v>
      </c>
      <c r="I314" s="201">
        <v>45251</v>
      </c>
      <c r="J314" s="201" t="s">
        <v>1182</v>
      </c>
      <c r="K314" s="200" t="s">
        <v>1839</v>
      </c>
      <c r="L314" s="200" t="s">
        <v>1664</v>
      </c>
      <c r="M314" s="201" t="s">
        <v>1813</v>
      </c>
      <c r="N314" s="197"/>
      <c r="O314" s="197"/>
      <c r="P314" s="197"/>
      <c r="Q314" s="197" t="s">
        <v>240</v>
      </c>
      <c r="R314" s="197"/>
      <c r="S314" s="197"/>
      <c r="T314" s="197"/>
      <c r="U314" s="197"/>
      <c r="V314" s="197" t="s">
        <v>189</v>
      </c>
      <c r="W314" s="197" t="s">
        <v>119</v>
      </c>
      <c r="X314" s="197"/>
      <c r="Y314" s="197" t="str">
        <f ca="1">IF(I314&lt;&gt;"",IF(I314&lt;=TODAY(),IF(OR(N314="REPROGRAMADA",N314="SUSPENDIDA",N314="EXCLUSION",N314="COLEGIADO"),"NO HECHA",IF(N314=" ","SINRESULTADO","SI")),"NO"),IF(N314="EXCLUSION","NO HECHA","LIMBO"))</f>
        <v>NO</v>
      </c>
      <c r="Z314" s="197" t="str">
        <f>IF($Z$1=I314,"DIASOL", "DIANOSOL")</f>
        <v>DIANOSOL</v>
      </c>
      <c r="AA314" s="197"/>
      <c r="AB314" s="197" t="s">
        <v>2257</v>
      </c>
      <c r="AC314" s="197" t="str">
        <f>IF(H314=$M$1,"SI","NO")</f>
        <v>NO</v>
      </c>
      <c r="AD314" s="197"/>
      <c r="AE314" s="298">
        <v>45205</v>
      </c>
      <c r="AF314" s="197"/>
      <c r="AG314" s="197" t="str">
        <f>IF(COUNTIF(C314,"*preso*")&gt;0,"SI","NO")</f>
        <v>NO</v>
      </c>
      <c r="AH314" s="311">
        <f>NroOrden(N314)</f>
        <v>99</v>
      </c>
      <c r="AI314" s="197"/>
      <c r="AJ314" s="287" t="str">
        <f ca="1">IF(OR(Y314="NO",Y314="LIMBO"),"IMP","NOIMP")</f>
        <v>IMP</v>
      </c>
    </row>
    <row r="315" spans="1:36" ht="39.950000000000003" hidden="1" customHeight="1">
      <c r="A315" s="197">
        <v>294</v>
      </c>
      <c r="B315" s="198" t="s">
        <v>1894</v>
      </c>
      <c r="C315" s="199"/>
      <c r="D315" s="197" t="s">
        <v>1895</v>
      </c>
      <c r="E315" s="197" t="s">
        <v>1896</v>
      </c>
      <c r="F315" s="321">
        <v>45198</v>
      </c>
      <c r="G315" s="197"/>
      <c r="H315" s="200" t="s">
        <v>1642</v>
      </c>
      <c r="I315" s="201">
        <v>45251</v>
      </c>
      <c r="J315" s="201" t="s">
        <v>396</v>
      </c>
      <c r="K315" s="200" t="s">
        <v>1839</v>
      </c>
      <c r="L315" s="200" t="s">
        <v>1663</v>
      </c>
      <c r="M315" s="201" t="s">
        <v>1813</v>
      </c>
      <c r="N315" s="197" t="s">
        <v>111</v>
      </c>
      <c r="O315" s="197"/>
      <c r="P315" s="197"/>
      <c r="Q315" s="197"/>
      <c r="R315" s="197"/>
      <c r="S315" s="197"/>
      <c r="T315" s="197"/>
      <c r="U315" s="197"/>
      <c r="V315" s="197" t="s">
        <v>100</v>
      </c>
      <c r="W315" s="197" t="s">
        <v>111</v>
      </c>
      <c r="X315" s="197" t="s">
        <v>111</v>
      </c>
      <c r="Y315" s="197" t="str">
        <f ca="1">IF(I315&lt;&gt;"",IF(I315&lt;=TODAY(),IF(OR(N315="REPROGRAMADA",N315="SUSPENDIDA",N315="EXCLUSION",N315="COLEGIADO"),"NO HECHA",IF(N315=" ","SINRESULTADO","SI")),"NO"),IF(N315="EXCLUSION","NO HECHA","LIMBO"))</f>
        <v>NO</v>
      </c>
      <c r="Z315" s="197" t="str">
        <f>IF($Z$1=I315,"DIASOL", "DIANOSOL")</f>
        <v>DIANOSOL</v>
      </c>
      <c r="AA315" s="197" t="s">
        <v>240</v>
      </c>
      <c r="AB315" s="197"/>
      <c r="AC315" s="197" t="str">
        <f>IF(H315=$M$1,"SI","NO")</f>
        <v>NO</v>
      </c>
      <c r="AD315" s="197"/>
      <c r="AE315" s="321">
        <v>45198</v>
      </c>
      <c r="AF315" s="197"/>
      <c r="AG315" s="197" t="str">
        <f>IF(COUNTIF(C315,"*preso*")&gt;0,"SI","NO")</f>
        <v>NO</v>
      </c>
      <c r="AH315" s="253">
        <f>NroOrden(N315)</f>
        <v>99</v>
      </c>
      <c r="AI315" s="197"/>
      <c r="AJ315" s="48" t="str">
        <f ca="1">IF(OR(Y315="NO",Y315="LIMBO"),"IMP","NOIMP")</f>
        <v>IMP</v>
      </c>
    </row>
    <row r="316" spans="1:36" ht="86.25" hidden="1" customHeight="1">
      <c r="A316" s="197">
        <v>318</v>
      </c>
      <c r="B316" s="198" t="s">
        <v>1991</v>
      </c>
      <c r="C316" s="199"/>
      <c r="D316" s="197" t="s">
        <v>1992</v>
      </c>
      <c r="E316" s="197" t="s">
        <v>1997</v>
      </c>
      <c r="F316" s="321">
        <v>45202</v>
      </c>
      <c r="G316" s="197" t="s">
        <v>1848</v>
      </c>
      <c r="H316" s="200" t="s">
        <v>1645</v>
      </c>
      <c r="I316" s="201">
        <v>45251</v>
      </c>
      <c r="J316" s="201" t="s">
        <v>396</v>
      </c>
      <c r="K316" s="200" t="s">
        <v>2149</v>
      </c>
      <c r="L316" s="200" t="s">
        <v>1664</v>
      </c>
      <c r="M316" s="201" t="s">
        <v>1818</v>
      </c>
      <c r="N316" s="197" t="s">
        <v>111</v>
      </c>
      <c r="O316" s="197"/>
      <c r="P316" s="197"/>
      <c r="Q316" s="197"/>
      <c r="R316" s="197"/>
      <c r="S316" s="197"/>
      <c r="T316" s="197"/>
      <c r="U316" s="197"/>
      <c r="V316" s="197" t="s">
        <v>914</v>
      </c>
      <c r="W316" s="197" t="s">
        <v>111</v>
      </c>
      <c r="X316" s="197" t="s">
        <v>111</v>
      </c>
      <c r="Y316" s="197" t="str">
        <f ca="1">IF(I316&lt;&gt;"",IF(I316&lt;=TODAY(),IF(OR(N316="REPROGRAMADA",N316="SUSPENDIDA",N316="EXCLUSION",N316="COLEGIADO"),"NO HECHA",IF(N316=" ","SINRESULTADO","SI")),"NO"),IF(N316="EXCLUSION","NO HECHA","LIMBO"))</f>
        <v>NO</v>
      </c>
      <c r="Z316" s="197" t="str">
        <f>IF($Z$1=I316,"DIASOL", "DIANOSOL")</f>
        <v>DIANOSOL</v>
      </c>
      <c r="AA316" s="197" t="s">
        <v>240</v>
      </c>
      <c r="AB316" s="197" t="s">
        <v>1998</v>
      </c>
      <c r="AC316" s="197" t="str">
        <f>IF(H316=$M$1,"SI","NO")</f>
        <v>NO</v>
      </c>
      <c r="AD316" s="197"/>
      <c r="AE316" s="321">
        <v>45202</v>
      </c>
      <c r="AF316" s="197"/>
      <c r="AG316" s="197" t="str">
        <f>IF(COUNTIF(C316,"*preso*")&gt;0,"SI","NO")</f>
        <v>NO</v>
      </c>
      <c r="AH316" s="253">
        <f>NroOrden(N316)</f>
        <v>99</v>
      </c>
      <c r="AI316" s="197"/>
      <c r="AJ316" s="48" t="str">
        <f ca="1">IF(OR(Y316="NO",Y316="LIMBO"),"IMP","NOIMP")</f>
        <v>IMP</v>
      </c>
    </row>
    <row r="317" spans="1:36" ht="108" hidden="1" customHeight="1">
      <c r="A317" s="197">
        <v>235</v>
      </c>
      <c r="B317" s="198" t="s">
        <v>1619</v>
      </c>
      <c r="C317" s="199"/>
      <c r="D317" s="197" t="s">
        <v>1620</v>
      </c>
      <c r="E317" s="197" t="s">
        <v>1621</v>
      </c>
      <c r="F317" s="321">
        <v>45174</v>
      </c>
      <c r="G317" s="197" t="s">
        <v>1622</v>
      </c>
      <c r="H317" s="200" t="s">
        <v>1645</v>
      </c>
      <c r="I317" s="201">
        <v>45252</v>
      </c>
      <c r="J317" s="201" t="s">
        <v>282</v>
      </c>
      <c r="K317" s="200" t="s">
        <v>362</v>
      </c>
      <c r="L317" s="174" t="s">
        <v>1663</v>
      </c>
      <c r="M317" s="201" t="s">
        <v>330</v>
      </c>
      <c r="N317" s="197" t="s">
        <v>111</v>
      </c>
      <c r="O317" s="197"/>
      <c r="P317" s="197"/>
      <c r="Q317" s="197" t="s">
        <v>111</v>
      </c>
      <c r="R317" s="197"/>
      <c r="S317" s="197"/>
      <c r="T317" s="197"/>
      <c r="U317" s="197"/>
      <c r="V317" s="197" t="s">
        <v>100</v>
      </c>
      <c r="W317" s="197" t="s">
        <v>133</v>
      </c>
      <c r="X317" s="197" t="s">
        <v>111</v>
      </c>
      <c r="Y317" s="197" t="str">
        <f ca="1">IF(I317&lt;&gt;"",IF(I317&lt;=TODAY(),IF(OR(N317="REPROGRAMADA",N317="SUSPENDIDA",N317="EXCLUSION",N317="COLEGIADO"),"NO HECHA",IF(N317=" ","SINRESULTADO","SI")),"NO"),IF(N317="EXCLUSION","NO HECHA","LIMBO"))</f>
        <v>NO</v>
      </c>
      <c r="Z317" s="197" t="str">
        <f>IF($Z$1=I317,"DIASOL", "DIANOSOL")</f>
        <v>DIANOSOL</v>
      </c>
      <c r="AA317" s="197" t="s">
        <v>240</v>
      </c>
      <c r="AB317" s="197"/>
      <c r="AC317" s="197" t="str">
        <f>IF(H317=$M$1,"SI","NO")</f>
        <v>NO</v>
      </c>
      <c r="AD317" s="197"/>
      <c r="AE317" s="321">
        <v>45170</v>
      </c>
      <c r="AF317" s="197"/>
      <c r="AG317" s="197" t="str">
        <f>IF(COUNTIF(C317,"*preso*")&gt;0,"SI","NO")</f>
        <v>NO</v>
      </c>
      <c r="AH317" s="253">
        <f>NroOrden(N317)</f>
        <v>99</v>
      </c>
      <c r="AI317" s="197"/>
      <c r="AJ317" s="48" t="str">
        <f ca="1">IF(OR(Y317="NO",Y317="LIMBO"),"IMP","NOIMP")</f>
        <v>IMP</v>
      </c>
    </row>
    <row r="318" spans="1:36" ht="39.950000000000003" hidden="1" customHeight="1">
      <c r="A318" s="202">
        <v>353</v>
      </c>
      <c r="B318" s="203" t="s">
        <v>2188</v>
      </c>
      <c r="C318" s="204" t="s">
        <v>501</v>
      </c>
      <c r="D318" s="202" t="s">
        <v>2189</v>
      </c>
      <c r="E318" s="202" t="s">
        <v>1382</v>
      </c>
      <c r="F318" s="224">
        <v>45217</v>
      </c>
      <c r="G318" s="202"/>
      <c r="H318" s="200" t="s">
        <v>1647</v>
      </c>
      <c r="I318" s="201">
        <v>45252</v>
      </c>
      <c r="J318" s="201" t="s">
        <v>396</v>
      </c>
      <c r="K318" s="200" t="s">
        <v>1839</v>
      </c>
      <c r="L318" s="200" t="s">
        <v>1664</v>
      </c>
      <c r="M318" s="201" t="s">
        <v>2173</v>
      </c>
      <c r="N318" s="202"/>
      <c r="O318" s="202"/>
      <c r="P318" s="202"/>
      <c r="Q318" s="202" t="s">
        <v>240</v>
      </c>
      <c r="R318" s="202"/>
      <c r="S318" s="202" t="s">
        <v>1958</v>
      </c>
      <c r="T318" s="202" t="s">
        <v>2191</v>
      </c>
      <c r="U318" s="202" t="s">
        <v>2192</v>
      </c>
      <c r="V318" s="202" t="s">
        <v>189</v>
      </c>
      <c r="W318" s="202" t="s">
        <v>133</v>
      </c>
      <c r="X318" s="202"/>
      <c r="Y318" s="202" t="str">
        <f ca="1">IF(I318&lt;&gt;"",IF(I318&lt;=TODAY(),IF(OR(N318="REPROGRAMADA",N318="SUSPENDIDA",N318="EXCLUSION",N318="COLEGIADO"),"NO HECHA",IF(N318=" ","SINRESULTADO","SI")),"NO"),IF(N318="EXCLUSION","NO HECHA","LIMBO"))</f>
        <v>NO</v>
      </c>
      <c r="Z318" s="202" t="str">
        <f>IF($Z$1=I318,"DIASOL", "DIANOSOL")</f>
        <v>DIANOSOL</v>
      </c>
      <c r="AA318" s="202"/>
      <c r="AB318" s="202" t="s">
        <v>2190</v>
      </c>
      <c r="AC318" s="202" t="str">
        <f>IF(H318=$M$1,"SI","NO")</f>
        <v>NO</v>
      </c>
      <c r="AD318" s="202"/>
      <c r="AE318" s="224">
        <v>45217</v>
      </c>
      <c r="AF318" s="202"/>
      <c r="AG318" s="202" t="str">
        <f>IF(COUNTIF(C318,"*preso*")&gt;0,"SI","NO")</f>
        <v>SI</v>
      </c>
      <c r="AH318" s="314">
        <f>NroOrden(N318)</f>
        <v>99</v>
      </c>
      <c r="AI318" s="202"/>
      <c r="AJ318" s="290" t="str">
        <f ca="1">IF(OR(Y318="NO",Y318="LIMBO"),"IMP","NOIMP")</f>
        <v>IMP</v>
      </c>
    </row>
    <row r="319" spans="1:36" ht="39.950000000000003" hidden="1" customHeight="1">
      <c r="A319" s="197">
        <v>313</v>
      </c>
      <c r="B319" s="198" t="s">
        <v>1975</v>
      </c>
      <c r="C319" s="199"/>
      <c r="D319" s="197" t="s">
        <v>1976</v>
      </c>
      <c r="E319" s="197" t="s">
        <v>1977</v>
      </c>
      <c r="F319" s="321">
        <v>45202</v>
      </c>
      <c r="G319" s="197" t="s">
        <v>1848</v>
      </c>
      <c r="H319" s="200" t="s">
        <v>1648</v>
      </c>
      <c r="I319" s="201">
        <v>45252</v>
      </c>
      <c r="J319" s="201" t="s">
        <v>14</v>
      </c>
      <c r="K319" s="200" t="s">
        <v>1839</v>
      </c>
      <c r="L319" s="200" t="s">
        <v>1664</v>
      </c>
      <c r="M319" s="201" t="s">
        <v>2173</v>
      </c>
      <c r="N319" s="197" t="s">
        <v>111</v>
      </c>
      <c r="O319" s="197"/>
      <c r="P319" s="197"/>
      <c r="Q319" s="197"/>
      <c r="R319" s="197"/>
      <c r="S319" s="197"/>
      <c r="T319" s="197"/>
      <c r="U319" s="197"/>
      <c r="V319" s="197" t="s">
        <v>1128</v>
      </c>
      <c r="W319" s="197" t="s">
        <v>111</v>
      </c>
      <c r="X319" s="197" t="s">
        <v>111</v>
      </c>
      <c r="Y319" s="197" t="str">
        <f ca="1">IF(I319&lt;&gt;"",IF(I319&lt;=TODAY(),IF(OR(N319="REPROGRAMADA",N319="SUSPENDIDA",N319="EXCLUSION",N319="COLEGIADO"),"NO HECHA",IF(N319=" ","SINRESULTADO","SI")),"NO"),IF(N319="EXCLUSION","NO HECHA","LIMBO"))</f>
        <v>NO</v>
      </c>
      <c r="Z319" s="197" t="str">
        <f>IF($Z$1=I319,"DIASOL", "DIANOSOL")</f>
        <v>DIANOSOL</v>
      </c>
      <c r="AA319" s="197" t="s">
        <v>240</v>
      </c>
      <c r="AB319" s="197" t="s">
        <v>1978</v>
      </c>
      <c r="AC319" s="197" t="str">
        <f>IF(H319=$M$1,"SI","NO")</f>
        <v>NO</v>
      </c>
      <c r="AD319" s="197"/>
      <c r="AE319" s="321">
        <v>45202</v>
      </c>
      <c r="AF319" s="197"/>
      <c r="AG319" s="197" t="str">
        <f>IF(COUNTIF(C319,"*preso*")&gt;0,"SI","NO")</f>
        <v>NO</v>
      </c>
      <c r="AH319" s="253">
        <f>NroOrden(N319)</f>
        <v>99</v>
      </c>
      <c r="AI319" s="197"/>
      <c r="AJ319" s="48" t="str">
        <f ca="1">IF(OR(Y319="NO",Y319="LIMBO"),"IMP","NOIMP")</f>
        <v>IMP</v>
      </c>
    </row>
    <row r="320" spans="1:36" ht="38.25" hidden="1">
      <c r="A320" s="202">
        <v>327</v>
      </c>
      <c r="B320" s="203" t="s">
        <v>2055</v>
      </c>
      <c r="C320" s="204" t="s">
        <v>501</v>
      </c>
      <c r="D320" s="202" t="s">
        <v>2056</v>
      </c>
      <c r="E320" s="202" t="s">
        <v>2057</v>
      </c>
      <c r="F320" s="224">
        <v>45205</v>
      </c>
      <c r="G320" s="202"/>
      <c r="H320" s="200" t="s">
        <v>1642</v>
      </c>
      <c r="I320" s="201">
        <v>45252</v>
      </c>
      <c r="J320" s="201" t="s">
        <v>14</v>
      </c>
      <c r="K320" s="200" t="s">
        <v>1667</v>
      </c>
      <c r="L320" s="200" t="s">
        <v>1663</v>
      </c>
      <c r="M320" s="201" t="s">
        <v>1816</v>
      </c>
      <c r="N320" s="202" t="s">
        <v>111</v>
      </c>
      <c r="O320" s="202" t="s">
        <v>111</v>
      </c>
      <c r="P320" s="202"/>
      <c r="Q320" s="202" t="s">
        <v>240</v>
      </c>
      <c r="R320" s="202"/>
      <c r="S320" s="202" t="s">
        <v>1958</v>
      </c>
      <c r="T320" s="202" t="s">
        <v>2058</v>
      </c>
      <c r="U320" s="202" t="s">
        <v>2090</v>
      </c>
      <c r="V320" s="202" t="s">
        <v>186</v>
      </c>
      <c r="W320" s="202" t="s">
        <v>111</v>
      </c>
      <c r="X320" s="202" t="s">
        <v>111</v>
      </c>
      <c r="Y320" s="202" t="str">
        <f ca="1">IF(I320&lt;&gt;"",IF(I320&lt;=TODAY(),IF(OR(N320="REPROGRAMADA",N320="SUSPENDIDA",N320="EXCLUSION",N320="COLEGIADO"),"NO HECHA",IF(N320=" ","SINRESULTADO","SI")),"NO"),IF(N320="EXCLUSION","NO HECHA","LIMBO"))</f>
        <v>NO</v>
      </c>
      <c r="Z320" s="202" t="str">
        <f>IF($Z$1=I320,"DIASOL", "DIANOSOL")</f>
        <v>DIANOSOL</v>
      </c>
      <c r="AA320" s="202" t="s">
        <v>681</v>
      </c>
      <c r="AB320" s="202" t="s">
        <v>2059</v>
      </c>
      <c r="AC320" s="202" t="str">
        <f>IF(H320=$M$1,"SI","NO")</f>
        <v>NO</v>
      </c>
      <c r="AD320" s="202"/>
      <c r="AE320" s="224">
        <v>45205</v>
      </c>
      <c r="AF320" s="224"/>
      <c r="AG320" s="202" t="str">
        <f>IF(COUNTIF(C320,"*preso*")&gt;0,"SI","NO")</f>
        <v>SI</v>
      </c>
      <c r="AH320" s="257">
        <f>NroOrden(N320)</f>
        <v>99</v>
      </c>
      <c r="AI320" s="202"/>
      <c r="AJ320" s="48" t="str">
        <f ca="1">IF(OR(Y320="NO",Y320="LIMBO"),"IMP","NOIMP")</f>
        <v>IMP</v>
      </c>
    </row>
    <row r="321" spans="1:36" ht="76.5">
      <c r="A321" s="197">
        <v>400</v>
      </c>
      <c r="B321" s="198" t="s">
        <v>1834</v>
      </c>
      <c r="C321" s="199"/>
      <c r="D321" s="197" t="s">
        <v>1836</v>
      </c>
      <c r="E321" s="197" t="s">
        <v>1837</v>
      </c>
      <c r="F321" s="197">
        <v>45176</v>
      </c>
      <c r="G321" s="197" t="s">
        <v>1828</v>
      </c>
      <c r="H321" s="200" t="s">
        <v>1643</v>
      </c>
      <c r="I321" s="201">
        <v>45253</v>
      </c>
      <c r="J321" s="201" t="s">
        <v>282</v>
      </c>
      <c r="K321" s="200" t="s">
        <v>365</v>
      </c>
      <c r="L321" s="200" t="s">
        <v>1664</v>
      </c>
      <c r="M321" s="201" t="s">
        <v>330</v>
      </c>
      <c r="N321" s="197"/>
      <c r="O321" s="197"/>
      <c r="P321" s="197"/>
      <c r="Q321" s="197" t="s">
        <v>240</v>
      </c>
      <c r="R321" s="197"/>
      <c r="S321" s="197"/>
      <c r="T321" s="197"/>
      <c r="U321" s="197"/>
      <c r="V321" s="197" t="s">
        <v>191</v>
      </c>
      <c r="W321" s="197" t="s">
        <v>111</v>
      </c>
      <c r="X321" s="197" t="s">
        <v>111</v>
      </c>
      <c r="Y321" s="197" t="str">
        <f ca="1">IF(I321&lt;&gt;"",IF(I321&lt;=TODAY(),IF(OR(N321="REPROGRAMADA",N321="SUSPENDIDA",N321="EXCLUSION",N321="COLEGIADO"),"NO HECHA",IF(N321=" ","SINRESULTADO","SI")),"NO"),IF(N321="EXCLUSION","NO HECHA","LIMBO"))</f>
        <v>NO</v>
      </c>
      <c r="Z321" s="197" t="str">
        <f>IF($Z$1=I321,"DIASOL", "DIANOSOL")</f>
        <v>DIANOSOL</v>
      </c>
      <c r="AA321" s="197" t="s">
        <v>240</v>
      </c>
      <c r="AB321" s="336"/>
      <c r="AC321" s="197" t="str">
        <f>IF(H321=$M$1,"SI","NO")</f>
        <v>NO</v>
      </c>
      <c r="AD321" s="197"/>
      <c r="AE321" s="197">
        <v>45176</v>
      </c>
      <c r="AF321" s="197"/>
      <c r="AG321" s="197" t="str">
        <f>IF(COUNTIF(C321,"*preso*")&gt;0,"SI","NO")</f>
        <v>NO</v>
      </c>
      <c r="AH321" s="311">
        <f>NroOrden(N321)</f>
        <v>99</v>
      </c>
      <c r="AI321" s="197"/>
      <c r="AJ321" s="287" t="str">
        <f ca="1">IF(OR(Y321="NO",Y321="LIMBO"),"IMP","NOIMP")</f>
        <v>IMP</v>
      </c>
    </row>
    <row r="322" spans="1:36" ht="39.950000000000003" hidden="1" customHeight="1">
      <c r="A322" s="197">
        <v>360</v>
      </c>
      <c r="B322" s="198" t="s">
        <v>1884</v>
      </c>
      <c r="C322" s="199"/>
      <c r="D322" s="197" t="s">
        <v>1776</v>
      </c>
      <c r="E322" s="197" t="s">
        <v>1777</v>
      </c>
      <c r="F322" s="197">
        <v>45189</v>
      </c>
      <c r="G322" s="197"/>
      <c r="H322" s="200" t="s">
        <v>1647</v>
      </c>
      <c r="I322" s="201">
        <v>45253</v>
      </c>
      <c r="J322" s="201" t="s">
        <v>396</v>
      </c>
      <c r="K322" s="200" t="s">
        <v>362</v>
      </c>
      <c r="L322" s="200" t="s">
        <v>1664</v>
      </c>
      <c r="M322" s="201" t="s">
        <v>330</v>
      </c>
      <c r="N322" s="197"/>
      <c r="O322" s="197"/>
      <c r="P322" s="197"/>
      <c r="Q322" s="197" t="s">
        <v>240</v>
      </c>
      <c r="R322" s="197"/>
      <c r="S322" s="197"/>
      <c r="T322" s="197"/>
      <c r="U322" s="197"/>
      <c r="V322" s="197" t="s">
        <v>345</v>
      </c>
      <c r="W322" s="197" t="s">
        <v>132</v>
      </c>
      <c r="X322" s="197" t="s">
        <v>111</v>
      </c>
      <c r="Y322" s="197" t="str">
        <f ca="1">IF(I322&lt;&gt;"",IF(I322&lt;=TODAY(),IF(OR(N322="REPROGRAMADA",N322="SUSPENDIDA",N322="EXCLUSION",N322="COLEGIADO"),"NO HECHA",IF(N322=" ","SINRESULTADO","SI")),"NO"),IF(N322="EXCLUSION","NO HECHA","LIMBO"))</f>
        <v>NO</v>
      </c>
      <c r="Z322" s="197" t="str">
        <f>IF($Z$1=I322,"DIASOL", "DIANOSOL")</f>
        <v>DIANOSOL</v>
      </c>
      <c r="AA322" s="197" t="s">
        <v>240</v>
      </c>
      <c r="AB322" s="321"/>
      <c r="AC322" s="197" t="str">
        <f>IF(H322=$M$1,"SI","NO")</f>
        <v>NO</v>
      </c>
      <c r="AD322" s="197"/>
      <c r="AE322" s="197">
        <v>45177</v>
      </c>
      <c r="AF322" s="197"/>
      <c r="AG322" s="197" t="str">
        <f>IF(COUNTIF(C322,"*preso*")&gt;0,"SI","NO")</f>
        <v>NO</v>
      </c>
      <c r="AH322" s="311">
        <f>NroOrden(N322)</f>
        <v>99</v>
      </c>
      <c r="AI322" s="197"/>
      <c r="AJ322" s="287" t="str">
        <f ca="1">IF(OR(Y322="NO",Y322="LIMBO"),"IMP","NOIMP")</f>
        <v>IMP</v>
      </c>
    </row>
    <row r="323" spans="1:36" ht="39.950000000000003" hidden="1" customHeight="1">
      <c r="A323" s="197">
        <v>349</v>
      </c>
      <c r="B323" s="198" t="s">
        <v>2163</v>
      </c>
      <c r="C323" s="199"/>
      <c r="D323" s="197" t="s">
        <v>2164</v>
      </c>
      <c r="E323" s="197" t="s">
        <v>2167</v>
      </c>
      <c r="F323" s="321">
        <v>45210</v>
      </c>
      <c r="G323" s="197" t="s">
        <v>2169</v>
      </c>
      <c r="H323" s="200" t="s">
        <v>1645</v>
      </c>
      <c r="I323" s="201">
        <v>45258</v>
      </c>
      <c r="J323" s="201" t="s">
        <v>282</v>
      </c>
      <c r="K323" s="200" t="s">
        <v>364</v>
      </c>
      <c r="L323" s="200" t="s">
        <v>1663</v>
      </c>
      <c r="M323" s="201" t="s">
        <v>1761</v>
      </c>
      <c r="N323" s="197"/>
      <c r="O323" s="197"/>
      <c r="P323" s="197"/>
      <c r="Q323" s="197" t="s">
        <v>240</v>
      </c>
      <c r="R323" s="197"/>
      <c r="S323" s="197"/>
      <c r="T323" s="197"/>
      <c r="U323" s="197"/>
      <c r="V323" s="197" t="s">
        <v>189</v>
      </c>
      <c r="W323" s="197"/>
      <c r="X323" s="197"/>
      <c r="Y323" s="197" t="str">
        <f ca="1">IF(I323&lt;&gt;"",IF(I323&lt;=TODAY(),IF(OR(N323="REPROGRAMADA",N323="SUSPENDIDA",N323="EXCLUSION",N323="COLEGIADO"),"NO HECHA",IF(N323=" ","SINRESULTADO","SI")),"NO"),IF(N323="EXCLUSION","NO HECHA","LIMBO"))</f>
        <v>NO</v>
      </c>
      <c r="Z323" s="197" t="str">
        <f>IF($Z$1=I323,"DIASOL", "DIANOSOL")</f>
        <v>DIANOSOL</v>
      </c>
      <c r="AA323" s="197"/>
      <c r="AB323" s="197" t="s">
        <v>2168</v>
      </c>
      <c r="AC323" s="197" t="str">
        <f>IF(H323=$M$1,"SI","NO")</f>
        <v>NO</v>
      </c>
      <c r="AD323" s="197"/>
      <c r="AE323" s="321">
        <v>45210</v>
      </c>
      <c r="AF323" s="197"/>
      <c r="AG323" s="197" t="str">
        <f>IF(COUNTIF(C323,"*preso*")&gt;0,"SI","NO")</f>
        <v>NO</v>
      </c>
      <c r="AH323" s="311">
        <f>NroOrden(N323)</f>
        <v>99</v>
      </c>
      <c r="AI323" s="197"/>
      <c r="AJ323" s="48" t="str">
        <f ca="1">IF(OR(Y323="NO",Y323="LIMBO"),"IMP","NOIMP")</f>
        <v>IMP</v>
      </c>
    </row>
    <row r="324" spans="1:36" ht="39.950000000000003" hidden="1" customHeight="1">
      <c r="A324" s="197">
        <v>392</v>
      </c>
      <c r="B324" s="198" t="s">
        <v>1702</v>
      </c>
      <c r="C324" s="199"/>
      <c r="D324" s="197" t="s">
        <v>1704</v>
      </c>
      <c r="E324" s="197" t="s">
        <v>1703</v>
      </c>
      <c r="F324" s="197">
        <v>45176</v>
      </c>
      <c r="G324" s="197"/>
      <c r="H324" s="200" t="s">
        <v>1646</v>
      </c>
      <c r="I324" s="201">
        <v>45258</v>
      </c>
      <c r="J324" s="201" t="s">
        <v>961</v>
      </c>
      <c r="K324" s="200" t="s">
        <v>1679</v>
      </c>
      <c r="L324" s="200" t="s">
        <v>1664</v>
      </c>
      <c r="M324" s="201" t="s">
        <v>331</v>
      </c>
      <c r="N324" s="197"/>
      <c r="O324" s="197"/>
      <c r="P324" s="197"/>
      <c r="Q324" s="197" t="s">
        <v>240</v>
      </c>
      <c r="R324" s="197"/>
      <c r="S324" s="197"/>
      <c r="T324" s="197"/>
      <c r="U324" s="197"/>
      <c r="V324" s="197" t="s">
        <v>337</v>
      </c>
      <c r="W324" s="197" t="s">
        <v>111</v>
      </c>
      <c r="X324" s="197" t="s">
        <v>111</v>
      </c>
      <c r="Y324" s="197" t="str">
        <f ca="1">IF(I324&lt;&gt;"",IF(I324&lt;=TODAY(),IF(OR(N324="REPROGRAMADA",N324="SUSPENDIDA",N324="EXCLUSION",N324="COLEGIADO"),"NO HECHA",IF(N324=" ","SINRESULTADO","SI")),"NO"),IF(N324="EXCLUSION","NO HECHA","LIMBO"))</f>
        <v>NO</v>
      </c>
      <c r="Z324" s="197" t="str">
        <f>IF($Z$1=I324,"DIASOL", "DIANOSOL")</f>
        <v>DIANOSOL</v>
      </c>
      <c r="AA324" s="197" t="s">
        <v>240</v>
      </c>
      <c r="AB324" s="335"/>
      <c r="AC324" s="197" t="str">
        <f>IF(H324=$M$1,"SI","NO")</f>
        <v>NO</v>
      </c>
      <c r="AD324" s="197"/>
      <c r="AE324" s="197">
        <v>45167</v>
      </c>
      <c r="AF324" s="197"/>
      <c r="AG324" s="197" t="str">
        <f>IF(COUNTIF(C324,"*preso*")&gt;0,"SI","NO")</f>
        <v>NO</v>
      </c>
      <c r="AH324" s="311">
        <f>NroOrden(N324)</f>
        <v>99</v>
      </c>
      <c r="AI324" s="197"/>
      <c r="AJ324" s="287" t="str">
        <f ca="1">IF(OR(Y324="NO",Y324="LIMBO"),"IMP","NOIMP")</f>
        <v>IMP</v>
      </c>
    </row>
    <row r="325" spans="1:36" ht="39.950000000000003" hidden="1" customHeight="1">
      <c r="A325" s="202">
        <v>342</v>
      </c>
      <c r="B325" s="203" t="s">
        <v>2125</v>
      </c>
      <c r="C325" s="204" t="s">
        <v>1477</v>
      </c>
      <c r="D325" s="202" t="s">
        <v>2127</v>
      </c>
      <c r="E325" s="202" t="s">
        <v>2126</v>
      </c>
      <c r="F325" s="224">
        <v>45210</v>
      </c>
      <c r="G325" s="202" t="s">
        <v>2266</v>
      </c>
      <c r="H325" s="200" t="s">
        <v>1648</v>
      </c>
      <c r="I325" s="201">
        <v>45258</v>
      </c>
      <c r="J325" s="201" t="s">
        <v>14</v>
      </c>
      <c r="K325" s="200" t="s">
        <v>1950</v>
      </c>
      <c r="L325" s="200" t="s">
        <v>1664</v>
      </c>
      <c r="M325" s="201" t="s">
        <v>2173</v>
      </c>
      <c r="N325" s="202"/>
      <c r="O325" s="202"/>
      <c r="P325" s="202"/>
      <c r="Q325" s="202" t="s">
        <v>240</v>
      </c>
      <c r="R325" s="202"/>
      <c r="S325" s="202" t="s">
        <v>1958</v>
      </c>
      <c r="T325" s="202" t="s">
        <v>2128</v>
      </c>
      <c r="U325" s="202" t="s">
        <v>2131</v>
      </c>
      <c r="V325" s="202" t="s">
        <v>344</v>
      </c>
      <c r="W325" s="202" t="s">
        <v>2130</v>
      </c>
      <c r="X325" s="202"/>
      <c r="Y325" s="202" t="str">
        <f ca="1">IF(I325&lt;&gt;"",IF(I325&lt;=TODAY(),IF(OR(N325="REPROGRAMADA",N325="SUSPENDIDA",N325="EXCLUSION",N325="COLEGIADO"),"NO HECHA",IF(N325=" ","SINRESULTADO","SI")),"NO"),IF(N325="EXCLUSION","NO HECHA","LIMBO"))</f>
        <v>NO</v>
      </c>
      <c r="Z325" s="202" t="str">
        <f>IF($Z$1=I325,"DIASOL", "DIANOSOL")</f>
        <v>DIANOSOL</v>
      </c>
      <c r="AA325" s="202"/>
      <c r="AB325" s="202" t="s">
        <v>2129</v>
      </c>
      <c r="AC325" s="202" t="str">
        <f>IF(H325=$M$1,"SI","NO")</f>
        <v>NO</v>
      </c>
      <c r="AD325" s="202"/>
      <c r="AE325" s="224">
        <v>45210</v>
      </c>
      <c r="AF325" s="202"/>
      <c r="AG325" s="202" t="str">
        <f>IF(COUNTIF(C325,"*preso*")&gt;0,"SI","NO")</f>
        <v>SI</v>
      </c>
      <c r="AH325" s="314">
        <f>NroOrden(N325)</f>
        <v>99</v>
      </c>
      <c r="AI325" s="202"/>
      <c r="AJ325" s="48" t="str">
        <f ca="1">IF(OR(Y325="NO",Y325="LIMBO"),"IMP","NOIMP")</f>
        <v>IMP</v>
      </c>
    </row>
    <row r="326" spans="1:36" ht="39.950000000000003" hidden="1" customHeight="1">
      <c r="A326" s="197">
        <v>348</v>
      </c>
      <c r="B326" s="198" t="s">
        <v>2158</v>
      </c>
      <c r="C326" s="199"/>
      <c r="D326" s="197" t="s">
        <v>2159</v>
      </c>
      <c r="E326" s="197" t="s">
        <v>2160</v>
      </c>
      <c r="F326" s="321">
        <v>45216</v>
      </c>
      <c r="G326" s="197" t="s">
        <v>2265</v>
      </c>
      <c r="H326" s="200" t="s">
        <v>1643</v>
      </c>
      <c r="I326" s="201">
        <v>45259</v>
      </c>
      <c r="J326" s="201" t="s">
        <v>961</v>
      </c>
      <c r="K326" s="200" t="s">
        <v>1679</v>
      </c>
      <c r="L326" s="200" t="s">
        <v>1663</v>
      </c>
      <c r="M326" s="201" t="s">
        <v>331</v>
      </c>
      <c r="N326" s="197"/>
      <c r="O326" s="197"/>
      <c r="P326" s="197"/>
      <c r="Q326" s="197" t="s">
        <v>240</v>
      </c>
      <c r="R326" s="197"/>
      <c r="S326" s="197"/>
      <c r="T326" s="197"/>
      <c r="U326" s="197"/>
      <c r="V326" s="197" t="s">
        <v>191</v>
      </c>
      <c r="W326" s="197" t="s">
        <v>269</v>
      </c>
      <c r="X326" s="197" t="s">
        <v>2161</v>
      </c>
      <c r="Y326" s="197" t="str">
        <f ca="1">IF(I326&lt;&gt;"",IF(I326&lt;=TODAY(),IF(OR(N326="REPROGRAMADA",N326="SUSPENDIDA",N326="EXCLUSION",N326="COLEGIADO"),"NO HECHA",IF(N326=" ","SINRESULTADO","SI")),"NO"),IF(N326="EXCLUSION","NO HECHA","LIMBO"))</f>
        <v>NO</v>
      </c>
      <c r="Z326" s="197" t="str">
        <f>IF($Z$1=I326,"DIASOL", "DIANOSOL")</f>
        <v>DIANOSOL</v>
      </c>
      <c r="AA326" s="197"/>
      <c r="AB326" s="197" t="s">
        <v>2162</v>
      </c>
      <c r="AC326" s="197" t="str">
        <f>IF(H326=$M$1,"SI","NO")</f>
        <v>NO</v>
      </c>
      <c r="AD326" s="197"/>
      <c r="AE326" s="321">
        <v>45216</v>
      </c>
      <c r="AF326" s="197"/>
      <c r="AG326" s="197" t="str">
        <f>IF(COUNTIF(C326,"*preso*")&gt;0,"SI","NO")</f>
        <v>NO</v>
      </c>
      <c r="AH326" s="311">
        <f>NroOrden(N326)</f>
        <v>99</v>
      </c>
      <c r="AI326" s="197"/>
      <c r="AJ326" s="48" t="str">
        <f ca="1">IF(OR(Y326="NO",Y326="LIMBO"),"IMP","NOIMP")</f>
        <v>IMP</v>
      </c>
    </row>
    <row r="327" spans="1:36" ht="39.950000000000003" hidden="1" customHeight="1">
      <c r="A327" s="197">
        <v>329</v>
      </c>
      <c r="B327" s="198" t="s">
        <v>2064</v>
      </c>
      <c r="C327" s="199"/>
      <c r="D327" s="197" t="s">
        <v>2066</v>
      </c>
      <c r="E327" s="197" t="s">
        <v>2065</v>
      </c>
      <c r="F327" s="321">
        <v>45205</v>
      </c>
      <c r="G327" s="197" t="s">
        <v>2264</v>
      </c>
      <c r="H327" s="200" t="s">
        <v>1649</v>
      </c>
      <c r="I327" s="201">
        <v>45260</v>
      </c>
      <c r="J327" s="201" t="s">
        <v>282</v>
      </c>
      <c r="K327" s="200" t="s">
        <v>2132</v>
      </c>
      <c r="L327" s="200" t="s">
        <v>1664</v>
      </c>
      <c r="M327" s="201" t="s">
        <v>1819</v>
      </c>
      <c r="N327" s="197"/>
      <c r="O327" s="197"/>
      <c r="P327" s="197"/>
      <c r="Q327" s="197" t="s">
        <v>240</v>
      </c>
      <c r="R327" s="197"/>
      <c r="S327" s="197"/>
      <c r="T327" s="197"/>
      <c r="U327" s="197"/>
      <c r="V327" s="197" t="s">
        <v>191</v>
      </c>
      <c r="W327" s="197"/>
      <c r="X327" s="197"/>
      <c r="Y327" s="197" t="str">
        <f ca="1">IF(I327&lt;&gt;"",IF(I327&lt;=TODAY(),IF(OR(N327="REPROGRAMADA",N327="SUSPENDIDA",N327="EXCLUSION",N327="COLEGIADO"),"NO HECHA",IF(N327=" ","SINRESULTADO","SI")),"NO"),IF(N327="EXCLUSION","NO HECHA","LIMBO"))</f>
        <v>NO</v>
      </c>
      <c r="Z327" s="197" t="str">
        <f>IF($Z$1=I327,"DIASOL", "DIANOSOL")</f>
        <v>DIANOSOL</v>
      </c>
      <c r="AA327" s="197"/>
      <c r="AB327" s="197" t="s">
        <v>2067</v>
      </c>
      <c r="AC327" s="197" t="str">
        <f>IF(H327=$M$1,"SI","NO")</f>
        <v>NO</v>
      </c>
      <c r="AD327" s="197"/>
      <c r="AE327" s="321">
        <v>45205</v>
      </c>
      <c r="AF327" s="197"/>
      <c r="AG327" s="197" t="str">
        <f>IF(COUNTIF(C327,"*preso*")&gt;0,"SI","NO")</f>
        <v>NO</v>
      </c>
      <c r="AH327" s="311">
        <f>NroOrden(N327)</f>
        <v>99</v>
      </c>
      <c r="AI327" s="197"/>
      <c r="AJ327" s="48" t="str">
        <f ca="1">IF(OR(Y327="NO",Y327="LIMBO"),"IMP","NOIMP")</f>
        <v>IMP</v>
      </c>
    </row>
    <row r="328" spans="1:36" ht="39.950000000000003" hidden="1" customHeight="1">
      <c r="A328" s="197">
        <v>359</v>
      </c>
      <c r="B328" s="198" t="s">
        <v>2226</v>
      </c>
      <c r="C328" s="199"/>
      <c r="D328" s="197" t="s">
        <v>2227</v>
      </c>
      <c r="E328" s="197" t="s">
        <v>2228</v>
      </c>
      <c r="F328" s="321">
        <v>45219</v>
      </c>
      <c r="G328" s="197"/>
      <c r="H328" s="200" t="s">
        <v>1645</v>
      </c>
      <c r="I328" s="201">
        <v>45260</v>
      </c>
      <c r="J328" s="201" t="s">
        <v>282</v>
      </c>
      <c r="K328" s="200" t="s">
        <v>362</v>
      </c>
      <c r="L328" s="200" t="s">
        <v>1663</v>
      </c>
      <c r="M328" s="201" t="s">
        <v>1816</v>
      </c>
      <c r="N328" s="197"/>
      <c r="O328" s="197"/>
      <c r="P328" s="197"/>
      <c r="Q328" s="197" t="s">
        <v>240</v>
      </c>
      <c r="R328" s="197"/>
      <c r="S328" s="197"/>
      <c r="T328" s="197"/>
      <c r="U328" s="197"/>
      <c r="V328" s="197" t="s">
        <v>182</v>
      </c>
      <c r="W328" s="197" t="s">
        <v>202</v>
      </c>
      <c r="X328" s="197"/>
      <c r="Y328" s="197" t="str">
        <f ca="1">IF(I328&lt;&gt;"",IF(I328&lt;=TODAY(),IF(OR(N328="REPROGRAMADA",N328="SUSPENDIDA",N328="EXCLUSION",N328="COLEGIADO"),"NO HECHA",IF(N328=" ","SINRESULTADO","SI")),"NO"),IF(N328="EXCLUSION","NO HECHA","LIMBO"))</f>
        <v>NO</v>
      </c>
      <c r="Z328" s="197" t="str">
        <f>IF($Z$1=I328,"DIASOL", "DIANOSOL")</f>
        <v>DIANOSOL</v>
      </c>
      <c r="AA328" s="197"/>
      <c r="AB328" s="197" t="s">
        <v>2229</v>
      </c>
      <c r="AC328" s="197" t="str">
        <f>IF(H328=$M$1,"SI","NO")</f>
        <v>NO</v>
      </c>
      <c r="AD328" s="197"/>
      <c r="AE328" s="321">
        <v>45219</v>
      </c>
      <c r="AF328" s="197"/>
      <c r="AG328" s="197" t="str">
        <f>IF(COUNTIF(C328,"*preso*")&gt;0,"SI","NO")</f>
        <v>NO</v>
      </c>
      <c r="AH328" s="311">
        <f>NroOrden(N328)</f>
        <v>99</v>
      </c>
      <c r="AI328" s="197"/>
      <c r="AJ328" s="287" t="str">
        <f ca="1">IF(OR(Y328="NO",Y328="LIMBO"),"IMP","NOIMP")</f>
        <v>IMP</v>
      </c>
    </row>
    <row r="329" spans="1:36" ht="66" hidden="1" customHeight="1">
      <c r="A329" s="197">
        <v>367</v>
      </c>
      <c r="B329" s="198" t="s">
        <v>2251</v>
      </c>
      <c r="C329" s="199"/>
      <c r="D329" s="197" t="s">
        <v>2252</v>
      </c>
      <c r="E329" s="197" t="s">
        <v>2253</v>
      </c>
      <c r="F329" s="321">
        <v>45204</v>
      </c>
      <c r="G329" s="197" t="s">
        <v>2259</v>
      </c>
      <c r="H329" s="200" t="s">
        <v>1646</v>
      </c>
      <c r="I329" s="201">
        <v>45260</v>
      </c>
      <c r="J329" s="201" t="s">
        <v>1422</v>
      </c>
      <c r="K329" s="200" t="s">
        <v>2132</v>
      </c>
      <c r="L329" s="200" t="s">
        <v>1663</v>
      </c>
      <c r="M329" s="201" t="s">
        <v>1819</v>
      </c>
      <c r="N329" s="197"/>
      <c r="O329" s="197"/>
      <c r="P329" s="197"/>
      <c r="Q329" s="197" t="s">
        <v>240</v>
      </c>
      <c r="R329" s="197"/>
      <c r="S329" s="197"/>
      <c r="T329" s="197"/>
      <c r="U329" s="197"/>
      <c r="V329" s="197" t="s">
        <v>341</v>
      </c>
      <c r="W329" s="197" t="s">
        <v>202</v>
      </c>
      <c r="X329" s="197"/>
      <c r="Y329" s="197" t="str">
        <f ca="1">IF(I329&lt;&gt;"",IF(I329&lt;=TODAY(),IF(OR(N329="REPROGRAMADA",N329="SUSPENDIDA",N329="EXCLUSION",N329="COLEGIADO"),"NO HECHA",IF(N329=" ","SINRESULTADO","SI")),"NO"),IF(N329="EXCLUSION","NO HECHA","LIMBO"))</f>
        <v>NO</v>
      </c>
      <c r="Z329" s="197" t="str">
        <f>IF($Z$1=I329,"DIASOL", "DIANOSOL")</f>
        <v>DIANOSOL</v>
      </c>
      <c r="AA329" s="197"/>
      <c r="AB329" s="197" t="s">
        <v>2254</v>
      </c>
      <c r="AC329" s="197" t="str">
        <f>IF(H329=$M$1,"SI","NO")</f>
        <v>NO</v>
      </c>
      <c r="AD329" s="197"/>
      <c r="AE329" s="321">
        <v>45204</v>
      </c>
      <c r="AF329" s="197"/>
      <c r="AG329" s="197" t="str">
        <f>IF(COUNTIF(C329,"*preso*")&gt;0,"SI","NO")</f>
        <v>NO</v>
      </c>
      <c r="AH329" s="197">
        <f>NroOrden(N329)</f>
        <v>99</v>
      </c>
      <c r="AI329" s="197"/>
      <c r="AJ329" s="287" t="str">
        <f ca="1">IF(OR(Y329="NO",Y329="LIMBO"),"IMP","NOIMP")</f>
        <v>IMP</v>
      </c>
    </row>
    <row r="330" spans="1:36" ht="39.950000000000003" hidden="1" customHeight="1">
      <c r="A330" s="197">
        <v>387</v>
      </c>
      <c r="B330" s="198" t="s">
        <v>2361</v>
      </c>
      <c r="C330" s="199"/>
      <c r="D330" s="197" t="s">
        <v>2362</v>
      </c>
      <c r="E330" s="197" t="s">
        <v>2363</v>
      </c>
      <c r="F330" s="321">
        <v>45222</v>
      </c>
      <c r="G330" s="197" t="s">
        <v>2300</v>
      </c>
      <c r="H330" s="200" t="s">
        <v>1646</v>
      </c>
      <c r="I330" s="201">
        <v>45261</v>
      </c>
      <c r="J330" s="201" t="s">
        <v>282</v>
      </c>
      <c r="K330" s="200" t="s">
        <v>2132</v>
      </c>
      <c r="L330" s="200" t="s">
        <v>1664</v>
      </c>
      <c r="M330" s="201" t="s">
        <v>1813</v>
      </c>
      <c r="N330" s="197"/>
      <c r="O330" s="197"/>
      <c r="P330" s="197"/>
      <c r="Q330" s="197" t="s">
        <v>240</v>
      </c>
      <c r="R330" s="197"/>
      <c r="S330" s="197"/>
      <c r="T330" s="197"/>
      <c r="U330" s="197"/>
      <c r="V330" s="197" t="s">
        <v>346</v>
      </c>
      <c r="W330" s="197" t="s">
        <v>140</v>
      </c>
      <c r="X330" s="197"/>
      <c r="Y330" s="197" t="str">
        <f ca="1">IF(I330&lt;&gt;"",IF(I330&lt;=TODAY(),IF(OR(N330="REPROGRAMADA",N330="SUSPENDIDA",N330="EXCLUSION",N330="COLEGIADO"),"NO HECHA",IF(N330=" ","SINRESULTADO","SI")),"NO"),IF(N330="EXCLUSION","NO HECHA","LIMBO"))</f>
        <v>NO</v>
      </c>
      <c r="Z330" s="197" t="str">
        <f>IF($Z$1=I330,"DIASOL", "DIANOSOL")</f>
        <v>DIANOSOL</v>
      </c>
      <c r="AA330" s="197"/>
      <c r="AB330" s="197" t="s">
        <v>2364</v>
      </c>
      <c r="AC330" s="197" t="str">
        <f>IF(H330=$M$1,"SI","NO")</f>
        <v>NO</v>
      </c>
      <c r="AD330" s="197"/>
      <c r="AE330" s="321">
        <v>45222</v>
      </c>
      <c r="AF330" s="197"/>
      <c r="AG330" s="197" t="str">
        <f>IF(COUNTIF(C330,"*preso*")&gt;0,"SI","NO")</f>
        <v>NO</v>
      </c>
      <c r="AH330" s="197">
        <f>NroOrden(N330)</f>
        <v>99</v>
      </c>
      <c r="AI330" s="197"/>
      <c r="AJ330" s="287" t="str">
        <f ca="1">IF(OR(Y330="NO",Y330="LIMBO"),"IMP","NOIMP")</f>
        <v>IMP</v>
      </c>
    </row>
    <row r="331" spans="1:36" ht="114.75" hidden="1" customHeight="1">
      <c r="A331" s="197">
        <v>337</v>
      </c>
      <c r="B331" s="198" t="s">
        <v>2103</v>
      </c>
      <c r="C331" s="199"/>
      <c r="D331" s="197" t="s">
        <v>2104</v>
      </c>
      <c r="E331" s="197" t="s">
        <v>2119</v>
      </c>
      <c r="F331" s="321">
        <v>45202</v>
      </c>
      <c r="G331" s="197" t="s">
        <v>2120</v>
      </c>
      <c r="H331" s="200" t="s">
        <v>1649</v>
      </c>
      <c r="I331" s="201">
        <v>45261</v>
      </c>
      <c r="J331" s="201" t="s">
        <v>396</v>
      </c>
      <c r="K331" s="200" t="s">
        <v>1839</v>
      </c>
      <c r="L331" s="200" t="s">
        <v>1663</v>
      </c>
      <c r="M331" s="201" t="s">
        <v>1813</v>
      </c>
      <c r="N331" s="197"/>
      <c r="O331" s="197"/>
      <c r="P331" s="197"/>
      <c r="Q331" s="197" t="s">
        <v>240</v>
      </c>
      <c r="R331" s="197"/>
      <c r="S331" s="197"/>
      <c r="T331" s="197"/>
      <c r="U331" s="197"/>
      <c r="V331" s="197" t="s">
        <v>341</v>
      </c>
      <c r="W331" s="197"/>
      <c r="X331" s="197"/>
      <c r="Y331" s="197" t="str">
        <f ca="1">IF(I331&lt;&gt;"",IF(I331&lt;=TODAY(),IF(OR(N331="REPROGRAMADA",N331="SUSPENDIDA",N331="EXCLUSION",N331="COLEGIADO"),"NO HECHA",IF(N331=" ","SINRESULTADO","SI")),"NO"),IF(N331="EXCLUSION","NO HECHA","LIMBO"))</f>
        <v>NO</v>
      </c>
      <c r="Z331" s="197" t="str">
        <f>IF($Z$1=I331,"DIASOL", "DIANOSOL")</f>
        <v>DIANOSOL</v>
      </c>
      <c r="AA331" s="197"/>
      <c r="AB331" s="197" t="s">
        <v>2121</v>
      </c>
      <c r="AC331" s="197" t="str">
        <f>IF(H331=$M$1,"SI","NO")</f>
        <v>NO</v>
      </c>
      <c r="AD331" s="197"/>
      <c r="AE331" s="321">
        <v>45202</v>
      </c>
      <c r="AF331" s="197"/>
      <c r="AG331" s="197" t="str">
        <f>IF(COUNTIF(C331,"*preso*")&gt;0,"SI","NO")</f>
        <v>NO</v>
      </c>
      <c r="AH331" s="197">
        <f>NroOrden(N331)</f>
        <v>99</v>
      </c>
      <c r="AI331" s="197"/>
      <c r="AJ331" s="48" t="str">
        <f ca="1">IF(OR(Y331="NO",Y331="LIMBO"),"IMP","NOIMP")</f>
        <v>IMP</v>
      </c>
    </row>
    <row r="332" spans="1:36" ht="94.5" hidden="1" customHeight="1">
      <c r="A332" s="197">
        <v>385</v>
      </c>
      <c r="B332" s="198" t="s">
        <v>1616</v>
      </c>
      <c r="C332" s="199"/>
      <c r="D332" s="197" t="s">
        <v>1617</v>
      </c>
      <c r="E332" s="197" t="s">
        <v>886</v>
      </c>
      <c r="F332" s="197">
        <v>45173</v>
      </c>
      <c r="G332" s="197" t="s">
        <v>1606</v>
      </c>
      <c r="H332" s="200" t="s">
        <v>1649</v>
      </c>
      <c r="I332" s="201">
        <v>45264</v>
      </c>
      <c r="J332" s="201" t="s">
        <v>282</v>
      </c>
      <c r="K332" s="200" t="s">
        <v>2149</v>
      </c>
      <c r="L332" s="200" t="s">
        <v>1663</v>
      </c>
      <c r="M332" s="201" t="s">
        <v>332</v>
      </c>
      <c r="N332" s="197"/>
      <c r="O332" s="197"/>
      <c r="P332" s="197"/>
      <c r="Q332" s="197" t="s">
        <v>240</v>
      </c>
      <c r="R332" s="197"/>
      <c r="S332" s="197"/>
      <c r="T332" s="197"/>
      <c r="U332" s="197"/>
      <c r="V332" s="197" t="s">
        <v>191</v>
      </c>
      <c r="W332" s="197" t="s">
        <v>169</v>
      </c>
      <c r="X332" s="197" t="s">
        <v>111</v>
      </c>
      <c r="Y332" s="197" t="str">
        <f ca="1">IF(I332&lt;&gt;"",IF(I332&lt;=TODAY(),IF(OR(N332="REPROGRAMADA",N332="SUSPENDIDA",N332="EXCLUSION",N332="COLEGIADO"),"NO HECHA",IF(N332=" ","SINRESULTADO","SI")),"NO"),IF(N332="EXCLUSION","NO HECHA","LIMBO"))</f>
        <v>NO</v>
      </c>
      <c r="Z332" s="197" t="str">
        <f>IF($Z$1=I332,"DIASOL", "DIANOSOL")</f>
        <v>DIANOSOL</v>
      </c>
      <c r="AA332" s="197" t="s">
        <v>240</v>
      </c>
      <c r="AB332" s="321"/>
      <c r="AC332" s="197" t="str">
        <f>IF(H332=$M$1,"SI","NO")</f>
        <v>NO</v>
      </c>
      <c r="AD332" s="197"/>
      <c r="AE332" s="197">
        <v>45170</v>
      </c>
      <c r="AF332" s="197"/>
      <c r="AG332" s="197" t="str">
        <f>IF(COUNTIF(C332,"*preso*")&gt;0,"SI","NO")</f>
        <v>NO</v>
      </c>
      <c r="AH332" s="197">
        <f>NroOrden(N332)</f>
        <v>99</v>
      </c>
      <c r="AI332" s="197"/>
      <c r="AJ332" s="287" t="str">
        <f ca="1">IF(OR(Y332="NO",Y332="LIMBO"),"IMP","NOIMP")</f>
        <v>IMP</v>
      </c>
    </row>
    <row r="333" spans="1:36" ht="128.25" hidden="1" customHeight="1">
      <c r="A333" s="197">
        <v>384</v>
      </c>
      <c r="B333" s="198" t="s">
        <v>1790</v>
      </c>
      <c r="C333" s="199"/>
      <c r="D333" s="197" t="s">
        <v>1789</v>
      </c>
      <c r="E333" s="197" t="s">
        <v>1791</v>
      </c>
      <c r="F333" s="197">
        <v>45181</v>
      </c>
      <c r="G333" s="197"/>
      <c r="H333" s="200" t="s">
        <v>1648</v>
      </c>
      <c r="I333" s="201">
        <v>45264</v>
      </c>
      <c r="J333" s="201" t="s">
        <v>1182</v>
      </c>
      <c r="K333" s="200" t="s">
        <v>2149</v>
      </c>
      <c r="L333" s="200" t="s">
        <v>1664</v>
      </c>
      <c r="M333" s="201" t="s">
        <v>332</v>
      </c>
      <c r="N333" s="197"/>
      <c r="O333" s="197"/>
      <c r="P333" s="197"/>
      <c r="Q333" s="197" t="s">
        <v>240</v>
      </c>
      <c r="R333" s="197"/>
      <c r="S333" s="197"/>
      <c r="T333" s="197"/>
      <c r="U333" s="197"/>
      <c r="V333" s="197" t="s">
        <v>343</v>
      </c>
      <c r="W333" s="197" t="s">
        <v>1257</v>
      </c>
      <c r="X333" s="197" t="s">
        <v>111</v>
      </c>
      <c r="Y333" s="197" t="str">
        <f ca="1">IF(I333&lt;&gt;"",IF(I333&lt;=TODAY(),IF(OR(N333="REPROGRAMADA",N333="SUSPENDIDA",N333="EXCLUSION",N333="COLEGIADO"),"NO HECHA",IF(N333=" ","SINRESULTADO","SI")),"NO"),IF(N333="EXCLUSION","NO HECHA","LIMBO"))</f>
        <v>NO</v>
      </c>
      <c r="Z333" s="197" t="str">
        <f>IF($Z$1=I333,"DIASOL", "DIANOSOL")</f>
        <v>DIANOSOL</v>
      </c>
      <c r="AA333" s="197" t="s">
        <v>240</v>
      </c>
      <c r="AB333" s="321"/>
      <c r="AC333" s="197" t="str">
        <f>IF(H333=$M$1,"SI","NO")</f>
        <v>NO</v>
      </c>
      <c r="AD333" s="197"/>
      <c r="AE333" s="197">
        <v>45174</v>
      </c>
      <c r="AF333" s="197"/>
      <c r="AG333" s="197" t="str">
        <f>IF(COUNTIF(C333,"*preso*")&gt;0,"SI","NO")</f>
        <v>NO</v>
      </c>
      <c r="AH333" s="197">
        <f>NroOrden(N333)</f>
        <v>99</v>
      </c>
      <c r="AI333" s="197"/>
      <c r="AJ333" s="287" t="str">
        <f ca="1">IF(OR(Y333="NO",Y333="LIMBO"),"IMP","NOIMP")</f>
        <v>IMP</v>
      </c>
    </row>
    <row r="334" spans="1:36" ht="39.950000000000003" hidden="1" customHeight="1">
      <c r="A334" s="202">
        <v>393</v>
      </c>
      <c r="B334" s="203" t="s">
        <v>2423</v>
      </c>
      <c r="C334" s="204" t="s">
        <v>501</v>
      </c>
      <c r="D334" s="202" t="s">
        <v>2387</v>
      </c>
      <c r="E334" s="202" t="s">
        <v>2388</v>
      </c>
      <c r="F334" s="224">
        <v>45216</v>
      </c>
      <c r="G334" s="202" t="s">
        <v>2265</v>
      </c>
      <c r="H334" s="200" t="s">
        <v>1645</v>
      </c>
      <c r="I334" s="201">
        <v>45264</v>
      </c>
      <c r="J334" s="201" t="s">
        <v>961</v>
      </c>
      <c r="K334" s="200" t="s">
        <v>1679</v>
      </c>
      <c r="L334" s="200" t="s">
        <v>1663</v>
      </c>
      <c r="M334" s="201" t="s">
        <v>332</v>
      </c>
      <c r="N334" s="202"/>
      <c r="O334" s="202"/>
      <c r="P334" s="202"/>
      <c r="Q334" s="202" t="s">
        <v>240</v>
      </c>
      <c r="R334" s="202"/>
      <c r="S334" s="202" t="s">
        <v>1940</v>
      </c>
      <c r="T334" s="202" t="s">
        <v>2390</v>
      </c>
      <c r="U334" s="202" t="s">
        <v>2391</v>
      </c>
      <c r="V334" s="202" t="s">
        <v>1129</v>
      </c>
      <c r="W334" s="202" t="s">
        <v>1098</v>
      </c>
      <c r="X334" s="202"/>
      <c r="Y334" s="202" t="str">
        <f ca="1">IF(I334&lt;&gt;"",IF(I334&lt;=TODAY(),IF(OR(N334="REPROGRAMADA",N334="SUSPENDIDA",N334="EXCLUSION",N334="COLEGIADO"),"NO HECHA",IF(N334=" ","SINRESULTADO","SI")),"NO"),IF(N334="EXCLUSION","NO HECHA","LIMBO"))</f>
        <v>NO</v>
      </c>
      <c r="Z334" s="202" t="str">
        <f>IF($Z$1=I334,"DIASOL", "DIANOSOL")</f>
        <v>DIANOSOL</v>
      </c>
      <c r="AA334" s="202" t="s">
        <v>1228</v>
      </c>
      <c r="AB334" s="202" t="s">
        <v>2389</v>
      </c>
      <c r="AC334" s="202" t="str">
        <f>IF(H334=$M$1,"SI","NO")</f>
        <v>NO</v>
      </c>
      <c r="AD334" s="202"/>
      <c r="AE334" s="224">
        <v>45216</v>
      </c>
      <c r="AF334" s="202"/>
      <c r="AG334" s="202" t="str">
        <f>IF(COUNTIF(C334,"*preso*")&gt;0,"SI","NO")</f>
        <v>SI</v>
      </c>
      <c r="AH334" s="202">
        <f>NroOrden(N334)</f>
        <v>99</v>
      </c>
      <c r="AI334" s="202"/>
      <c r="AJ334" s="290" t="str">
        <f ca="1">IF(OR(Y334="NO",Y334="LIMBO"),"IMP","NOIMP")</f>
        <v>IMP</v>
      </c>
    </row>
    <row r="335" spans="1:36" ht="39.950000000000003" hidden="1" customHeight="1">
      <c r="A335" s="197">
        <v>319</v>
      </c>
      <c r="B335" s="198" t="s">
        <v>1993</v>
      </c>
      <c r="C335" s="199"/>
      <c r="D335" s="197" t="s">
        <v>1994</v>
      </c>
      <c r="E335" s="197" t="s">
        <v>1995</v>
      </c>
      <c r="F335" s="321">
        <v>45204</v>
      </c>
      <c r="G335" s="197" t="s">
        <v>1848</v>
      </c>
      <c r="H335" s="200" t="s">
        <v>1642</v>
      </c>
      <c r="I335" s="201">
        <v>45265</v>
      </c>
      <c r="J335" s="201" t="s">
        <v>282</v>
      </c>
      <c r="K335" s="200" t="s">
        <v>1839</v>
      </c>
      <c r="L335" s="200" t="s">
        <v>1664</v>
      </c>
      <c r="M335" s="201" t="s">
        <v>1818</v>
      </c>
      <c r="N335" s="197" t="s">
        <v>111</v>
      </c>
      <c r="O335" s="197"/>
      <c r="P335" s="197"/>
      <c r="Q335" s="197"/>
      <c r="R335" s="197"/>
      <c r="S335" s="197"/>
      <c r="T335" s="197"/>
      <c r="U335" s="197"/>
      <c r="V335" s="197" t="s">
        <v>111</v>
      </c>
      <c r="W335" s="197" t="s">
        <v>111</v>
      </c>
      <c r="X335" s="197" t="s">
        <v>111</v>
      </c>
      <c r="Y335" s="197" t="str">
        <f ca="1">IF(I335&lt;&gt;"",IF(I335&lt;=TODAY(),IF(OR(N335="REPROGRAMADA",N335="SUSPENDIDA",N335="EXCLUSION",N335="COLEGIADO"),"NO HECHA",IF(N335=" ","SINRESULTADO","SI")),"NO"),IF(N335="EXCLUSION","NO HECHA","LIMBO"))</f>
        <v>NO</v>
      </c>
      <c r="Z335" s="197" t="str">
        <f>IF($Z$1=I335,"DIASOL", "DIANOSOL")</f>
        <v>DIANOSOL</v>
      </c>
      <c r="AA335" s="197" t="s">
        <v>240</v>
      </c>
      <c r="AB335" s="197" t="s">
        <v>1996</v>
      </c>
      <c r="AC335" s="197" t="str">
        <f>IF(H335=$M$1,"SI","NO")</f>
        <v>NO</v>
      </c>
      <c r="AD335" s="197"/>
      <c r="AE335" s="321">
        <v>45204</v>
      </c>
      <c r="AF335" s="197"/>
      <c r="AG335" s="197" t="str">
        <f>IF(COUNTIF(C335,"*preso*")&gt;0,"SI","NO")</f>
        <v>NO</v>
      </c>
      <c r="AH335" s="254">
        <f>NroOrden(N335)</f>
        <v>99</v>
      </c>
      <c r="AI335" s="197"/>
      <c r="AJ335" s="48" t="str">
        <f ca="1">IF(OR(Y335="NO",Y335="LIMBO"),"IMP","NOIMP")</f>
        <v>IMP</v>
      </c>
    </row>
    <row r="336" spans="1:36" ht="39.950000000000003" hidden="1" customHeight="1">
      <c r="A336" s="197">
        <v>350</v>
      </c>
      <c r="B336" s="198" t="s">
        <v>2165</v>
      </c>
      <c r="C336" s="199"/>
      <c r="D336" s="197" t="s">
        <v>2166</v>
      </c>
      <c r="E336" s="197" t="s">
        <v>2170</v>
      </c>
      <c r="F336" s="321">
        <v>45210</v>
      </c>
      <c r="G336" s="197" t="s">
        <v>2172</v>
      </c>
      <c r="H336" s="200" t="s">
        <v>1649</v>
      </c>
      <c r="I336" s="201">
        <v>45266</v>
      </c>
      <c r="J336" s="201" t="s">
        <v>396</v>
      </c>
      <c r="K336" s="200" t="s">
        <v>1839</v>
      </c>
      <c r="L336" s="200" t="s">
        <v>1663</v>
      </c>
      <c r="M336" s="201" t="s">
        <v>1761</v>
      </c>
      <c r="N336" s="197"/>
      <c r="O336" s="197"/>
      <c r="P336" s="197"/>
      <c r="Q336" s="197" t="s">
        <v>240</v>
      </c>
      <c r="R336" s="197"/>
      <c r="S336" s="197"/>
      <c r="T336" s="197"/>
      <c r="U336" s="197"/>
      <c r="V336" s="197" t="s">
        <v>345</v>
      </c>
      <c r="W336" s="197" t="s">
        <v>132</v>
      </c>
      <c r="X336" s="197"/>
      <c r="Y336" s="197" t="str">
        <f ca="1">IF(I336&lt;&gt;"",IF(I336&lt;=TODAY(),IF(OR(N336="REPROGRAMADA",N336="SUSPENDIDA",N336="EXCLUSION",N336="COLEGIADO"),"NO HECHA",IF(N336=" ","SINRESULTADO","SI")),"NO"),IF(N336="EXCLUSION","NO HECHA","LIMBO"))</f>
        <v>NO</v>
      </c>
      <c r="Z336" s="197" t="str">
        <f>IF($Z$1=I336,"DIASOL", "DIANOSOL")</f>
        <v>DIANOSOL</v>
      </c>
      <c r="AA336" s="197"/>
      <c r="AB336" s="197" t="s">
        <v>2171</v>
      </c>
      <c r="AC336" s="197" t="str">
        <f>IF(H336=$M$1,"SI","NO")</f>
        <v>NO</v>
      </c>
      <c r="AD336" s="197"/>
      <c r="AE336" s="321">
        <v>45210</v>
      </c>
      <c r="AF336" s="197"/>
      <c r="AG336" s="197" t="str">
        <f>IF(COUNTIF(C336,"*preso*")&gt;0,"SI","NO")</f>
        <v>NO</v>
      </c>
      <c r="AH336" s="197">
        <f>NroOrden(N336)</f>
        <v>99</v>
      </c>
      <c r="AI336" s="197"/>
      <c r="AJ336" s="48" t="str">
        <f ca="1">IF(OR(Y336="NO",Y336="LIMBO"),"IMP","NOIMP")</f>
        <v>IMP</v>
      </c>
    </row>
    <row r="337" spans="1:36" ht="39.950000000000003" hidden="1" customHeight="1">
      <c r="A337" s="197">
        <v>339</v>
      </c>
      <c r="B337" s="198" t="s">
        <v>2106</v>
      </c>
      <c r="C337" s="199"/>
      <c r="D337" s="197" t="s">
        <v>2107</v>
      </c>
      <c r="E337" s="197" t="s">
        <v>2113</v>
      </c>
      <c r="F337" s="321">
        <v>45209</v>
      </c>
      <c r="G337" s="197"/>
      <c r="H337" s="200" t="s">
        <v>1647</v>
      </c>
      <c r="I337" s="201">
        <v>45267</v>
      </c>
      <c r="J337" s="201" t="s">
        <v>282</v>
      </c>
      <c r="K337" s="200" t="s">
        <v>2149</v>
      </c>
      <c r="L337" s="200" t="s">
        <v>1664</v>
      </c>
      <c r="M337" s="201" t="s">
        <v>332</v>
      </c>
      <c r="N337" s="197"/>
      <c r="O337" s="197"/>
      <c r="P337" s="197"/>
      <c r="Q337" s="197" t="s">
        <v>240</v>
      </c>
      <c r="R337" s="197"/>
      <c r="S337" s="197"/>
      <c r="T337" s="197"/>
      <c r="U337" s="197"/>
      <c r="V337" s="197" t="s">
        <v>193</v>
      </c>
      <c r="W337" s="197" t="s">
        <v>132</v>
      </c>
      <c r="X337" s="197"/>
      <c r="Y337" s="197" t="str">
        <f ca="1">IF(I337&lt;&gt;"",IF(I337&lt;=TODAY(),IF(OR(N337="REPROGRAMADA",N337="SUSPENDIDA",N337="EXCLUSION",N337="COLEGIADO"),"NO HECHA",IF(N337=" ","SINRESULTADO","SI")),"NO"),IF(N337="EXCLUSION","NO HECHA","LIMBO"))</f>
        <v>NO</v>
      </c>
      <c r="Z337" s="197" t="str">
        <f>IF($Z$1=I337,"DIASOL", "DIANOSOL")</f>
        <v>DIANOSOL</v>
      </c>
      <c r="AA337" s="197"/>
      <c r="AB337" s="197" t="s">
        <v>2114</v>
      </c>
      <c r="AC337" s="197" t="str">
        <f>IF(H337=$M$1,"SI","NO")</f>
        <v>NO</v>
      </c>
      <c r="AD337" s="197"/>
      <c r="AE337" s="321">
        <v>45209</v>
      </c>
      <c r="AF337" s="197"/>
      <c r="AG337" s="197" t="str">
        <f>IF(COUNTIF(C337,"*preso*")&gt;0,"SI","NO")</f>
        <v>NO</v>
      </c>
      <c r="AH337" s="197">
        <f>NroOrden(N337)</f>
        <v>99</v>
      </c>
      <c r="AI337" s="197"/>
      <c r="AJ337" s="48" t="str">
        <f ca="1">IF(OR(Y337="NO",Y337="LIMBO"),"IMP","NOIMP")</f>
        <v>IMP</v>
      </c>
    </row>
    <row r="338" spans="1:36" ht="84" hidden="1" customHeight="1">
      <c r="A338" s="197">
        <v>361</v>
      </c>
      <c r="B338" s="198" t="s">
        <v>1489</v>
      </c>
      <c r="C338" s="199"/>
      <c r="D338" s="197" t="s">
        <v>1490</v>
      </c>
      <c r="E338" s="197" t="s">
        <v>1491</v>
      </c>
      <c r="F338" s="197"/>
      <c r="G338" s="197"/>
      <c r="H338" s="200" t="s">
        <v>1644</v>
      </c>
      <c r="I338" s="201">
        <v>45267</v>
      </c>
      <c r="J338" s="201" t="s">
        <v>1422</v>
      </c>
      <c r="K338" s="200" t="s">
        <v>1839</v>
      </c>
      <c r="L338" s="200" t="s">
        <v>1664</v>
      </c>
      <c r="M338" s="201" t="s">
        <v>332</v>
      </c>
      <c r="N338" s="197"/>
      <c r="O338" s="197"/>
      <c r="P338" s="197"/>
      <c r="Q338" s="197" t="s">
        <v>240</v>
      </c>
      <c r="R338" s="197"/>
      <c r="S338" s="197"/>
      <c r="T338" s="197"/>
      <c r="U338" s="197"/>
      <c r="V338" s="197" t="s">
        <v>1280</v>
      </c>
      <c r="W338" s="197" t="s">
        <v>116</v>
      </c>
      <c r="X338" s="197" t="s">
        <v>111</v>
      </c>
      <c r="Y338" s="197" t="str">
        <f ca="1">IF(I338&lt;&gt;"",IF(I338&lt;=TODAY(),IF(OR(N338="REPROGRAMADA",N338="SUSPENDIDA",N338="EXCLUSION",N338="COLEGIADO"),"NO HECHA",IF(N338=" ","SINRESULTADO","SI")),"NO"),IF(N338="EXCLUSION","NO HECHA","LIMBO"))</f>
        <v>NO</v>
      </c>
      <c r="Z338" s="197" t="str">
        <f>IF($Z$1=I338,"DIASOL", "DIANOSOL")</f>
        <v>DIANOSOL</v>
      </c>
      <c r="AA338" s="197" t="s">
        <v>240</v>
      </c>
      <c r="AB338" s="321"/>
      <c r="AC338" s="197" t="str">
        <f>IF(H338=$M$1,"SI","NO")</f>
        <v>SI</v>
      </c>
      <c r="AD338" s="197"/>
      <c r="AE338" s="197">
        <v>45155</v>
      </c>
      <c r="AF338" s="197"/>
      <c r="AG338" s="197" t="str">
        <f>IF(COUNTIF(C338,"*preso*")&gt;0,"SI","NO")</f>
        <v>NO</v>
      </c>
      <c r="AH338" s="197">
        <f>NroOrden(N338)</f>
        <v>99</v>
      </c>
      <c r="AI338" s="197"/>
      <c r="AJ338" s="287" t="str">
        <f ca="1">IF(OR(Y338="NO",Y338="LIMBO"),"IMP","NOIMP")</f>
        <v>IMP</v>
      </c>
    </row>
    <row r="339" spans="1:36" ht="39.950000000000003" hidden="1" customHeight="1">
      <c r="A339" s="197">
        <v>274</v>
      </c>
      <c r="B339" s="198" t="s">
        <v>1800</v>
      </c>
      <c r="C339" s="199"/>
      <c r="D339" s="197" t="s">
        <v>1801</v>
      </c>
      <c r="E339" s="197" t="s">
        <v>1802</v>
      </c>
      <c r="F339" s="321">
        <v>45156</v>
      </c>
      <c r="G339" s="197" t="s">
        <v>1753</v>
      </c>
      <c r="H339" s="200" t="s">
        <v>1643</v>
      </c>
      <c r="I339" s="201">
        <v>45271</v>
      </c>
      <c r="J339" s="201" t="s">
        <v>14</v>
      </c>
      <c r="K339" s="200" t="s">
        <v>1679</v>
      </c>
      <c r="L339" s="200" t="s">
        <v>1664</v>
      </c>
      <c r="M339" s="201" t="s">
        <v>333</v>
      </c>
      <c r="N339" s="197" t="s">
        <v>111</v>
      </c>
      <c r="O339" s="197"/>
      <c r="P339" s="197"/>
      <c r="Q339" s="197"/>
      <c r="R339" s="197"/>
      <c r="S339" s="197"/>
      <c r="T339" s="197"/>
      <c r="U339" s="197"/>
      <c r="V339" s="197" t="s">
        <v>1286</v>
      </c>
      <c r="W339" s="197" t="s">
        <v>140</v>
      </c>
      <c r="X339" s="197" t="s">
        <v>111</v>
      </c>
      <c r="Y339" s="197" t="str">
        <f ca="1">IF(I339&lt;&gt;"",IF(I339&lt;=TODAY(),IF(OR(N339="REPROGRAMADA",N339="SUSPENDIDA",N339="EXCLUSION",N339="COLEGIADO"),"NO HECHA",IF(N339=" ","SINRESULTADO","SI")),"NO"),IF(N339="EXCLUSION","NO HECHA","LIMBO"))</f>
        <v>NO</v>
      </c>
      <c r="Z339" s="197" t="str">
        <f>IF($Z$1=I339,"DIASOL", "DIANOSOL")</f>
        <v>DIANOSOL</v>
      </c>
      <c r="AA339" s="197" t="s">
        <v>737</v>
      </c>
      <c r="AB339" s="197" t="s">
        <v>1803</v>
      </c>
      <c r="AC339" s="197" t="str">
        <f>IF(H339=$M$1,"SI","NO")</f>
        <v>NO</v>
      </c>
      <c r="AD339" s="197"/>
      <c r="AE339" s="321">
        <v>45113</v>
      </c>
      <c r="AF339" s="197"/>
      <c r="AG339" s="197" t="str">
        <f>IF(COUNTIF(C339,"*preso*")&gt;0,"SI","NO")</f>
        <v>NO</v>
      </c>
      <c r="AH339" s="254">
        <f>NroOrden(N339)</f>
        <v>99</v>
      </c>
      <c r="AI339" s="197"/>
      <c r="AJ339" s="48" t="str">
        <f ca="1">IF(OR(Y339="NO",Y339="LIMBO"),"IMP","NOIMP")</f>
        <v>IMP</v>
      </c>
    </row>
    <row r="340" spans="1:36" ht="39.950000000000003" hidden="1" customHeight="1">
      <c r="A340" s="202">
        <v>332</v>
      </c>
      <c r="B340" s="203" t="s">
        <v>2083</v>
      </c>
      <c r="C340" s="204" t="s">
        <v>501</v>
      </c>
      <c r="D340" s="202" t="s">
        <v>2084</v>
      </c>
      <c r="E340" s="202" t="s">
        <v>2085</v>
      </c>
      <c r="F340" s="224">
        <v>45208</v>
      </c>
      <c r="G340" s="202"/>
      <c r="H340" s="200" t="s">
        <v>1642</v>
      </c>
      <c r="I340" s="201">
        <v>45279</v>
      </c>
      <c r="J340" s="201" t="s">
        <v>396</v>
      </c>
      <c r="K340" s="200" t="s">
        <v>362</v>
      </c>
      <c r="L340" s="200" t="s">
        <v>1663</v>
      </c>
      <c r="M340" s="201" t="s">
        <v>330</v>
      </c>
      <c r="N340" s="202"/>
      <c r="O340" s="202"/>
      <c r="P340" s="202"/>
      <c r="Q340" s="202" t="s">
        <v>240</v>
      </c>
      <c r="R340" s="202"/>
      <c r="S340" s="202" t="s">
        <v>1958</v>
      </c>
      <c r="T340" s="202" t="s">
        <v>2088</v>
      </c>
      <c r="U340" s="202" t="s">
        <v>2089</v>
      </c>
      <c r="V340" s="202" t="s">
        <v>1128</v>
      </c>
      <c r="W340" s="202" t="s">
        <v>2086</v>
      </c>
      <c r="X340" s="202"/>
      <c r="Y340" s="202" t="str">
        <f ca="1">IF(I340&lt;&gt;"",IF(I340&lt;=TODAY(),IF(OR(N340="REPROGRAMADA",N340="SUSPENDIDA",N340="EXCLUSION",N340="COLEGIADO"),"NO HECHA",IF(N340=" ","SINRESULTADO","SI")),"NO"),IF(N340="EXCLUSION","NO HECHA","LIMBO"))</f>
        <v>NO</v>
      </c>
      <c r="Z340" s="202" t="str">
        <f>IF($Z$1=I340,"DIASOL", "DIANOSOL")</f>
        <v>DIANOSOL</v>
      </c>
      <c r="AA340" s="202"/>
      <c r="AB340" s="202" t="s">
        <v>2087</v>
      </c>
      <c r="AC340" s="202" t="str">
        <f>IF(H340=$M$1,"SI","NO")</f>
        <v>NO</v>
      </c>
      <c r="AD340" s="202"/>
      <c r="AE340" s="224">
        <v>45208</v>
      </c>
      <c r="AF340" s="202"/>
      <c r="AG340" s="202" t="str">
        <f>IF(COUNTIF(C340,"*preso*")&gt;0,"SI","NO")</f>
        <v>SI</v>
      </c>
      <c r="AH340" s="202">
        <f>NroOrden(N340)</f>
        <v>99</v>
      </c>
      <c r="AI340" s="202"/>
      <c r="AJ340" s="48" t="str">
        <f ca="1">IF(OR(Y340="NO",Y340="LIMBO"),"IMP","NOIMP")</f>
        <v>IMP</v>
      </c>
    </row>
    <row r="341" spans="1:36" ht="73.5" hidden="1" customHeight="1">
      <c r="A341" s="202">
        <v>275</v>
      </c>
      <c r="B341" s="203" t="s">
        <v>1804</v>
      </c>
      <c r="C341" s="204" t="s">
        <v>501</v>
      </c>
      <c r="D341" s="202" t="s">
        <v>1806</v>
      </c>
      <c r="E341" s="202" t="s">
        <v>1805</v>
      </c>
      <c r="F341" s="224">
        <v>45197</v>
      </c>
      <c r="G341" s="202" t="s">
        <v>1753</v>
      </c>
      <c r="H341" s="200" t="s">
        <v>1647</v>
      </c>
      <c r="I341" s="201">
        <v>45287</v>
      </c>
      <c r="J341" s="201" t="s">
        <v>282</v>
      </c>
      <c r="K341" s="200" t="s">
        <v>1679</v>
      </c>
      <c r="L341" s="200" t="s">
        <v>1663</v>
      </c>
      <c r="M341" s="201" t="s">
        <v>332</v>
      </c>
      <c r="N341" s="202" t="s">
        <v>111</v>
      </c>
      <c r="O341" s="202"/>
      <c r="P341" s="202"/>
      <c r="Q341" s="202"/>
      <c r="R341" s="202"/>
      <c r="S341" s="202"/>
      <c r="T341" s="202"/>
      <c r="U341" s="202"/>
      <c r="V341" s="202" t="s">
        <v>1286</v>
      </c>
      <c r="W341" s="202" t="s">
        <v>125</v>
      </c>
      <c r="X341" s="202" t="s">
        <v>111</v>
      </c>
      <c r="Y341" s="202" t="str">
        <f ca="1">IF(I341&lt;&gt;"",IF(I341&lt;=TODAY(),IF(OR(N341="REPROGRAMADA",N341="SUSPENDIDA",N341="EXCLUSION",N341="COLEGIADO"),"NO HECHA",IF(N341=" ","SINRESULTADO","SI")),"NO"),IF(N341="EXCLUSION","NO HECHA","LIMBO"))</f>
        <v>NO</v>
      </c>
      <c r="Z341" s="202" t="str">
        <f>IF($Z$1=I341,"DIASOL", "DIANOSOL")</f>
        <v>DIANOSOL</v>
      </c>
      <c r="AA341" s="202" t="s">
        <v>1130</v>
      </c>
      <c r="AB341" s="202" t="s">
        <v>1807</v>
      </c>
      <c r="AC341" s="202" t="str">
        <f>IF(H341=$M$1,"SI","NO")</f>
        <v>NO</v>
      </c>
      <c r="AD341" s="202"/>
      <c r="AE341" s="202" t="s">
        <v>152</v>
      </c>
      <c r="AF341" s="202"/>
      <c r="AG341" s="202" t="str">
        <f>IF(COUNTIF(C341,"*preso*")&gt;0,"SI","NO")</f>
        <v>SI</v>
      </c>
      <c r="AH341" s="254">
        <f>NroOrden(N341)</f>
        <v>99</v>
      </c>
      <c r="AI341" s="202"/>
      <c r="AJ341" s="48" t="str">
        <f ca="1">IF(OR(Y341="NO",Y341="LIMBO"),"IMP","NOIMP")</f>
        <v>IMP</v>
      </c>
    </row>
    <row r="342" spans="1:36" ht="39.950000000000003" hidden="1" customHeight="1">
      <c r="A342" s="84">
        <v>186</v>
      </c>
      <c r="B342" s="150" t="s">
        <v>1354</v>
      </c>
      <c r="C342" s="215"/>
      <c r="D342" s="84" t="s">
        <v>1355</v>
      </c>
      <c r="E342" s="152" t="s">
        <v>1356</v>
      </c>
      <c r="F342" s="168">
        <v>45152</v>
      </c>
      <c r="G342" s="149" t="s">
        <v>1357</v>
      </c>
      <c r="H342" s="175" t="s">
        <v>1643</v>
      </c>
      <c r="I342" s="173">
        <v>45287</v>
      </c>
      <c r="J342" s="173" t="s">
        <v>1046</v>
      </c>
      <c r="K342" s="175" t="s">
        <v>1679</v>
      </c>
      <c r="L342" s="174" t="s">
        <v>2009</v>
      </c>
      <c r="M342" s="173" t="s">
        <v>332</v>
      </c>
      <c r="N342" s="149" t="s">
        <v>111</v>
      </c>
      <c r="O342" s="149"/>
      <c r="P342" s="149"/>
      <c r="Q342" s="149" t="s">
        <v>111</v>
      </c>
      <c r="R342" s="196"/>
      <c r="S342" s="149"/>
      <c r="T342" s="149"/>
      <c r="U342" s="149"/>
      <c r="V342" s="149" t="s">
        <v>186</v>
      </c>
      <c r="W342" s="149" t="s">
        <v>202</v>
      </c>
      <c r="X342" s="149" t="s">
        <v>111</v>
      </c>
      <c r="Y342" s="160" t="str">
        <f ca="1">IF(I342&lt;&gt;"",IF(I342&lt;=TODAY(),IF(OR(N342="REPROGRAMADA",N342="SUSPENDIDA",N342="EXCLUSION",N342="COLEGIADO"),"NO HECHA",IF(N342=" ","SINRESULTADO","SI")),"NO"),IF(N342="EXCLUSION","NO HECHA","LIMBO"))</f>
        <v>NO</v>
      </c>
      <c r="Z342" s="149" t="str">
        <f>IF($Z$1=I342,"DIASOL", "DIANOSOL")</f>
        <v>DIANOSOL</v>
      </c>
      <c r="AA342" s="149" t="s">
        <v>240</v>
      </c>
      <c r="AB342" s="167" t="s">
        <v>1358</v>
      </c>
      <c r="AC342" s="149" t="str">
        <f>IF(H342=$M$1,"SI","NO")</f>
        <v>NO</v>
      </c>
      <c r="AD342" s="149"/>
      <c r="AE342" s="149"/>
      <c r="AF342" s="149"/>
      <c r="AG342" s="165" t="str">
        <f>IF(COUNTIF(C342,"*preso*")&gt;0,"SI","NO")</f>
        <v>NO</v>
      </c>
      <c r="AH342" s="254">
        <f>NroOrden(N342)</f>
        <v>99</v>
      </c>
      <c r="AI342" s="149"/>
      <c r="AJ342" s="48" t="str">
        <f ca="1">IF(OR(Y342="NO",Y342="LIMBO"),"IMP","NOIMP")</f>
        <v>IMP</v>
      </c>
    </row>
    <row r="343" spans="1:36" ht="59.25" hidden="1" customHeight="1">
      <c r="A343" s="197">
        <v>328</v>
      </c>
      <c r="B343" s="198" t="s">
        <v>2060</v>
      </c>
      <c r="C343" s="199"/>
      <c r="D343" s="197" t="s">
        <v>2061</v>
      </c>
      <c r="E343" s="197" t="s">
        <v>2062</v>
      </c>
      <c r="F343" s="321">
        <v>45205</v>
      </c>
      <c r="G343" s="197"/>
      <c r="H343" s="200" t="s">
        <v>1649</v>
      </c>
      <c r="I343" s="201">
        <v>45288</v>
      </c>
      <c r="J343" s="201" t="s">
        <v>282</v>
      </c>
      <c r="K343" s="200" t="s">
        <v>1679</v>
      </c>
      <c r="L343" s="200" t="s">
        <v>1663</v>
      </c>
      <c r="M343" s="201" t="s">
        <v>332</v>
      </c>
      <c r="N343" s="197"/>
      <c r="O343" s="197"/>
      <c r="P343" s="197"/>
      <c r="Q343" s="197" t="s">
        <v>240</v>
      </c>
      <c r="R343" s="197"/>
      <c r="S343" s="197"/>
      <c r="T343" s="197"/>
      <c r="U343" s="197"/>
      <c r="V343" s="197" t="s">
        <v>1286</v>
      </c>
      <c r="W343" s="197" t="s">
        <v>180</v>
      </c>
      <c r="X343" s="197"/>
      <c r="Y343" s="197" t="str">
        <f ca="1">IF(I343&lt;&gt;"",IF(I343&lt;=TODAY(),IF(OR(N343="REPROGRAMADA",N343="SUSPENDIDA",N343="EXCLUSION",N343="COLEGIADO"),"NO HECHA",IF(N343=" ","SINRESULTADO","SI")),"NO"),IF(N343="EXCLUSION","NO HECHA","LIMBO"))</f>
        <v>NO</v>
      </c>
      <c r="Z343" s="197" t="str">
        <f>IF($Z$1=I343,"DIASOL", "DIANOSOL")</f>
        <v>DIANOSOL</v>
      </c>
      <c r="AA343" s="197"/>
      <c r="AB343" s="197" t="s">
        <v>2063</v>
      </c>
      <c r="AC343" s="197" t="str">
        <f>IF(H343=$M$1,"SI","NO")</f>
        <v>NO</v>
      </c>
      <c r="AD343" s="197"/>
      <c r="AE343" s="197"/>
      <c r="AF343" s="197"/>
      <c r="AG343" s="197" t="str">
        <f>IF(COUNTIF(C343,"*preso*")&gt;0,"SI","NO")</f>
        <v>NO</v>
      </c>
      <c r="AH343" s="197">
        <f>NroOrden(N343)</f>
        <v>99</v>
      </c>
      <c r="AI343" s="197"/>
      <c r="AJ343" s="48" t="str">
        <f ca="1">IF(OR(Y343="NO",Y343="LIMBO"),"IMP","NOIMP")</f>
        <v>IMP</v>
      </c>
    </row>
    <row r="344" spans="1:36" ht="39.950000000000003" hidden="1" customHeight="1">
      <c r="A344" s="202">
        <v>377</v>
      </c>
      <c r="B344" s="203" t="s">
        <v>1236</v>
      </c>
      <c r="C344" s="204" t="s">
        <v>501</v>
      </c>
      <c r="D344" s="202" t="s">
        <v>1237</v>
      </c>
      <c r="E344" s="202" t="s">
        <v>1238</v>
      </c>
      <c r="F344" s="224">
        <v>45140</v>
      </c>
      <c r="G344" s="202"/>
      <c r="H344" s="200" t="s">
        <v>1642</v>
      </c>
      <c r="I344" s="201">
        <v>45288</v>
      </c>
      <c r="J344" s="201" t="s">
        <v>1182</v>
      </c>
      <c r="K344" s="200" t="s">
        <v>1679</v>
      </c>
      <c r="L344" s="200" t="s">
        <v>1663</v>
      </c>
      <c r="M344" s="201" t="s">
        <v>332</v>
      </c>
      <c r="N344" s="202"/>
      <c r="O344" s="202"/>
      <c r="P344" s="202"/>
      <c r="Q344" s="202" t="s">
        <v>240</v>
      </c>
      <c r="R344" s="202"/>
      <c r="S344" s="202"/>
      <c r="T344" s="202"/>
      <c r="U344" s="202"/>
      <c r="V344" s="202" t="s">
        <v>340</v>
      </c>
      <c r="W344" s="202" t="s">
        <v>1239</v>
      </c>
      <c r="X344" s="202" t="s">
        <v>1240</v>
      </c>
      <c r="Y344" s="202" t="str">
        <f ca="1">IF(I344&lt;&gt;"",IF(I344&lt;=TODAY(),IF(OR(N344="REPROGRAMADA",N344="SUSPENDIDA",N344="EXCLUSION",N344="COLEGIADO"),"NO HECHA",IF(N344=" ","SINRESULTADO","SI")),"NO"),IF(N344="EXCLUSION","NO HECHA","LIMBO"))</f>
        <v>NO</v>
      </c>
      <c r="Z344" s="202" t="str">
        <f>IF($Z$1=I344,"DIASOL", "DIANOSOL")</f>
        <v>DIANOSOL</v>
      </c>
      <c r="AA344" s="202" t="s">
        <v>240</v>
      </c>
      <c r="AB344" s="224"/>
      <c r="AC344" s="202" t="str">
        <f>IF(H344=$M$1,"SI","NO")</f>
        <v>NO</v>
      </c>
      <c r="AD344" s="202"/>
      <c r="AE344" s="202"/>
      <c r="AF344" s="202"/>
      <c r="AG344" s="202" t="str">
        <f>IF(COUNTIF(C344,"*preso*")&gt;0,"SI","NO")</f>
        <v>SI</v>
      </c>
      <c r="AH344" s="202">
        <f>NroOrden(N344)</f>
        <v>99</v>
      </c>
      <c r="AI344" s="202" t="s">
        <v>2296</v>
      </c>
      <c r="AJ344" s="290" t="str">
        <f ca="1">IF(OR(Y344="NO",Y344="LIMBO"),"IMP","NOIMP")</f>
        <v>IMP</v>
      </c>
    </row>
    <row r="345" spans="1:36" ht="39.950000000000003" hidden="1" customHeight="1">
      <c r="A345" s="197">
        <v>299</v>
      </c>
      <c r="B345" s="198" t="s">
        <v>1913</v>
      </c>
      <c r="C345" s="199"/>
      <c r="D345" s="197" t="s">
        <v>1914</v>
      </c>
      <c r="E345" s="197" t="s">
        <v>1045</v>
      </c>
      <c r="F345" s="321">
        <v>45197</v>
      </c>
      <c r="G345" s="197" t="s">
        <v>1848</v>
      </c>
      <c r="H345" s="200" t="s">
        <v>1645</v>
      </c>
      <c r="I345" s="201">
        <v>45289</v>
      </c>
      <c r="J345" s="201" t="s">
        <v>396</v>
      </c>
      <c r="K345" s="200" t="s">
        <v>1667</v>
      </c>
      <c r="L345" s="200" t="s">
        <v>1663</v>
      </c>
      <c r="M345" s="201" t="s">
        <v>1818</v>
      </c>
      <c r="N345" s="197" t="s">
        <v>111</v>
      </c>
      <c r="O345" s="197"/>
      <c r="P345" s="197"/>
      <c r="Q345" s="197"/>
      <c r="R345" s="197"/>
      <c r="S345" s="197"/>
      <c r="T345" s="197"/>
      <c r="U345" s="197"/>
      <c r="V345" s="197" t="s">
        <v>344</v>
      </c>
      <c r="W345" s="197" t="s">
        <v>135</v>
      </c>
      <c r="X345" s="197" t="s">
        <v>111</v>
      </c>
      <c r="Y345" s="197" t="str">
        <f ca="1">IF(I345&lt;&gt;"",IF(I345&lt;=TODAY(),IF(OR(N345="REPROGRAMADA",N345="SUSPENDIDA",N345="EXCLUSION",N345="COLEGIADO"),"NO HECHA",IF(N345=" ","SINRESULTADO","SI")),"NO"),IF(N345="EXCLUSION","NO HECHA","LIMBO"))</f>
        <v>NO</v>
      </c>
      <c r="Z345" s="197" t="str">
        <f>IF($Z$1=I345,"DIASOL", "DIANOSOL")</f>
        <v>DIANOSOL</v>
      </c>
      <c r="AA345" s="197" t="s">
        <v>240</v>
      </c>
      <c r="AB345" s="197" t="s">
        <v>1915</v>
      </c>
      <c r="AC345" s="197" t="str">
        <f>IF(H345=$M$1,"SI","NO")</f>
        <v>NO</v>
      </c>
      <c r="AD345" s="197"/>
      <c r="AE345" s="321">
        <v>45197</v>
      </c>
      <c r="AF345" s="197"/>
      <c r="AG345" s="197" t="str">
        <f>IF(COUNTIF(C345,"*preso*")&gt;0,"SI","NO")</f>
        <v>NO</v>
      </c>
      <c r="AH345" s="254">
        <f>NroOrden(N345)</f>
        <v>99</v>
      </c>
      <c r="AI345" s="197"/>
      <c r="AJ345" s="48" t="str">
        <f ca="1">IF(OR(Y345="NO",Y345="LIMBO"),"IMP","NOIMP")</f>
        <v>IMP</v>
      </c>
    </row>
    <row r="346" spans="1:36" ht="39.950000000000003" hidden="1" customHeight="1">
      <c r="A346" s="84">
        <v>130</v>
      </c>
      <c r="B346" s="150" t="s">
        <v>1032</v>
      </c>
      <c r="C346" s="215"/>
      <c r="D346" s="149" t="s">
        <v>1033</v>
      </c>
      <c r="E346" s="152" t="s">
        <v>1034</v>
      </c>
      <c r="F346" s="84"/>
      <c r="G346" s="149" t="s">
        <v>1010</v>
      </c>
      <c r="H346" s="149" t="s">
        <v>111</v>
      </c>
      <c r="I346" s="158"/>
      <c r="J346" s="158"/>
      <c r="K346" s="84" t="s">
        <v>111</v>
      </c>
      <c r="L346" s="196"/>
      <c r="M346" s="150" t="s">
        <v>330</v>
      </c>
      <c r="N346" s="149" t="s">
        <v>111</v>
      </c>
      <c r="O346" s="149"/>
      <c r="P346" s="84"/>
      <c r="Q346" s="84" t="s">
        <v>111</v>
      </c>
      <c r="R346" s="196"/>
      <c r="S346" s="149"/>
      <c r="T346" s="84"/>
      <c r="U346" s="84"/>
      <c r="V346" s="149" t="s">
        <v>347</v>
      </c>
      <c r="W346" s="149" t="s">
        <v>1035</v>
      </c>
      <c r="X346" s="149" t="s">
        <v>1036</v>
      </c>
      <c r="Y346" s="160" t="str">
        <f ca="1">IF(I346&lt;&gt;"",IF(I346&lt;=TODAY(),IF(OR(N346="REPROGRAMADA",N346="SUSPENDIDA",N346="EXCLUSION",N346="COLEGIADO"),"NO HECHA",IF(N346=" ","SINRESULTADO","SI")),"NO"),IF(N346="EXCLUSION","NO HECHA","LIMBO"))</f>
        <v>LIMBO</v>
      </c>
      <c r="Z346" s="149" t="str">
        <f>IF($Z$1=I346,"DIASOL", "DIANOSOL")</f>
        <v>DIANOSOL</v>
      </c>
      <c r="AA346" s="149" t="s">
        <v>240</v>
      </c>
      <c r="AB346" s="152" t="s">
        <v>1037</v>
      </c>
      <c r="AC346" s="151" t="str">
        <f>IF(H346=$M$1,"SI","NO")</f>
        <v>NO</v>
      </c>
      <c r="AD346" s="151"/>
      <c r="AE346" s="84"/>
      <c r="AF346" s="84"/>
      <c r="AG346" s="84" t="str">
        <f>IF(COUNTIF(C346,"*preso*")&gt;0,"SI","NO")</f>
        <v>NO</v>
      </c>
      <c r="AH346" s="254">
        <f>NroOrden(N346)</f>
        <v>99</v>
      </c>
      <c r="AI346" s="84"/>
      <c r="AJ346" s="48" t="str">
        <f ca="1">IF(OR(Y346="NO",Y346="LIMBO"),"IMP","NOIMP")</f>
        <v>IMP</v>
      </c>
    </row>
    <row r="347" spans="1:36" ht="39.950000000000003" hidden="1" customHeight="1">
      <c r="A347" s="202">
        <v>158</v>
      </c>
      <c r="B347" s="203" t="s">
        <v>1960</v>
      </c>
      <c r="C347" s="204" t="s">
        <v>501</v>
      </c>
      <c r="D347" s="202" t="s">
        <v>1961</v>
      </c>
      <c r="E347" s="202" t="s">
        <v>1962</v>
      </c>
      <c r="F347" s="224">
        <v>45204</v>
      </c>
      <c r="G347" s="202"/>
      <c r="H347" s="202" t="s">
        <v>111</v>
      </c>
      <c r="I347" s="203"/>
      <c r="J347" s="203"/>
      <c r="K347" s="202" t="s">
        <v>111</v>
      </c>
      <c r="L347" s="202" t="s">
        <v>111</v>
      </c>
      <c r="M347" s="203" t="s">
        <v>330</v>
      </c>
      <c r="N347" s="202" t="s">
        <v>111</v>
      </c>
      <c r="O347" s="202"/>
      <c r="P347" s="202"/>
      <c r="Q347" s="202"/>
      <c r="R347" s="202"/>
      <c r="S347" s="202" t="s">
        <v>1958</v>
      </c>
      <c r="T347" s="202" t="s">
        <v>1965</v>
      </c>
      <c r="U347" s="202"/>
      <c r="V347" s="202" t="s">
        <v>1963</v>
      </c>
      <c r="W347" s="202" t="s">
        <v>535</v>
      </c>
      <c r="X347" s="202" t="s">
        <v>111</v>
      </c>
      <c r="Y347" s="202" t="str">
        <f ca="1">IF(I347&lt;&gt;"",IF(I347&lt;=TODAY(),IF(OR(N347="REPROGRAMADA",N347="SUSPENDIDA",N347="EXCLUSION",N347="COLEGIADO"),"NO HECHA",IF(N347=" ","SINRESULTADO","SI")),"NO"),IF(N347="EXCLUSION","NO HECHA","LIMBO"))</f>
        <v>LIMBO</v>
      </c>
      <c r="Z347" s="202" t="str">
        <f>IF($Z$1=I347,"DIASOL", "DIANOSOL")</f>
        <v>DIANOSOL</v>
      </c>
      <c r="AA347" s="202" t="s">
        <v>240</v>
      </c>
      <c r="AB347" s="202" t="s">
        <v>1964</v>
      </c>
      <c r="AC347" s="202" t="str">
        <f>IF(H347=$M$1,"SI","NO")</f>
        <v>NO</v>
      </c>
      <c r="AD347" s="202"/>
      <c r="AE347" s="224">
        <v>45167</v>
      </c>
      <c r="AF347" s="202"/>
      <c r="AG347" s="202" t="str">
        <f>IF(COUNTIF(C347,"*preso*")&gt;0,"SI","NO")</f>
        <v>SI</v>
      </c>
      <c r="AH347" s="254">
        <f>NroOrden(N347)</f>
        <v>99</v>
      </c>
      <c r="AI347" s="202"/>
      <c r="AJ347" s="276" t="str">
        <f ca="1">IF(OR(Y347="NO",Y347="LIMBO"),"IMP","NOIMP")</f>
        <v>IMP</v>
      </c>
    </row>
    <row r="348" spans="1:36" ht="39.950000000000003" hidden="1" customHeight="1">
      <c r="A348" s="84">
        <v>161</v>
      </c>
      <c r="B348" s="150" t="s">
        <v>1188</v>
      </c>
      <c r="C348" s="215"/>
      <c r="D348" s="84" t="s">
        <v>1189</v>
      </c>
      <c r="E348" s="152" t="s">
        <v>1190</v>
      </c>
      <c r="F348" s="188">
        <v>45132</v>
      </c>
      <c r="G348" s="149" t="s">
        <v>1822</v>
      </c>
      <c r="H348" s="157"/>
      <c r="I348" s="247"/>
      <c r="J348" s="248"/>
      <c r="K348" s="249"/>
      <c r="L348" s="196"/>
      <c r="M348" s="248" t="s">
        <v>333</v>
      </c>
      <c r="N348" s="149" t="s">
        <v>111</v>
      </c>
      <c r="O348" s="149"/>
      <c r="P348" s="84"/>
      <c r="Q348" s="84" t="s">
        <v>111</v>
      </c>
      <c r="R348" s="196"/>
      <c r="S348" s="149"/>
      <c r="T348" s="84"/>
      <c r="U348" s="84"/>
      <c r="V348" s="149" t="s">
        <v>340</v>
      </c>
      <c r="W348" s="149" t="s">
        <v>140</v>
      </c>
      <c r="X348" s="149" t="s">
        <v>111</v>
      </c>
      <c r="Y348" s="160" t="str">
        <f ca="1">IF(I348&lt;&gt;"",IF(I348&lt;=TODAY(),IF(OR(N348="REPROGRAMADA",N348="SUSPENDIDA",N348="EXCLUSION",N348="COLEGIADO"),"NO HECHA",IF(N348=" ","SINRESULTADO","SI")),"NO"),IF(N348="EXCLUSION","NO HECHA","LIMBO"))</f>
        <v>LIMBO</v>
      </c>
      <c r="Z348" s="149" t="str">
        <f>IF($Z$1=I348,"DIASOL", "DIANOSOL")</f>
        <v>DIANOSOL</v>
      </c>
      <c r="AA348" s="149" t="s">
        <v>737</v>
      </c>
      <c r="AB348" s="152" t="s">
        <v>1191</v>
      </c>
      <c r="AC348" s="151" t="str">
        <f>IF(H348=$M$1,"SI","NO")</f>
        <v>NO</v>
      </c>
      <c r="AD348" s="151"/>
      <c r="AE348" s="84"/>
      <c r="AF348" s="84"/>
      <c r="AG348" s="84" t="str">
        <f>IF(COUNTIF(C348,"*preso*")&gt;0,"SI","NO")</f>
        <v>NO</v>
      </c>
      <c r="AH348" s="254">
        <f>NroOrden(N348)</f>
        <v>99</v>
      </c>
      <c r="AI348" s="84"/>
      <c r="AJ348" s="276" t="str">
        <f ca="1">IF(OR(Y348="NO",Y348="LIMBO"),"IMP","NOIMP")</f>
        <v>IMP</v>
      </c>
    </row>
    <row r="349" spans="1:36" ht="39.950000000000003" hidden="1" customHeight="1">
      <c r="A349" s="84">
        <v>192</v>
      </c>
      <c r="B349" s="150" t="s">
        <v>1380</v>
      </c>
      <c r="C349" s="215"/>
      <c r="D349" s="84" t="s">
        <v>1381</v>
      </c>
      <c r="E349" s="152" t="s">
        <v>1382</v>
      </c>
      <c r="F349" s="188">
        <v>45149</v>
      </c>
      <c r="G349" s="149" t="s">
        <v>1349</v>
      </c>
      <c r="H349" s="149" t="s">
        <v>111</v>
      </c>
      <c r="I349" s="158"/>
      <c r="J349" s="158"/>
      <c r="K349" s="149" t="s">
        <v>111</v>
      </c>
      <c r="L349" s="196"/>
      <c r="M349" s="150" t="s">
        <v>330</v>
      </c>
      <c r="N349" s="149" t="s">
        <v>111</v>
      </c>
      <c r="O349" s="149"/>
      <c r="P349" s="151" t="s">
        <v>1638</v>
      </c>
      <c r="Q349" s="149" t="s">
        <v>111</v>
      </c>
      <c r="R349" s="196"/>
      <c r="S349" s="149"/>
      <c r="T349" s="84"/>
      <c r="U349" s="84"/>
      <c r="V349" s="149" t="s">
        <v>184</v>
      </c>
      <c r="W349" s="149" t="s">
        <v>134</v>
      </c>
      <c r="X349" s="149" t="s">
        <v>111</v>
      </c>
      <c r="Y349" s="160" t="str">
        <f ca="1">IF(I349&lt;&gt;"",IF(I349&lt;=TODAY(),IF(OR(N349="REPROGRAMADA",N349="SUSPENDIDA",N349="EXCLUSION",N349="COLEGIADO"),"NO HECHA",IF(N349=" ","SINRESULTADO","SI")),"NO"),IF(N349="EXCLUSION","NO HECHA","LIMBO"))</f>
        <v>LIMBO</v>
      </c>
      <c r="Z349" s="149" t="str">
        <f>IF($Z$1=I349,"DIASOL", "DIANOSOL")</f>
        <v>DIANOSOL</v>
      </c>
      <c r="AA349" s="149" t="s">
        <v>240</v>
      </c>
      <c r="AB349" s="167" t="s">
        <v>1383</v>
      </c>
      <c r="AC349" s="149" t="str">
        <f>IF(H349=$M$1,"SI","NO")</f>
        <v>NO</v>
      </c>
      <c r="AD349" s="151"/>
      <c r="AE349" s="84"/>
      <c r="AF349" s="84"/>
      <c r="AG349" s="149" t="str">
        <f>IF(COUNTIF(C349,"*preso*")&gt;0,"SI","NO")</f>
        <v>NO</v>
      </c>
      <c r="AH349" s="254">
        <f>NroOrden(N349)</f>
        <v>99</v>
      </c>
      <c r="AI349" s="84"/>
      <c r="AJ349" s="276" t="str">
        <f ca="1">IF(OR(Y349="NO",Y349="LIMBO"),"IMP","NOIMP")</f>
        <v>IMP</v>
      </c>
    </row>
    <row r="350" spans="1:36" ht="39.950000000000003" hidden="1" customHeight="1">
      <c r="A350" s="84">
        <v>205</v>
      </c>
      <c r="B350" s="158" t="s">
        <v>746</v>
      </c>
      <c r="C350" s="215"/>
      <c r="D350" s="84" t="s">
        <v>747</v>
      </c>
      <c r="E350" s="84" t="s">
        <v>748</v>
      </c>
      <c r="F350" s="188">
        <v>45091</v>
      </c>
      <c r="G350" s="84" t="s">
        <v>673</v>
      </c>
      <c r="H350" s="149"/>
      <c r="I350" s="158"/>
      <c r="J350" s="158"/>
      <c r="K350" s="84" t="s">
        <v>111</v>
      </c>
      <c r="L350" s="196"/>
      <c r="M350" s="150" t="s">
        <v>328</v>
      </c>
      <c r="N350" s="149" t="s">
        <v>111</v>
      </c>
      <c r="O350" s="149"/>
      <c r="P350" s="84"/>
      <c r="Q350" s="84" t="s">
        <v>111</v>
      </c>
      <c r="R350" s="196"/>
      <c r="S350" s="149"/>
      <c r="T350" s="84"/>
      <c r="U350" s="84"/>
      <c r="V350" s="149" t="s">
        <v>344</v>
      </c>
      <c r="W350" s="149" t="s">
        <v>535</v>
      </c>
      <c r="X350" s="149" t="s">
        <v>111</v>
      </c>
      <c r="Y350" s="160" t="str">
        <f ca="1">IF(I350&lt;&gt;"",IF(I350&lt;=TODAY(),IF(OR(N350="REPROGRAMADA",N350="SUSPENDIDA",N350="EXCLUSION",N350="COLEGIADO"),"NO HECHA",IF(N350=" ","SINRESULTADO","SI")),"NO"),IF(N350="EXCLUSION","NO HECHA","LIMBO"))</f>
        <v>LIMBO</v>
      </c>
      <c r="Z350" s="149" t="str">
        <f>IF($Z$1=I350,"DIASOL", "DIANOSOL")</f>
        <v>DIANOSOL</v>
      </c>
      <c r="AA350" s="149" t="s">
        <v>240</v>
      </c>
      <c r="AB350" s="149" t="s">
        <v>749</v>
      </c>
      <c r="AC350" s="151" t="str">
        <f>IF(H350=$M$1,"SI","NO")</f>
        <v>NO</v>
      </c>
      <c r="AD350" s="151"/>
      <c r="AE350" s="84"/>
      <c r="AF350" s="84"/>
      <c r="AG350" s="84" t="str">
        <f>IF(COUNTIF(C350,"*preso*")&gt;0,"SI","NO")</f>
        <v>NO</v>
      </c>
      <c r="AH350" s="254">
        <f>NroOrden(N350)</f>
        <v>99</v>
      </c>
      <c r="AI350" s="84"/>
      <c r="AJ350" s="276" t="str">
        <f ca="1">IF(OR(Y350="NO",Y350="LIMBO"),"IMP","NOIMP")</f>
        <v>IMP</v>
      </c>
    </row>
    <row r="351" spans="1:36" ht="39.950000000000003" hidden="1" customHeight="1">
      <c r="A351" s="197">
        <v>223</v>
      </c>
      <c r="B351" s="198" t="s">
        <v>1560</v>
      </c>
      <c r="C351" s="199"/>
      <c r="D351" s="197" t="s">
        <v>1561</v>
      </c>
      <c r="E351" s="197" t="s">
        <v>1562</v>
      </c>
      <c r="F351" s="289">
        <v>45169</v>
      </c>
      <c r="G351" s="197" t="s">
        <v>1544</v>
      </c>
      <c r="H351" s="197" t="s">
        <v>111</v>
      </c>
      <c r="I351" s="198"/>
      <c r="J351" s="198"/>
      <c r="K351" s="197" t="s">
        <v>111</v>
      </c>
      <c r="L351" s="196"/>
      <c r="M351" s="198" t="s">
        <v>333</v>
      </c>
      <c r="N351" s="197" t="s">
        <v>111</v>
      </c>
      <c r="O351" s="197"/>
      <c r="P351" s="197"/>
      <c r="Q351" s="197" t="s">
        <v>111</v>
      </c>
      <c r="R351" s="197"/>
      <c r="S351" s="197"/>
      <c r="T351" s="197"/>
      <c r="U351" s="197"/>
      <c r="V351" s="197" t="s">
        <v>185</v>
      </c>
      <c r="W351" s="197" t="s">
        <v>134</v>
      </c>
      <c r="X351" s="197" t="s">
        <v>111</v>
      </c>
      <c r="Y351" s="197" t="str">
        <f ca="1">IF(I351&lt;&gt;"",IF(I351&lt;=TODAY(),IF(OR(N351="REPROGRAMADA",N351="SUSPENDIDA",N351="EXCLUSION",N351="COLEGIADO"),"NO HECHA",IF(N351=" ","SINRESULTADO","SI")),"NO"),IF(N351="EXCLUSION","NO HECHA","LIMBO"))</f>
        <v>LIMBO</v>
      </c>
      <c r="Z351" s="197" t="str">
        <f>IF($Z$1=I351,"DIASOL", "DIANOSOL")</f>
        <v>DIANOSOL</v>
      </c>
      <c r="AA351" s="197" t="s">
        <v>240</v>
      </c>
      <c r="AB351" s="197" t="s">
        <v>1563</v>
      </c>
      <c r="AC351" s="197" t="str">
        <f>IF(H351=$M$1,"SI","NO")</f>
        <v>NO</v>
      </c>
      <c r="AD351" s="197"/>
      <c r="AE351" s="289">
        <v>45162</v>
      </c>
      <c r="AF351" s="197"/>
      <c r="AG351" s="197" t="str">
        <f>IF(COUNTIF(C351,"*preso*")&gt;0,"SI","NO")</f>
        <v>NO</v>
      </c>
      <c r="AH351" s="254">
        <f>NroOrden(N351)</f>
        <v>99</v>
      </c>
      <c r="AI351" s="197"/>
      <c r="AJ351" s="282" t="str">
        <f ca="1">IF(OR(Y351="NO",Y351="LIMBO"),"IMP","NOIMP")</f>
        <v>IMP</v>
      </c>
    </row>
    <row r="352" spans="1:36" ht="39.950000000000003" hidden="1" customHeight="1">
      <c r="A352" s="197">
        <v>255</v>
      </c>
      <c r="B352" s="198" t="s">
        <v>1716</v>
      </c>
      <c r="C352" s="199"/>
      <c r="D352" s="197" t="s">
        <v>1717</v>
      </c>
      <c r="E352" s="197" t="s">
        <v>1718</v>
      </c>
      <c r="F352" s="321">
        <v>45188</v>
      </c>
      <c r="G352" s="197" t="s">
        <v>1726</v>
      </c>
      <c r="H352" s="197" t="s">
        <v>111</v>
      </c>
      <c r="I352" s="198"/>
      <c r="J352" s="198"/>
      <c r="K352" s="197" t="s">
        <v>111</v>
      </c>
      <c r="L352" s="197" t="s">
        <v>111</v>
      </c>
      <c r="M352" s="198" t="s">
        <v>333</v>
      </c>
      <c r="N352" s="197" t="s">
        <v>111</v>
      </c>
      <c r="O352" s="197"/>
      <c r="P352" s="197"/>
      <c r="Q352" s="197"/>
      <c r="R352" s="197"/>
      <c r="S352" s="197"/>
      <c r="T352" s="197"/>
      <c r="U352" s="197"/>
      <c r="V352" s="197" t="s">
        <v>345</v>
      </c>
      <c r="W352" s="197" t="s">
        <v>117</v>
      </c>
      <c r="X352" s="197" t="s">
        <v>111</v>
      </c>
      <c r="Y352" s="197" t="str">
        <f ca="1">IF(I352&lt;&gt;"",IF(I352&lt;=TODAY(),IF(OR(N352="REPROGRAMADA",N352="SUSPENDIDA",N352="EXCLUSION",N352="COLEGIADO"),"NO HECHA",IF(N352=" ","SINRESULTADO","SI")),"NO"),IF(N352="EXCLUSION","NO HECHA","LIMBO"))</f>
        <v>LIMBO</v>
      </c>
      <c r="Z352" s="197" t="str">
        <f>IF($Z$1=I352,"DIASOL", "DIANOSOL")</f>
        <v>DIANOSOL</v>
      </c>
      <c r="AA352" s="197" t="s">
        <v>240</v>
      </c>
      <c r="AB352" s="197" t="s">
        <v>1721</v>
      </c>
      <c r="AC352" s="197" t="str">
        <f>IF(H352=$M$1,"SI","NO")</f>
        <v>NO</v>
      </c>
      <c r="AD352" s="197"/>
      <c r="AE352" s="321">
        <v>45173</v>
      </c>
      <c r="AF352" s="197"/>
      <c r="AG352" s="197" t="str">
        <f>IF(COUNTIF(C352,"*preso*")&gt;0,"SI","NO")</f>
        <v>NO</v>
      </c>
      <c r="AH352" s="254">
        <f>NroOrden(N352)</f>
        <v>99</v>
      </c>
      <c r="AI352" s="197"/>
      <c r="AJ352" s="152" t="str">
        <f ca="1">IF(OR(Y352="NO",Y352="LIMBO"),"IMP","NOIMP")</f>
        <v>IMP</v>
      </c>
    </row>
    <row r="353" spans="1:36" ht="57.75" hidden="1" customHeight="1">
      <c r="A353" s="197">
        <v>256</v>
      </c>
      <c r="B353" s="198" t="s">
        <v>1556</v>
      </c>
      <c r="C353" s="199"/>
      <c r="D353" s="197" t="s">
        <v>1557</v>
      </c>
      <c r="E353" s="197" t="s">
        <v>1722</v>
      </c>
      <c r="F353" s="321">
        <v>45169</v>
      </c>
      <c r="G353" s="197" t="s">
        <v>1725</v>
      </c>
      <c r="H353" s="197" t="s">
        <v>111</v>
      </c>
      <c r="I353" s="198"/>
      <c r="J353" s="198"/>
      <c r="K353" s="197" t="s">
        <v>111</v>
      </c>
      <c r="L353" s="197" t="s">
        <v>111</v>
      </c>
      <c r="M353" s="198" t="s">
        <v>331</v>
      </c>
      <c r="N353" s="197" t="s">
        <v>111</v>
      </c>
      <c r="O353" s="197"/>
      <c r="P353" s="197"/>
      <c r="Q353" s="197"/>
      <c r="R353" s="197"/>
      <c r="S353" s="197"/>
      <c r="T353" s="197"/>
      <c r="U353" s="197"/>
      <c r="V353" s="197" t="s">
        <v>343</v>
      </c>
      <c r="W353" s="197" t="s">
        <v>269</v>
      </c>
      <c r="X353" s="197" t="s">
        <v>111</v>
      </c>
      <c r="Y353" s="197" t="str">
        <f ca="1">IF(I353&lt;&gt;"",IF(I353&lt;=TODAY(),IF(OR(N353="REPROGRAMADA",N353="SUSPENDIDA",N353="EXCLUSION",N353="COLEGIADO"),"NO HECHA",IF(N353=" ","SINRESULTADO","SI")),"NO"),IF(N353="EXCLUSION","NO HECHA","LIMBO"))</f>
        <v>LIMBO</v>
      </c>
      <c r="Z353" s="197" t="str">
        <f>IF($Z$1=I353,"DIASOL", "DIANOSOL")</f>
        <v>DIANOSOL</v>
      </c>
      <c r="AA353" s="197" t="s">
        <v>1724</v>
      </c>
      <c r="AB353" s="197" t="s">
        <v>1723</v>
      </c>
      <c r="AC353" s="197" t="str">
        <f>IF(H353=$M$1,"SI","NO")</f>
        <v>NO</v>
      </c>
      <c r="AD353" s="197"/>
      <c r="AE353" s="321">
        <v>45163</v>
      </c>
      <c r="AF353" s="197"/>
      <c r="AG353" s="197" t="str">
        <f>IF(COUNTIF(C353,"*preso*")&gt;0,"SI","NO")</f>
        <v>NO</v>
      </c>
      <c r="AH353" s="254">
        <f>NroOrden(N353)</f>
        <v>99</v>
      </c>
      <c r="AI353" s="197"/>
      <c r="AJ353" s="152" t="str">
        <f ca="1">IF(OR(Y353="NO",Y353="LIMBO"),"IMP","NOIMP")</f>
        <v>IMP</v>
      </c>
    </row>
    <row r="354" spans="1:36" ht="39.950000000000003" hidden="1" customHeight="1">
      <c r="A354" s="160">
        <v>257</v>
      </c>
      <c r="B354" s="161" t="s">
        <v>1735</v>
      </c>
      <c r="C354" s="211" t="s">
        <v>1477</v>
      </c>
      <c r="D354" s="160" t="s">
        <v>1736</v>
      </c>
      <c r="E354" s="160" t="s">
        <v>1737</v>
      </c>
      <c r="F354" s="266">
        <v>45194</v>
      </c>
      <c r="G354" s="160" t="s">
        <v>1738</v>
      </c>
      <c r="H354" s="160" t="s">
        <v>111</v>
      </c>
      <c r="I354" s="161"/>
      <c r="J354" s="161"/>
      <c r="K354" s="160" t="s">
        <v>111</v>
      </c>
      <c r="L354" s="160" t="s">
        <v>111</v>
      </c>
      <c r="M354" s="161" t="s">
        <v>111</v>
      </c>
      <c r="N354" s="160" t="s">
        <v>111</v>
      </c>
      <c r="O354" s="160"/>
      <c r="P354" s="160"/>
      <c r="Q354" s="160" t="s">
        <v>1818</v>
      </c>
      <c r="R354" s="160" t="s">
        <v>1739</v>
      </c>
      <c r="S354" s="160"/>
      <c r="T354" s="160"/>
      <c r="U354" s="160"/>
      <c r="V354" s="160" t="s">
        <v>111</v>
      </c>
      <c r="W354" s="160" t="s">
        <v>111</v>
      </c>
      <c r="X354" s="160" t="s">
        <v>111</v>
      </c>
      <c r="Y354" s="160" t="str">
        <f ca="1">IF(I354&lt;&gt;"",IF(I354&lt;=TODAY(),IF(OR(N354="REPROGRAMADA",N354="SUSPENDIDA",N354="EXCLUSION",N354="COLEGIADO"),"NO HECHA",IF(N354=" ","SINRESULTADO","SI")),"NO"),IF(N354="EXCLUSION","NO HECHA","LIMBO"))</f>
        <v>LIMBO</v>
      </c>
      <c r="Z354" s="160" t="str">
        <f>IF($Z$1=I354,"DIASOL", "DIANOSOL")</f>
        <v>DIANOSOL</v>
      </c>
      <c r="AA354" s="160" t="s">
        <v>240</v>
      </c>
      <c r="AB354" s="160"/>
      <c r="AC354" s="160" t="str">
        <f>IF(H354=$M$1,"SI","NO")</f>
        <v>NO</v>
      </c>
      <c r="AD354" s="160"/>
      <c r="AE354" s="160"/>
      <c r="AF354" s="266">
        <v>45197</v>
      </c>
      <c r="AG354" s="160" t="str">
        <f>IF(COUNTIF(C354,"*preso*")&gt;0,"SI","NO")</f>
        <v>SI</v>
      </c>
      <c r="AH354" s="254">
        <f>NroOrden(N354)</f>
        <v>99</v>
      </c>
      <c r="AI354" s="160"/>
      <c r="AJ354" s="152" t="str">
        <f ca="1">IF(OR(Y354="NO",Y354="LIMBO"),"IMP","NOIMP")</f>
        <v>IMP</v>
      </c>
    </row>
    <row r="355" spans="1:36" ht="39.950000000000003" hidden="1" customHeight="1">
      <c r="A355" s="197">
        <v>277</v>
      </c>
      <c r="B355" s="198" t="s">
        <v>1840</v>
      </c>
      <c r="C355" s="199"/>
      <c r="D355" s="197" t="s">
        <v>1841</v>
      </c>
      <c r="E355" s="197" t="s">
        <v>1842</v>
      </c>
      <c r="F355" s="321">
        <v>45188</v>
      </c>
      <c r="G355" s="197" t="s">
        <v>1753</v>
      </c>
      <c r="H355" s="197" t="s">
        <v>111</v>
      </c>
      <c r="I355" s="198"/>
      <c r="J355" s="198"/>
      <c r="K355" s="197" t="s">
        <v>111</v>
      </c>
      <c r="L355" s="197" t="s">
        <v>111</v>
      </c>
      <c r="M355" s="198" t="s">
        <v>111</v>
      </c>
      <c r="N355" s="197" t="s">
        <v>111</v>
      </c>
      <c r="O355" s="197"/>
      <c r="P355" s="197"/>
      <c r="Q355" s="197"/>
      <c r="R355" s="197"/>
      <c r="S355" s="197"/>
      <c r="T355" s="197"/>
      <c r="U355" s="197"/>
      <c r="V355" s="197" t="s">
        <v>189</v>
      </c>
      <c r="W355" s="197" t="s">
        <v>169</v>
      </c>
      <c r="X355" s="197" t="s">
        <v>111</v>
      </c>
      <c r="Y355" s="197" t="str">
        <f ca="1">IF(I355&lt;&gt;"",IF(I355&lt;=TODAY(),IF(OR(N355="REPROGRAMADA",N355="SUSPENDIDA",N355="EXCLUSION",N355="COLEGIADO"),"NO HECHA",IF(N355=" ","SINRESULTADO","SI")),"NO"),IF(N355="EXCLUSION","NO HECHA","LIMBO"))</f>
        <v>LIMBO</v>
      </c>
      <c r="Z355" s="197" t="str">
        <f>IF($Z$1=I355,"DIASOL", "DIANOSOL")</f>
        <v>DIANOSOL</v>
      </c>
      <c r="AA355" s="197" t="s">
        <v>240</v>
      </c>
      <c r="AB355" s="197" t="s">
        <v>1843</v>
      </c>
      <c r="AC355" s="197" t="str">
        <f>IF(H355=$M$1,"SI","NO")</f>
        <v>NO</v>
      </c>
      <c r="AD355" s="197"/>
      <c r="AE355" s="321">
        <v>44860</v>
      </c>
      <c r="AF355" s="321">
        <v>45188</v>
      </c>
      <c r="AG355" s="197" t="str">
        <f>IF(COUNTIF(C355,"*preso*")&gt;0,"SI","NO")</f>
        <v>NO</v>
      </c>
      <c r="AH355" s="254">
        <f>NroOrden(N355)</f>
        <v>99</v>
      </c>
      <c r="AI355" s="197" t="s">
        <v>1885</v>
      </c>
      <c r="AJ355" s="152" t="str">
        <f ca="1">IF(OR(Y355="NO",Y355="LIMBO"),"IMP","NOIMP")</f>
        <v>IMP</v>
      </c>
    </row>
    <row r="356" spans="1:36" ht="39.950000000000003" hidden="1" customHeight="1">
      <c r="A356" s="197">
        <v>280</v>
      </c>
      <c r="B356" s="198" t="s">
        <v>1830</v>
      </c>
      <c r="C356" s="199"/>
      <c r="D356" s="197" t="s">
        <v>1831</v>
      </c>
      <c r="E356" s="197" t="s">
        <v>1832</v>
      </c>
      <c r="F356" s="321">
        <v>45176</v>
      </c>
      <c r="G356" s="197" t="s">
        <v>1828</v>
      </c>
      <c r="H356" s="197" t="s">
        <v>111</v>
      </c>
      <c r="I356" s="198"/>
      <c r="J356" s="198"/>
      <c r="K356" s="197" t="s">
        <v>111</v>
      </c>
      <c r="L356" s="197" t="s">
        <v>111</v>
      </c>
      <c r="M356" s="198" t="s">
        <v>330</v>
      </c>
      <c r="N356" s="197" t="s">
        <v>111</v>
      </c>
      <c r="O356" s="197"/>
      <c r="P356" s="197"/>
      <c r="Q356" s="197"/>
      <c r="R356" s="197"/>
      <c r="S356" s="197"/>
      <c r="T356" s="197"/>
      <c r="U356" s="197"/>
      <c r="V356" s="197" t="s">
        <v>914</v>
      </c>
      <c r="W356" s="197" t="s">
        <v>111</v>
      </c>
      <c r="X356" s="197" t="s">
        <v>111</v>
      </c>
      <c r="Y356" s="197" t="str">
        <f ca="1">IF(I356&lt;&gt;"",IF(I356&lt;=TODAY(),IF(OR(N356="REPROGRAMADA",N356="SUSPENDIDA",N356="EXCLUSION",N356="COLEGIADO"),"NO HECHA",IF(N356=" ","SINRESULTADO","SI")),"NO"),IF(N356="EXCLUSION","NO HECHA","LIMBO"))</f>
        <v>LIMBO</v>
      </c>
      <c r="Z356" s="197" t="str">
        <f>IF($Z$1=I356,"DIASOL", "DIANOSOL")</f>
        <v>DIANOSOL</v>
      </c>
      <c r="AA356" s="197" t="s">
        <v>240</v>
      </c>
      <c r="AB356" s="197" t="s">
        <v>1833</v>
      </c>
      <c r="AC356" s="197" t="str">
        <f>IF(H356=$M$1,"SI","NO")</f>
        <v>NO</v>
      </c>
      <c r="AD356" s="197"/>
      <c r="AE356" s="321">
        <v>45176</v>
      </c>
      <c r="AF356" s="197"/>
      <c r="AG356" s="197" t="str">
        <f>IF(COUNTIF(C356,"*preso*")&gt;0,"SI","NO")</f>
        <v>NO</v>
      </c>
      <c r="AH356" s="254">
        <f>NroOrden(N356)</f>
        <v>99</v>
      </c>
      <c r="AI356" s="197"/>
      <c r="AJ356" s="152" t="str">
        <f ca="1">IF(OR(Y356="NO",Y356="LIMBO"),"IMP","NOIMP")</f>
        <v>IMP</v>
      </c>
    </row>
    <row r="357" spans="1:36" ht="39.950000000000003" hidden="1" customHeight="1">
      <c r="A357" s="197">
        <v>284</v>
      </c>
      <c r="B357" s="198" t="s">
        <v>1850</v>
      </c>
      <c r="C357" s="199"/>
      <c r="D357" s="197" t="s">
        <v>1849</v>
      </c>
      <c r="E357" s="197" t="s">
        <v>1851</v>
      </c>
      <c r="F357" s="298">
        <v>45190</v>
      </c>
      <c r="G357" s="197" t="s">
        <v>1848</v>
      </c>
      <c r="H357" s="197" t="s">
        <v>111</v>
      </c>
      <c r="I357" s="198"/>
      <c r="J357" s="198"/>
      <c r="K357" s="197" t="s">
        <v>111</v>
      </c>
      <c r="L357" s="197" t="s">
        <v>111</v>
      </c>
      <c r="M357" s="198" t="s">
        <v>1818</v>
      </c>
      <c r="N357" s="197" t="s">
        <v>111</v>
      </c>
      <c r="O357" s="197"/>
      <c r="P357" s="197"/>
      <c r="Q357" s="197"/>
      <c r="R357" s="197"/>
      <c r="S357" s="197"/>
      <c r="T357" s="197"/>
      <c r="U357" s="197"/>
      <c r="V357" s="197" t="s">
        <v>192</v>
      </c>
      <c r="W357" s="197" t="s">
        <v>136</v>
      </c>
      <c r="X357" s="197" t="s">
        <v>111</v>
      </c>
      <c r="Y357" s="197" t="str">
        <f ca="1">IF(I357&lt;&gt;"",IF(I357&lt;=TODAY(),IF(OR(N357="REPROGRAMADA",N357="SUSPENDIDA",N357="EXCLUSION",N357="COLEGIADO"),"NO HECHA",IF(N357=" ","SINRESULTADO","SI")),"NO"),IF(N357="EXCLUSION","NO HECHA","LIMBO"))</f>
        <v>LIMBO</v>
      </c>
      <c r="Z357" s="197" t="str">
        <f>IF($Z$1=I357,"DIASOL", "DIANOSOL")</f>
        <v>DIANOSOL</v>
      </c>
      <c r="AA357" s="197" t="s">
        <v>240</v>
      </c>
      <c r="AB357" s="197" t="s">
        <v>1852</v>
      </c>
      <c r="AC357" s="197" t="str">
        <f>IF(H357=$M$1,"SI","NO")</f>
        <v>NO</v>
      </c>
      <c r="AD357" s="197"/>
      <c r="AE357" s="298">
        <v>45190</v>
      </c>
      <c r="AF357" s="197"/>
      <c r="AG357" s="197" t="str">
        <f>IF(COUNTIF(C357,"*preso*")&gt;0,"SI","NO")</f>
        <v>NO</v>
      </c>
      <c r="AH357" s="254">
        <f>NroOrden(N357)</f>
        <v>99</v>
      </c>
      <c r="AI357" s="197"/>
      <c r="AJ357" s="152" t="str">
        <f ca="1">IF(OR(Y357="NO",Y357="LIMBO"),"IMP","NOIMP")</f>
        <v>IMP</v>
      </c>
    </row>
    <row r="358" spans="1:36" ht="39.950000000000003" hidden="1" customHeight="1">
      <c r="A358" s="197">
        <v>286</v>
      </c>
      <c r="B358" s="198" t="s">
        <v>1857</v>
      </c>
      <c r="C358" s="199"/>
      <c r="D358" s="197" t="s">
        <v>1858</v>
      </c>
      <c r="E358" s="197" t="s">
        <v>1859</v>
      </c>
      <c r="F358" s="321">
        <v>45190</v>
      </c>
      <c r="G358" s="197" t="s">
        <v>1860</v>
      </c>
      <c r="H358" s="197" t="s">
        <v>111</v>
      </c>
      <c r="I358" s="198"/>
      <c r="J358" s="198"/>
      <c r="K358" s="197" t="s">
        <v>111</v>
      </c>
      <c r="L358" s="197" t="s">
        <v>111</v>
      </c>
      <c r="M358" s="198" t="s">
        <v>330</v>
      </c>
      <c r="N358" s="197" t="s">
        <v>111</v>
      </c>
      <c r="O358" s="197"/>
      <c r="P358" s="197"/>
      <c r="Q358" s="197"/>
      <c r="R358" s="197"/>
      <c r="S358" s="197"/>
      <c r="T358" s="197"/>
      <c r="U358" s="197"/>
      <c r="V358" s="197" t="s">
        <v>185</v>
      </c>
      <c r="W358" s="197" t="s">
        <v>140</v>
      </c>
      <c r="X358" s="197" t="s">
        <v>111</v>
      </c>
      <c r="Y358" s="197" t="str">
        <f ca="1">IF(I358&lt;&gt;"",IF(I358&lt;=TODAY(),IF(OR(N358="REPROGRAMADA",N358="SUSPENDIDA",N358="EXCLUSION",N358="COLEGIADO"),"NO HECHA",IF(N358=" ","SINRESULTADO","SI")),"NO"),IF(N358="EXCLUSION","NO HECHA","LIMBO"))</f>
        <v>LIMBO</v>
      </c>
      <c r="Z358" s="197" t="str">
        <f>IF($Z$1=I358,"DIASOL", "DIANOSOL")</f>
        <v>DIANOSOL</v>
      </c>
      <c r="AA358" s="197" t="s">
        <v>240</v>
      </c>
      <c r="AB358" s="197" t="s">
        <v>1864</v>
      </c>
      <c r="AC358" s="197" t="str">
        <f>IF(H358=$M$1,"SI","NO")</f>
        <v>NO</v>
      </c>
      <c r="AD358" s="197"/>
      <c r="AE358" s="321">
        <v>44789</v>
      </c>
      <c r="AF358" s="197"/>
      <c r="AG358" s="197" t="str">
        <f>IF(COUNTIF(C358,"*preso*")&gt;0,"SI","NO")</f>
        <v>NO</v>
      </c>
      <c r="AH358" s="254">
        <f>NroOrden(N358)</f>
        <v>99</v>
      </c>
      <c r="AI358" s="197"/>
      <c r="AJ358" s="152" t="str">
        <f ca="1">IF(OR(Y358="NO",Y358="LIMBO"),"IMP","NOIMP")</f>
        <v>IMP</v>
      </c>
    </row>
    <row r="359" spans="1:36" ht="39.950000000000003" hidden="1" customHeight="1">
      <c r="A359" s="196">
        <v>288</v>
      </c>
      <c r="B359" s="198" t="s">
        <v>1866</v>
      </c>
      <c r="C359" s="199"/>
      <c r="D359" s="197" t="s">
        <v>1867</v>
      </c>
      <c r="E359" s="197" t="s">
        <v>1868</v>
      </c>
      <c r="F359" s="321">
        <v>45194</v>
      </c>
      <c r="G359" s="197" t="s">
        <v>1848</v>
      </c>
      <c r="H359" s="197" t="s">
        <v>111</v>
      </c>
      <c r="I359" s="198"/>
      <c r="J359" s="198"/>
      <c r="K359" s="197" t="s">
        <v>111</v>
      </c>
      <c r="L359" s="197" t="s">
        <v>111</v>
      </c>
      <c r="M359" s="198" t="s">
        <v>330</v>
      </c>
      <c r="N359" s="197" t="s">
        <v>111</v>
      </c>
      <c r="O359" s="197"/>
      <c r="P359" s="197"/>
      <c r="Q359" s="197"/>
      <c r="R359" s="197"/>
      <c r="S359" s="197"/>
      <c r="T359" s="197"/>
      <c r="U359" s="197"/>
      <c r="V359" s="197" t="s">
        <v>1284</v>
      </c>
      <c r="W359" s="197" t="s">
        <v>111</v>
      </c>
      <c r="X359" s="197" t="s">
        <v>111</v>
      </c>
      <c r="Y359" s="197" t="str">
        <f ca="1">IF(I359&lt;&gt;"",IF(I359&lt;=TODAY(),IF(OR(N359="REPROGRAMADA",N359="SUSPENDIDA",N359="EXCLUSION",N359="COLEGIADO"),"NO HECHA",IF(N359=" ","SINRESULTADO","SI")),"NO"),IF(N359="EXCLUSION","NO HECHA","LIMBO"))</f>
        <v>LIMBO</v>
      </c>
      <c r="Z359" s="197" t="str">
        <f>IF($Z$1=I359,"DIASOL", "DIANOSOL")</f>
        <v>DIANOSOL</v>
      </c>
      <c r="AA359" s="197" t="s">
        <v>240</v>
      </c>
      <c r="AB359" s="197" t="s">
        <v>1869</v>
      </c>
      <c r="AC359" s="197" t="str">
        <f>IF(H359=$M$1,"SI","NO")</f>
        <v>NO</v>
      </c>
      <c r="AD359" s="197"/>
      <c r="AE359" s="321">
        <v>45177</v>
      </c>
      <c r="AF359" s="197"/>
      <c r="AG359" s="197" t="str">
        <f>IF(COUNTIF(C359,"*preso*")&gt;0,"SI","NO")</f>
        <v>NO</v>
      </c>
      <c r="AH359" s="254">
        <f>NroOrden(N359)</f>
        <v>99</v>
      </c>
      <c r="AI359" s="197"/>
      <c r="AJ359" s="152" t="str">
        <f ca="1">IF(OR(Y359="NO",Y359="LIMBO"),"IMP","NOIMP")</f>
        <v>IMP</v>
      </c>
    </row>
    <row r="360" spans="1:36" ht="39.950000000000003" hidden="1" customHeight="1">
      <c r="A360" s="197">
        <v>289</v>
      </c>
      <c r="B360" s="198" t="s">
        <v>1870</v>
      </c>
      <c r="C360" s="199"/>
      <c r="D360" s="197" t="s">
        <v>1871</v>
      </c>
      <c r="E360" s="197" t="s">
        <v>1872</v>
      </c>
      <c r="F360" s="321">
        <v>45194</v>
      </c>
      <c r="G360" s="197" t="s">
        <v>1848</v>
      </c>
      <c r="H360" s="197" t="s">
        <v>111</v>
      </c>
      <c r="I360" s="198"/>
      <c r="J360" s="198"/>
      <c r="K360" s="197" t="s">
        <v>111</v>
      </c>
      <c r="L360" s="197" t="s">
        <v>111</v>
      </c>
      <c r="M360" s="198" t="s">
        <v>332</v>
      </c>
      <c r="N360" s="197" t="s">
        <v>111</v>
      </c>
      <c r="O360" s="197"/>
      <c r="P360" s="197"/>
      <c r="Q360" s="197"/>
      <c r="R360" s="197"/>
      <c r="S360" s="197"/>
      <c r="T360" s="197"/>
      <c r="U360" s="197"/>
      <c r="V360" s="197" t="s">
        <v>111</v>
      </c>
      <c r="W360" s="197" t="s">
        <v>111</v>
      </c>
      <c r="X360" s="197" t="s">
        <v>111</v>
      </c>
      <c r="Y360" s="197" t="str">
        <f ca="1">IF(I360&lt;&gt;"",IF(I360&lt;=TODAY(),IF(OR(N360="REPROGRAMADA",N360="SUSPENDIDA",N360="EXCLUSION",N360="COLEGIADO"),"NO HECHA",IF(N360=" ","SINRESULTADO","SI")),"NO"),IF(N360="EXCLUSION","NO HECHA","LIMBO"))</f>
        <v>LIMBO</v>
      </c>
      <c r="Z360" s="197" t="str">
        <f>IF($Z$1=I360,"DIASOL", "DIANOSOL")</f>
        <v>DIANOSOL</v>
      </c>
      <c r="AA360" s="197" t="s">
        <v>240</v>
      </c>
      <c r="AB360" s="197"/>
      <c r="AC360" s="197" t="str">
        <f>IF(H360=$M$1,"SI","NO")</f>
        <v>NO</v>
      </c>
      <c r="AD360" s="197"/>
      <c r="AE360" s="321">
        <v>45194</v>
      </c>
      <c r="AF360" s="197"/>
      <c r="AG360" s="197" t="str">
        <f>IF(COUNTIF(C360,"*preso*")&gt;0,"SI","NO")</f>
        <v>NO</v>
      </c>
      <c r="AH360" s="254">
        <f>NroOrden(N360)</f>
        <v>99</v>
      </c>
      <c r="AI360" s="197"/>
      <c r="AJ360" s="152" t="str">
        <f ca="1">IF(OR(Y360="NO",Y360="LIMBO"),"IMP","NOIMP")</f>
        <v>IMP</v>
      </c>
    </row>
    <row r="361" spans="1:36" ht="39.950000000000003" hidden="1" customHeight="1">
      <c r="A361" s="197">
        <v>290</v>
      </c>
      <c r="B361" s="198" t="s">
        <v>1873</v>
      </c>
      <c r="C361" s="199"/>
      <c r="D361" s="197" t="s">
        <v>1874</v>
      </c>
      <c r="E361" s="197" t="s">
        <v>1875</v>
      </c>
      <c r="F361" s="321">
        <v>45194</v>
      </c>
      <c r="G361" s="197" t="s">
        <v>1848</v>
      </c>
      <c r="H361" s="197" t="s">
        <v>111</v>
      </c>
      <c r="I361" s="198"/>
      <c r="J361" s="198"/>
      <c r="K361" s="197" t="s">
        <v>111</v>
      </c>
      <c r="L361" s="197" t="s">
        <v>111</v>
      </c>
      <c r="M361" s="198" t="s">
        <v>329</v>
      </c>
      <c r="N361" s="197" t="s">
        <v>111</v>
      </c>
      <c r="O361" s="197"/>
      <c r="P361" s="197"/>
      <c r="Q361" s="197"/>
      <c r="R361" s="197"/>
      <c r="S361" s="197"/>
      <c r="T361" s="197"/>
      <c r="U361" s="197"/>
      <c r="V361" s="197" t="s">
        <v>339</v>
      </c>
      <c r="W361" s="197" t="s">
        <v>133</v>
      </c>
      <c r="X361" s="197" t="s">
        <v>111</v>
      </c>
      <c r="Y361" s="197" t="str">
        <f ca="1">IF(I361&lt;&gt;"",IF(I361&lt;=TODAY(),IF(OR(N361="REPROGRAMADA",N361="SUSPENDIDA",N361="EXCLUSION",N361="COLEGIADO"),"NO HECHA",IF(N361=" ","SINRESULTADO","SI")),"NO"),IF(N361="EXCLUSION","NO HECHA","LIMBO"))</f>
        <v>LIMBO</v>
      </c>
      <c r="Z361" s="197" t="str">
        <f>IF($Z$1=I361,"DIASOL", "DIANOSOL")</f>
        <v>DIANOSOL</v>
      </c>
      <c r="AA361" s="197" t="s">
        <v>240</v>
      </c>
      <c r="AB361" s="197" t="s">
        <v>1876</v>
      </c>
      <c r="AC361" s="197" t="str">
        <f>IF(H361=$M$1,"SI","NO")</f>
        <v>NO</v>
      </c>
      <c r="AD361" s="197"/>
      <c r="AE361" s="321">
        <v>45187</v>
      </c>
      <c r="AF361" s="197"/>
      <c r="AG361" s="197" t="str">
        <f>IF(COUNTIF(C361,"*preso*")&gt;0,"SI","NO")</f>
        <v>NO</v>
      </c>
      <c r="AH361" s="254">
        <f>NroOrden(N361)</f>
        <v>99</v>
      </c>
      <c r="AI361" s="197"/>
      <c r="AJ361" s="152" t="str">
        <f ca="1">IF(OR(Y361="NO",Y361="LIMBO"),"IMP","NOIMP")</f>
        <v>IMP</v>
      </c>
    </row>
    <row r="362" spans="1:36" ht="39.950000000000003" hidden="1" customHeight="1">
      <c r="A362" s="160">
        <v>293</v>
      </c>
      <c r="B362" s="161" t="s">
        <v>1890</v>
      </c>
      <c r="C362" s="211"/>
      <c r="D362" s="160" t="s">
        <v>1891</v>
      </c>
      <c r="E362" s="160" t="s">
        <v>1892</v>
      </c>
      <c r="F362" s="266">
        <v>45194</v>
      </c>
      <c r="G362" s="160"/>
      <c r="H362" s="160" t="s">
        <v>111</v>
      </c>
      <c r="I362" s="161"/>
      <c r="J362" s="161"/>
      <c r="K362" s="160" t="s">
        <v>111</v>
      </c>
      <c r="L362" s="160" t="s">
        <v>111</v>
      </c>
      <c r="M362" s="161"/>
      <c r="N362" s="160" t="s">
        <v>111</v>
      </c>
      <c r="O362" s="160"/>
      <c r="P362" s="160"/>
      <c r="Q362" s="160" t="s">
        <v>332</v>
      </c>
      <c r="R362" s="160" t="s">
        <v>2073</v>
      </c>
      <c r="S362" s="160"/>
      <c r="T362" s="160"/>
      <c r="U362" s="160"/>
      <c r="V362" s="160" t="s">
        <v>345</v>
      </c>
      <c r="W362" s="160" t="s">
        <v>111</v>
      </c>
      <c r="X362" s="160" t="s">
        <v>111</v>
      </c>
      <c r="Y362" s="197" t="str">
        <f ca="1">IF(I362&lt;&gt;"",IF(I362&lt;=TODAY(),IF(OR(N362="REPROGRAMADA",N362="SUSPENDIDA",N362="EXCLUSION",N362="COLEGIADO"),"NO HECHA",IF(N362=" ","SINRESULTADO","SI")),"NO"),IF(N362="EXCLUSION","NO HECHA","LIMBO"))</f>
        <v>LIMBO</v>
      </c>
      <c r="Z362" s="197" t="str">
        <f>IF($Z$1=I362,"DIASOL", "DIANOSOL")</f>
        <v>DIANOSOL</v>
      </c>
      <c r="AA362" s="160" t="s">
        <v>240</v>
      </c>
      <c r="AB362" s="160" t="s">
        <v>1893</v>
      </c>
      <c r="AC362" s="197" t="str">
        <f>IF(H362=$M$1,"SI","NO")</f>
        <v>NO</v>
      </c>
      <c r="AD362" s="197"/>
      <c r="AE362" s="266"/>
      <c r="AF362" s="266">
        <v>45208</v>
      </c>
      <c r="AG362" s="197" t="str">
        <f>IF(COUNTIF(C362,"*preso*")&gt;0,"SI","NO")</f>
        <v>NO</v>
      </c>
      <c r="AH362" s="254">
        <f>NroOrden(N362)</f>
        <v>99</v>
      </c>
      <c r="AI362" s="160"/>
      <c r="AJ362" s="152" t="str">
        <f ca="1">IF(OR(Y362="NO",Y362="LIMBO"),"IMP","NOIMP")</f>
        <v>IMP</v>
      </c>
    </row>
    <row r="363" spans="1:36" ht="39.950000000000003" hidden="1" customHeight="1">
      <c r="A363" s="197">
        <v>301</v>
      </c>
      <c r="B363" s="198" t="s">
        <v>1918</v>
      </c>
      <c r="C363" s="199"/>
      <c r="D363" s="197" t="s">
        <v>1919</v>
      </c>
      <c r="E363" s="197" t="s">
        <v>1920</v>
      </c>
      <c r="F363" s="321">
        <v>45198</v>
      </c>
      <c r="G363" s="197" t="s">
        <v>1848</v>
      </c>
      <c r="H363" s="197" t="s">
        <v>111</v>
      </c>
      <c r="I363" s="198"/>
      <c r="J363" s="198"/>
      <c r="K363" s="197" t="s">
        <v>111</v>
      </c>
      <c r="L363" s="197" t="s">
        <v>111</v>
      </c>
      <c r="M363" s="198" t="s">
        <v>1813</v>
      </c>
      <c r="N363" s="197" t="s">
        <v>111</v>
      </c>
      <c r="O363" s="197"/>
      <c r="P363" s="197"/>
      <c r="Q363" s="197"/>
      <c r="R363" s="197"/>
      <c r="S363" s="197"/>
      <c r="T363" s="197"/>
      <c r="U363" s="197"/>
      <c r="V363" s="197" t="s">
        <v>189</v>
      </c>
      <c r="W363" s="197" t="s">
        <v>141</v>
      </c>
      <c r="X363" s="197" t="s">
        <v>111</v>
      </c>
      <c r="Y363" s="197" t="str">
        <f ca="1">IF(I363&lt;&gt;"",IF(I363&lt;=TODAY(),IF(OR(N363="REPROGRAMADA",N363="SUSPENDIDA",N363="EXCLUSION",N363="COLEGIADO"),"NO HECHA",IF(N363=" ","SINRESULTADO","SI")),"NO"),IF(N363="EXCLUSION","NO HECHA","LIMBO"))</f>
        <v>LIMBO</v>
      </c>
      <c r="Z363" s="197" t="str">
        <f>IF($Z$1=I363,"DIASOL", "DIANOSOL")</f>
        <v>DIANOSOL</v>
      </c>
      <c r="AA363" s="197" t="s">
        <v>240</v>
      </c>
      <c r="AB363" s="197" t="s">
        <v>1921</v>
      </c>
      <c r="AC363" s="197" t="str">
        <f>IF(H363=$M$1,"SI","NO")</f>
        <v>NO</v>
      </c>
      <c r="AD363" s="197"/>
      <c r="AE363" s="321">
        <v>45198</v>
      </c>
      <c r="AF363" s="197"/>
      <c r="AG363" s="197" t="str">
        <f>IF(COUNTIF(C363,"*preso*")&gt;0,"SI","NO")</f>
        <v>NO</v>
      </c>
      <c r="AH363" s="254">
        <f>NroOrden(N363)</f>
        <v>99</v>
      </c>
      <c r="AI363" s="197"/>
      <c r="AJ363" s="152" t="str">
        <f ca="1">IF(OR(Y363="NO",Y363="LIMBO"),"IMP","NOIMP")</f>
        <v>IMP</v>
      </c>
    </row>
    <row r="364" spans="1:36" ht="92.25" hidden="1" customHeight="1">
      <c r="A364" s="202">
        <v>312</v>
      </c>
      <c r="B364" s="203" t="s">
        <v>1968</v>
      </c>
      <c r="C364" s="204" t="s">
        <v>501</v>
      </c>
      <c r="D364" s="202" t="s">
        <v>1969</v>
      </c>
      <c r="E364" s="202" t="s">
        <v>1972</v>
      </c>
      <c r="F364" s="224">
        <v>45204</v>
      </c>
      <c r="G364" s="202" t="s">
        <v>2267</v>
      </c>
      <c r="H364" s="202" t="s">
        <v>111</v>
      </c>
      <c r="I364" s="203"/>
      <c r="J364" s="203"/>
      <c r="K364" s="202" t="s">
        <v>111</v>
      </c>
      <c r="L364" s="202" t="s">
        <v>111</v>
      </c>
      <c r="M364" s="203" t="s">
        <v>2173</v>
      </c>
      <c r="N364" s="202" t="s">
        <v>111</v>
      </c>
      <c r="O364" s="202"/>
      <c r="P364" s="202"/>
      <c r="Q364" s="202"/>
      <c r="R364" s="202"/>
      <c r="S364" s="202" t="s">
        <v>1693</v>
      </c>
      <c r="T364" s="202" t="s">
        <v>2004</v>
      </c>
      <c r="U364" s="202" t="s">
        <v>2003</v>
      </c>
      <c r="V364" s="202" t="s">
        <v>184</v>
      </c>
      <c r="W364" s="202" t="s">
        <v>141</v>
      </c>
      <c r="X364" s="202" t="s">
        <v>111</v>
      </c>
      <c r="Y364" s="202" t="str">
        <f ca="1">IF(I364&lt;&gt;"",IF(I364&lt;=TODAY(),IF(OR(N364="REPROGRAMADA",N364="SUSPENDIDA",N364="EXCLUSION",N364="COLEGIADO"),"NO HECHA",IF(N364=" ","SINRESULTADO","SI")),"NO"),IF(N364="EXCLUSION","NO HECHA","LIMBO"))</f>
        <v>LIMBO</v>
      </c>
      <c r="Z364" s="202" t="str">
        <f>IF($Z$1=I364,"DIASOL", "DIANOSOL")</f>
        <v>DIANOSOL</v>
      </c>
      <c r="AA364" s="202" t="s">
        <v>240</v>
      </c>
      <c r="AB364" s="202" t="s">
        <v>1970</v>
      </c>
      <c r="AC364" s="202" t="str">
        <f>IF(H364=$M$1,"SI","NO")</f>
        <v>NO</v>
      </c>
      <c r="AD364" s="202"/>
      <c r="AE364" s="224">
        <v>45204</v>
      </c>
      <c r="AF364" s="202"/>
      <c r="AG364" s="202" t="str">
        <f>IF(COUNTIF(C364,"*preso*")&gt;0,"SI","NO")</f>
        <v>SI</v>
      </c>
      <c r="AH364" s="254">
        <f>NroOrden(N364)</f>
        <v>99</v>
      </c>
      <c r="AI364" s="202"/>
      <c r="AJ364" s="152" t="str">
        <f ca="1">IF(OR(Y364="NO",Y364="LIMBO"),"IMP","NOIMP")</f>
        <v>IMP</v>
      </c>
    </row>
    <row r="365" spans="1:36" ht="39.950000000000003" hidden="1" customHeight="1">
      <c r="A365" s="202">
        <v>322</v>
      </c>
      <c r="B365" s="203" t="s">
        <v>2020</v>
      </c>
      <c r="C365" s="204" t="s">
        <v>1477</v>
      </c>
      <c r="D365" s="202" t="s">
        <v>2054</v>
      </c>
      <c r="E365" s="258" t="s">
        <v>2021</v>
      </c>
      <c r="F365" s="224">
        <v>45203</v>
      </c>
      <c r="G365" s="202"/>
      <c r="H365" s="202" t="s">
        <v>111</v>
      </c>
      <c r="I365" s="203"/>
      <c r="J365" s="203"/>
      <c r="K365" s="202" t="s">
        <v>111</v>
      </c>
      <c r="L365" s="202" t="s">
        <v>111</v>
      </c>
      <c r="M365" s="203" t="s">
        <v>2173</v>
      </c>
      <c r="N365" s="202" t="s">
        <v>111</v>
      </c>
      <c r="O365" s="202"/>
      <c r="P365" s="202"/>
      <c r="Q365" s="202"/>
      <c r="R365" s="202"/>
      <c r="S365" s="202" t="s">
        <v>2023</v>
      </c>
      <c r="T365" s="202" t="s">
        <v>2023</v>
      </c>
      <c r="U365" s="202" t="s">
        <v>2024</v>
      </c>
      <c r="V365" s="202" t="s">
        <v>345</v>
      </c>
      <c r="W365" s="202" t="s">
        <v>202</v>
      </c>
      <c r="X365" s="202"/>
      <c r="Y365" s="202" t="str">
        <f ca="1">IF(I365&lt;&gt;"",IF(I365&lt;=TODAY(),IF(OR(N365="REPROGRAMADA",N365="SUSPENDIDA",N365="EXCLUSION",N365="COLEGIADO"),"NO HECHA",IF(N365=" ","SINRESULTADO","SI")),"NO"),IF(N365="EXCLUSION","NO HECHA","LIMBO"))</f>
        <v>LIMBO</v>
      </c>
      <c r="Z365" s="202" t="str">
        <f>IF($Z$1=I365,"DIASOL", "DIANOSOL")</f>
        <v>DIANOSOL</v>
      </c>
      <c r="AA365" s="202" t="s">
        <v>240</v>
      </c>
      <c r="AB365" s="258" t="s">
        <v>2022</v>
      </c>
      <c r="AC365" s="202" t="str">
        <f>IF(H365=$M$1,"SI","NO")</f>
        <v>NO</v>
      </c>
      <c r="AD365" s="202"/>
      <c r="AE365" s="202"/>
      <c r="AF365" s="202"/>
      <c r="AG365" s="202" t="str">
        <f>IF(COUNTIF(C365,"*preso*")&gt;0,"SI","NO")</f>
        <v>SI</v>
      </c>
      <c r="AH365" s="154">
        <f>NroOrden(N365)</f>
        <v>99</v>
      </c>
      <c r="AI365" s="202"/>
      <c r="AJ365" s="152" t="str">
        <f ca="1">IF(OR(Y365="NO",Y365="LIMBO"),"IMP","NOIMP")</f>
        <v>IMP</v>
      </c>
    </row>
    <row r="366" spans="1:36" ht="83.25" hidden="1" customHeight="1">
      <c r="A366" s="202">
        <v>324</v>
      </c>
      <c r="B366" s="203" t="s">
        <v>2225</v>
      </c>
      <c r="C366" s="204" t="s">
        <v>1477</v>
      </c>
      <c r="D366" s="202" t="s">
        <v>2031</v>
      </c>
      <c r="E366" s="202" t="s">
        <v>2032</v>
      </c>
      <c r="F366" s="224">
        <v>45202</v>
      </c>
      <c r="G366" s="202"/>
      <c r="H366" s="202" t="s">
        <v>111</v>
      </c>
      <c r="I366" s="203"/>
      <c r="J366" s="203"/>
      <c r="K366" s="202" t="s">
        <v>111</v>
      </c>
      <c r="L366" s="202" t="s">
        <v>111</v>
      </c>
      <c r="M366" s="203" t="s">
        <v>332</v>
      </c>
      <c r="N366" s="202" t="s">
        <v>111</v>
      </c>
      <c r="O366" s="202"/>
      <c r="P366" s="202"/>
      <c r="Q366" s="202"/>
      <c r="R366" s="202"/>
      <c r="S366" s="202" t="s">
        <v>2029</v>
      </c>
      <c r="T366" s="202" t="s">
        <v>2034</v>
      </c>
      <c r="U366" s="202" t="s">
        <v>2029</v>
      </c>
      <c r="V366" s="202" t="s">
        <v>343</v>
      </c>
      <c r="W366" s="202" t="s">
        <v>134</v>
      </c>
      <c r="X366" s="202"/>
      <c r="Y366" s="202" t="str">
        <f ca="1">IF(I366&lt;&gt;"",IF(I366&lt;=TODAY(),IF(OR(N366="REPROGRAMADA",N366="SUSPENDIDA",N366="EXCLUSION",N366="COLEGIADO"),"NO HECHA",IF(N366=" ","SINRESULTADO","SI")),"NO"),IF(N366="EXCLUSION","NO HECHA","LIMBO"))</f>
        <v>LIMBO</v>
      </c>
      <c r="Z366" s="202" t="str">
        <f>IF($Z$1=I366,"DIASOL", "DIANOSOL")</f>
        <v>DIANOSOL</v>
      </c>
      <c r="AA366" s="202"/>
      <c r="AB366" s="312" t="s">
        <v>2033</v>
      </c>
      <c r="AC366" s="202" t="str">
        <f>IF(H366=$M$1,"SI","NO")</f>
        <v>NO</v>
      </c>
      <c r="AD366" s="202"/>
      <c r="AE366" s="202"/>
      <c r="AF366" s="202"/>
      <c r="AG366" s="202" t="str">
        <f>IF(COUNTIF(C366,"*preso*")&gt;0,"SI","NO")</f>
        <v>SI</v>
      </c>
      <c r="AH366" s="154">
        <f>NroOrden(N366)</f>
        <v>99</v>
      </c>
      <c r="AI366" s="202"/>
      <c r="AJ366" s="152" t="str">
        <f ca="1">IF(OR(Y366="NO",Y366="LIMBO"),"IMP","NOIMP")</f>
        <v>IMP</v>
      </c>
    </row>
    <row r="367" spans="1:36" ht="39.950000000000003" hidden="1" customHeight="1">
      <c r="A367" s="202">
        <v>325</v>
      </c>
      <c r="B367" s="203" t="s">
        <v>2035</v>
      </c>
      <c r="C367" s="204" t="s">
        <v>1477</v>
      </c>
      <c r="D367" s="202" t="s">
        <v>2036</v>
      </c>
      <c r="E367" s="202" t="s">
        <v>2037</v>
      </c>
      <c r="F367" s="224">
        <v>45196</v>
      </c>
      <c r="G367" s="202"/>
      <c r="H367" s="202" t="s">
        <v>111</v>
      </c>
      <c r="I367" s="203"/>
      <c r="J367" s="203"/>
      <c r="K367" s="202" t="s">
        <v>111</v>
      </c>
      <c r="L367" s="202" t="s">
        <v>111</v>
      </c>
      <c r="M367" s="203" t="s">
        <v>329</v>
      </c>
      <c r="N367" s="202" t="s">
        <v>111</v>
      </c>
      <c r="O367" s="202"/>
      <c r="P367" s="202"/>
      <c r="Q367" s="202"/>
      <c r="R367" s="202"/>
      <c r="S367" s="202" t="s">
        <v>2029</v>
      </c>
      <c r="T367" s="202" t="s">
        <v>2025</v>
      </c>
      <c r="U367" s="202" t="s">
        <v>2025</v>
      </c>
      <c r="V367" s="202" t="s">
        <v>1129</v>
      </c>
      <c r="W367" s="202"/>
      <c r="X367" s="202"/>
      <c r="Y367" s="202" t="str">
        <f ca="1">IF(I367&lt;&gt;"",IF(I367&lt;=TODAY(),IF(OR(N367="REPROGRAMADA",N367="SUSPENDIDA",N367="EXCLUSION",N367="COLEGIADO"),"NO HECHA",IF(N367=" ","SINRESULTADO","SI")),"NO"),IF(N367="EXCLUSION","NO HECHA","LIMBO"))</f>
        <v>LIMBO</v>
      </c>
      <c r="Z367" s="202" t="str">
        <f>IF($Z$1=I367,"DIASOL", "DIANOSOL")</f>
        <v>DIANOSOL</v>
      </c>
      <c r="AA367" s="202"/>
      <c r="AB367" s="202"/>
      <c r="AC367" s="202" t="str">
        <f>IF(H367=$M$1,"SI","NO")</f>
        <v>NO</v>
      </c>
      <c r="AD367" s="202"/>
      <c r="AE367" s="202"/>
      <c r="AF367" s="202"/>
      <c r="AG367" s="202" t="str">
        <f>IF(COUNTIF(C367,"*preso*")&gt;0,"SI","NO")</f>
        <v>SI</v>
      </c>
      <c r="AH367" s="154">
        <f>NroOrden(N367)</f>
        <v>99</v>
      </c>
      <c r="AI367" s="202"/>
      <c r="AJ367" s="152" t="str">
        <f ca="1">IF(OR(Y367="NO",Y367="LIMBO"),"IMP","NOIMP")</f>
        <v>IMP</v>
      </c>
    </row>
    <row r="368" spans="1:36" ht="39.950000000000003" hidden="1" customHeight="1">
      <c r="A368" s="202">
        <v>326</v>
      </c>
      <c r="B368" s="203" t="s">
        <v>1709</v>
      </c>
      <c r="C368" s="204" t="s">
        <v>1477</v>
      </c>
      <c r="D368" s="202" t="s">
        <v>2038</v>
      </c>
      <c r="E368" s="202" t="s">
        <v>2039</v>
      </c>
      <c r="F368" s="224">
        <v>45196</v>
      </c>
      <c r="G368" s="202"/>
      <c r="H368" s="202" t="s">
        <v>111</v>
      </c>
      <c r="I368" s="203"/>
      <c r="J368" s="203"/>
      <c r="K368" s="202" t="s">
        <v>111</v>
      </c>
      <c r="L368" s="202" t="s">
        <v>111</v>
      </c>
      <c r="M368" s="203" t="s">
        <v>330</v>
      </c>
      <c r="N368" s="202" t="s">
        <v>111</v>
      </c>
      <c r="O368" s="202"/>
      <c r="P368" s="202"/>
      <c r="Q368" s="202"/>
      <c r="R368" s="202"/>
      <c r="S368" s="202" t="s">
        <v>1418</v>
      </c>
      <c r="T368" s="202" t="s">
        <v>2034</v>
      </c>
      <c r="U368" s="202" t="s">
        <v>2025</v>
      </c>
      <c r="V368" s="202" t="s">
        <v>344</v>
      </c>
      <c r="W368" s="202" t="s">
        <v>140</v>
      </c>
      <c r="X368" s="202"/>
      <c r="Y368" s="202" t="str">
        <f ca="1">IF(I368&lt;&gt;"",IF(I368&lt;=TODAY(),IF(OR(N368="REPROGRAMADA",N368="SUSPENDIDA",N368="EXCLUSION",N368="COLEGIADO"),"NO HECHA",IF(N368=" ","SINRESULTADO","SI")),"NO"),IF(N368="EXCLUSION","NO HECHA","LIMBO"))</f>
        <v>LIMBO</v>
      </c>
      <c r="Z368" s="202" t="str">
        <f>IF($Z$1=I368,"DIASOL", "DIANOSOL")</f>
        <v>DIANOSOL</v>
      </c>
      <c r="AA368" s="202"/>
      <c r="AB368" s="202" t="s">
        <v>2040</v>
      </c>
      <c r="AC368" s="202" t="str">
        <f>IF(H368=$M$1,"SI","NO")</f>
        <v>NO</v>
      </c>
      <c r="AD368" s="202"/>
      <c r="AE368" s="202"/>
      <c r="AF368" s="202"/>
      <c r="AG368" s="202" t="str">
        <f>IF(COUNTIF(C368,"*preso*")&gt;0,"SI","NO")</f>
        <v>SI</v>
      </c>
      <c r="AH368" s="154">
        <f>NroOrden(N368)</f>
        <v>99</v>
      </c>
      <c r="AI368" s="202"/>
      <c r="AJ368" s="152" t="str">
        <f ca="1">IF(OR(Y368="NO",Y368="LIMBO"),"IMP","NOIMP")</f>
        <v>IMP</v>
      </c>
    </row>
    <row r="369" spans="1:36" ht="39.950000000000003" hidden="1" customHeight="1">
      <c r="A369" s="197">
        <v>331</v>
      </c>
      <c r="B369" s="198" t="s">
        <v>2079</v>
      </c>
      <c r="C369" s="199"/>
      <c r="D369" s="197" t="s">
        <v>2080</v>
      </c>
      <c r="E369" s="197" t="s">
        <v>573</v>
      </c>
      <c r="F369" s="321">
        <v>45208</v>
      </c>
      <c r="G369" s="197" t="s">
        <v>2082</v>
      </c>
      <c r="H369" s="197"/>
      <c r="I369" s="198"/>
      <c r="J369" s="198"/>
      <c r="K369" s="197"/>
      <c r="L369" s="197"/>
      <c r="M369" s="198" t="s">
        <v>330</v>
      </c>
      <c r="N369" s="197"/>
      <c r="O369" s="197"/>
      <c r="P369" s="197"/>
      <c r="Q369" s="197" t="s">
        <v>240</v>
      </c>
      <c r="R369" s="197"/>
      <c r="S369" s="197"/>
      <c r="T369" s="197"/>
      <c r="U369" s="197"/>
      <c r="V369" s="197" t="s">
        <v>1280</v>
      </c>
      <c r="W369" s="197" t="s">
        <v>134</v>
      </c>
      <c r="X369" s="197"/>
      <c r="Y369" s="197" t="str">
        <f ca="1">IF(I369&lt;&gt;"",IF(I369&lt;=TODAY(),IF(OR(N369="REPROGRAMADA",N369="SUSPENDIDA",N369="EXCLUSION",N369="COLEGIADO"),"NO HECHA",IF(N369=" ","SINRESULTADO","SI")),"NO"),IF(N369="EXCLUSION","NO HECHA","LIMBO"))</f>
        <v>LIMBO</v>
      </c>
      <c r="Z369" s="197" t="str">
        <f>IF($Z$1=I369,"DIASOL", "DIANOSOL")</f>
        <v>DIANOSOL</v>
      </c>
      <c r="AA369" s="197"/>
      <c r="AB369" s="197" t="s">
        <v>2081</v>
      </c>
      <c r="AC369" s="197" t="str">
        <f>IF(H369=$M$1,"SI","NO")</f>
        <v>NO</v>
      </c>
      <c r="AD369" s="197"/>
      <c r="AE369" s="321">
        <v>45208</v>
      </c>
      <c r="AF369" s="197"/>
      <c r="AG369" s="197" t="str">
        <f>IF(COUNTIF(C369,"*preso*")&gt;0,"SI","NO")</f>
        <v>NO</v>
      </c>
      <c r="AH369" s="197">
        <f>NroOrden(N369)</f>
        <v>99</v>
      </c>
      <c r="AI369" s="197"/>
      <c r="AJ369" s="152" t="str">
        <f ca="1">IF(OR(Y369="NO",Y369="LIMBO"),"IMP","NOIMP")</f>
        <v>IMP</v>
      </c>
    </row>
    <row r="370" spans="1:36" ht="73.5" hidden="1" customHeight="1">
      <c r="A370" s="197">
        <v>341</v>
      </c>
      <c r="B370" s="198" t="s">
        <v>2109</v>
      </c>
      <c r="C370" s="199"/>
      <c r="D370" s="197" t="s">
        <v>2115</v>
      </c>
      <c r="E370" s="197" t="s">
        <v>2116</v>
      </c>
      <c r="F370" s="321">
        <v>45209</v>
      </c>
      <c r="G370" s="197" t="s">
        <v>2117</v>
      </c>
      <c r="H370" s="197"/>
      <c r="I370" s="198"/>
      <c r="J370" s="198"/>
      <c r="K370" s="197"/>
      <c r="L370" s="197"/>
      <c r="M370" s="198" t="s">
        <v>1819</v>
      </c>
      <c r="N370" s="197"/>
      <c r="O370" s="197"/>
      <c r="P370" s="197"/>
      <c r="Q370" s="197" t="s">
        <v>240</v>
      </c>
      <c r="R370" s="197"/>
      <c r="S370" s="197"/>
      <c r="T370" s="197"/>
      <c r="U370" s="197"/>
      <c r="V370" s="197" t="s">
        <v>189</v>
      </c>
      <c r="W370" s="197" t="s">
        <v>535</v>
      </c>
      <c r="X370" s="197"/>
      <c r="Y370" s="197" t="str">
        <f ca="1">IF(I370&lt;&gt;"",IF(I370&lt;=TODAY(),IF(OR(N370="REPROGRAMADA",N370="SUSPENDIDA",N370="EXCLUSION",N370="COLEGIADO"),"NO HECHA",IF(N370=" ","SINRESULTADO","SI")),"NO"),IF(N370="EXCLUSION","NO HECHA","LIMBO"))</f>
        <v>LIMBO</v>
      </c>
      <c r="Z370" s="197" t="str">
        <f>IF($Z$1=I370,"DIASOL", "DIANOSOL")</f>
        <v>DIANOSOL</v>
      </c>
      <c r="AA370" s="197"/>
      <c r="AB370" s="197"/>
      <c r="AC370" s="197" t="str">
        <f>IF(H370=$M$1,"SI","NO")</f>
        <v>NO</v>
      </c>
      <c r="AD370" s="197"/>
      <c r="AE370" s="321">
        <v>45209</v>
      </c>
      <c r="AF370" s="197"/>
      <c r="AG370" s="197" t="str">
        <f>IF(COUNTIF(C370,"*preso*")&gt;0,"SI","NO")</f>
        <v>NO</v>
      </c>
      <c r="AH370" s="197">
        <f>NroOrden(N370)</f>
        <v>99</v>
      </c>
      <c r="AI370" s="197"/>
      <c r="AJ370" s="152" t="str">
        <f ca="1">IF(OR(Y370="NO",Y370="LIMBO"),"IMP","NOIMP")</f>
        <v>IMP</v>
      </c>
    </row>
    <row r="371" spans="1:36" ht="39.950000000000003" hidden="1" customHeight="1">
      <c r="A371" s="202">
        <v>347</v>
      </c>
      <c r="B371" s="203" t="s">
        <v>2152</v>
      </c>
      <c r="C371" s="204" t="s">
        <v>1477</v>
      </c>
      <c r="D371" s="202" t="s">
        <v>2153</v>
      </c>
      <c r="E371" s="202" t="s">
        <v>717</v>
      </c>
      <c r="F371" s="224">
        <v>45216</v>
      </c>
      <c r="G371" s="202" t="s">
        <v>2265</v>
      </c>
      <c r="H371" s="202"/>
      <c r="I371" s="203"/>
      <c r="J371" s="203"/>
      <c r="K371" s="202"/>
      <c r="L371" s="202"/>
      <c r="M371" s="203" t="s">
        <v>1819</v>
      </c>
      <c r="N371" s="202"/>
      <c r="O371" s="202"/>
      <c r="P371" s="202"/>
      <c r="Q371" s="202" t="s">
        <v>240</v>
      </c>
      <c r="R371" s="202"/>
      <c r="S371" s="202" t="s">
        <v>1693</v>
      </c>
      <c r="T371" s="202" t="s">
        <v>2155</v>
      </c>
      <c r="U371" s="202" t="s">
        <v>2156</v>
      </c>
      <c r="V371" s="202" t="s">
        <v>1286</v>
      </c>
      <c r="W371" s="202" t="s">
        <v>180</v>
      </c>
      <c r="X371" s="202" t="s">
        <v>434</v>
      </c>
      <c r="Y371" s="202" t="str">
        <f ca="1">IF(I371&lt;&gt;"",IF(I371&lt;=TODAY(),IF(OR(N371="REPROGRAMADA",N371="SUSPENDIDA",N371="EXCLUSION",N371="COLEGIADO"),"NO HECHA",IF(N371=" ","SINRESULTADO","SI")),"NO"),IF(N371="EXCLUSION","NO HECHA","LIMBO"))</f>
        <v>LIMBO</v>
      </c>
      <c r="Z371" s="202" t="str">
        <f>IF($Z$1=I371,"DIASOL", "DIANOSOL")</f>
        <v>DIANOSOL</v>
      </c>
      <c r="AA371" s="202"/>
      <c r="AB371" s="202" t="s">
        <v>2154</v>
      </c>
      <c r="AC371" s="202" t="str">
        <f>IF(H371=$M$1,"SI","NO")</f>
        <v>NO</v>
      </c>
      <c r="AD371" s="202"/>
      <c r="AE371" s="224">
        <v>45216</v>
      </c>
      <c r="AF371" s="202"/>
      <c r="AG371" s="202" t="str">
        <f>IF(COUNTIF(C371,"*preso*")&gt;0,"SI","NO")</f>
        <v>SI</v>
      </c>
      <c r="AH371" s="202">
        <f>NroOrden(N371)</f>
        <v>99</v>
      </c>
      <c r="AI371" s="202"/>
      <c r="AJ371" s="152" t="str">
        <f ca="1">IF(OR(Y371="NO",Y371="LIMBO"),"IMP","NOIMP")</f>
        <v>IMP</v>
      </c>
    </row>
    <row r="372" spans="1:36" ht="39.950000000000003" hidden="1" customHeight="1">
      <c r="A372" s="202">
        <v>352</v>
      </c>
      <c r="B372" s="203" t="s">
        <v>2182</v>
      </c>
      <c r="C372" s="204" t="s">
        <v>1477</v>
      </c>
      <c r="D372" s="202" t="s">
        <v>2183</v>
      </c>
      <c r="E372" s="202" t="s">
        <v>2184</v>
      </c>
      <c r="F372" s="224">
        <v>45217</v>
      </c>
      <c r="G372" s="202"/>
      <c r="H372" s="202"/>
      <c r="I372" s="203"/>
      <c r="J372" s="203"/>
      <c r="K372" s="202"/>
      <c r="L372" s="202"/>
      <c r="M372" s="203" t="s">
        <v>328</v>
      </c>
      <c r="N372" s="202"/>
      <c r="O372" s="202"/>
      <c r="P372" s="202"/>
      <c r="Q372" s="202" t="s">
        <v>240</v>
      </c>
      <c r="R372" s="202"/>
      <c r="S372" s="202" t="s">
        <v>1958</v>
      </c>
      <c r="T372" s="202" t="s">
        <v>2186</v>
      </c>
      <c r="U372" s="202" t="s">
        <v>2187</v>
      </c>
      <c r="V372" s="202" t="s">
        <v>199</v>
      </c>
      <c r="W372" s="202" t="s">
        <v>134</v>
      </c>
      <c r="X372" s="202"/>
      <c r="Y372" s="202" t="str">
        <f ca="1">IF(I372&lt;&gt;"",IF(I372&lt;=TODAY(),IF(OR(N372="REPROGRAMADA",N372="SUSPENDIDA",N372="EXCLUSION",N372="COLEGIADO"),"NO HECHA",IF(N372=" ","SINRESULTADO","SI")),"NO"),IF(N372="EXCLUSION","NO HECHA","LIMBO"))</f>
        <v>LIMBO</v>
      </c>
      <c r="Z372" s="202" t="str">
        <f>IF($Z$1=I372,"DIASOL", "DIANOSOL")</f>
        <v>DIANOSOL</v>
      </c>
      <c r="AA372" s="202"/>
      <c r="AB372" s="202" t="s">
        <v>2185</v>
      </c>
      <c r="AC372" s="202" t="str">
        <f>IF(H372=$M$1,"SI","NO")</f>
        <v>NO</v>
      </c>
      <c r="AD372" s="202"/>
      <c r="AE372" s="224">
        <v>45217</v>
      </c>
      <c r="AF372" s="202"/>
      <c r="AG372" s="202" t="str">
        <f>IF(COUNTIF(C372,"*preso*")&gt;0,"SI","NO")</f>
        <v>SI</v>
      </c>
      <c r="AH372" s="202">
        <f>NroOrden(N372)</f>
        <v>99</v>
      </c>
      <c r="AI372" s="202"/>
      <c r="AJ372" s="202" t="str">
        <f ca="1">IF(OR(Y372="NO",Y372="LIMBO"),"IMP","NOIMP")</f>
        <v>IMP</v>
      </c>
    </row>
    <row r="373" spans="1:36" ht="39.950000000000003" hidden="1" customHeight="1">
      <c r="A373" s="197">
        <v>356</v>
      </c>
      <c r="B373" s="198" t="s">
        <v>2209</v>
      </c>
      <c r="C373" s="199"/>
      <c r="D373" s="197" t="s">
        <v>2210</v>
      </c>
      <c r="E373" s="197" t="s">
        <v>2211</v>
      </c>
      <c r="F373" s="321">
        <v>45218</v>
      </c>
      <c r="G373" s="197"/>
      <c r="H373" s="197"/>
      <c r="I373" s="198"/>
      <c r="J373" s="198"/>
      <c r="K373" s="197"/>
      <c r="L373" s="197"/>
      <c r="M373" s="198" t="s">
        <v>1761</v>
      </c>
      <c r="N373" s="197"/>
      <c r="O373" s="197"/>
      <c r="P373" s="197"/>
      <c r="Q373" s="197" t="s">
        <v>240</v>
      </c>
      <c r="R373" s="197"/>
      <c r="S373" s="197"/>
      <c r="T373" s="197"/>
      <c r="U373" s="197"/>
      <c r="V373" s="197" t="s">
        <v>1280</v>
      </c>
      <c r="W373" s="197" t="s">
        <v>140</v>
      </c>
      <c r="X373" s="197"/>
      <c r="Y373" s="197" t="str">
        <f ca="1">IF(I373&lt;&gt;"",IF(I373&lt;=TODAY(),IF(OR(N373="REPROGRAMADA",N373="SUSPENDIDA",N373="EXCLUSION",N373="COLEGIADO"),"NO HECHA",IF(N373=" ","SINRESULTADO","SI")),"NO"),IF(N373="EXCLUSION","NO HECHA","LIMBO"))</f>
        <v>LIMBO</v>
      </c>
      <c r="Z373" s="197" t="str">
        <f>IF($Z$1=I373,"DIASOL", "DIANOSOL")</f>
        <v>DIANOSOL</v>
      </c>
      <c r="AA373" s="197"/>
      <c r="AB373" s="197" t="s">
        <v>2212</v>
      </c>
      <c r="AC373" s="197" t="str">
        <f>IF(H373=$M$1,"SI","NO")</f>
        <v>NO</v>
      </c>
      <c r="AD373" s="197"/>
      <c r="AE373" s="321">
        <v>45218</v>
      </c>
      <c r="AF373" s="197"/>
      <c r="AG373" s="197" t="str">
        <f>IF(COUNTIF(C373,"*preso*")&gt;0,"SI","NO")</f>
        <v>NO</v>
      </c>
      <c r="AH373" s="197">
        <f>NroOrden(N373)</f>
        <v>99</v>
      </c>
      <c r="AI373" s="197"/>
      <c r="AJ373" s="197" t="str">
        <f ca="1">IF(OR(Y373="NO",Y373="LIMBO"),"IMP","NOIMP")</f>
        <v>IMP</v>
      </c>
    </row>
    <row r="374" spans="1:36" ht="39.950000000000003" hidden="1" customHeight="1">
      <c r="A374" s="202">
        <v>357</v>
      </c>
      <c r="B374" s="203" t="s">
        <v>2213</v>
      </c>
      <c r="C374" s="204" t="s">
        <v>1477</v>
      </c>
      <c r="D374" s="202" t="s">
        <v>2215</v>
      </c>
      <c r="E374" s="202" t="s">
        <v>2214</v>
      </c>
      <c r="F374" s="224">
        <v>45218</v>
      </c>
      <c r="G374" s="202"/>
      <c r="H374" s="202"/>
      <c r="I374" s="203"/>
      <c r="J374" s="203"/>
      <c r="K374" s="202"/>
      <c r="L374" s="202"/>
      <c r="M374" s="203" t="s">
        <v>330</v>
      </c>
      <c r="N374" s="202"/>
      <c r="O374" s="202"/>
      <c r="P374" s="202"/>
      <c r="Q374" s="202" t="s">
        <v>240</v>
      </c>
      <c r="R374" s="202"/>
      <c r="S374" s="202" t="s">
        <v>1693</v>
      </c>
      <c r="T374" s="202" t="s">
        <v>2216</v>
      </c>
      <c r="U374" s="202" t="s">
        <v>2222</v>
      </c>
      <c r="V374" s="202" t="s">
        <v>189</v>
      </c>
      <c r="W374" s="202"/>
      <c r="X374" s="202"/>
      <c r="Y374" s="202" t="str">
        <f ca="1">IF(I374&lt;&gt;"",IF(I374&lt;=TODAY(),IF(OR(N374="REPROGRAMADA",N374="SUSPENDIDA",N374="EXCLUSION",N374="COLEGIADO"),"NO HECHA",IF(N374=" ","SINRESULTADO","SI")),"NO"),IF(N374="EXCLUSION","NO HECHA","LIMBO"))</f>
        <v>LIMBO</v>
      </c>
      <c r="Z374" s="202" t="str">
        <f>IF($Z$1=I374,"DIASOL", "DIANOSOL")</f>
        <v>DIANOSOL</v>
      </c>
      <c r="AA374" s="202"/>
      <c r="AB374" s="202" t="s">
        <v>2224</v>
      </c>
      <c r="AC374" s="202" t="str">
        <f>IF(H374=$M$1,"SI","NO")</f>
        <v>NO</v>
      </c>
      <c r="AD374" s="202"/>
      <c r="AE374" s="224">
        <v>45218</v>
      </c>
      <c r="AF374" s="202"/>
      <c r="AG374" s="202" t="str">
        <f>IF(COUNTIF(C374,"*preso*")&gt;0,"SI","NO")</f>
        <v>SI</v>
      </c>
      <c r="AH374" s="202">
        <f>NroOrden(N374)</f>
        <v>99</v>
      </c>
      <c r="AI374" s="202"/>
      <c r="AJ374" s="202" t="str">
        <f ca="1">IF(OR(Y374="NO",Y374="LIMBO"),"IMP","NOIMP")</f>
        <v>IMP</v>
      </c>
    </row>
    <row r="375" spans="1:36" ht="39.950000000000003" hidden="1" customHeight="1">
      <c r="A375" s="202">
        <v>362</v>
      </c>
      <c r="B375" s="203" t="s">
        <v>2231</v>
      </c>
      <c r="C375" s="204" t="s">
        <v>501</v>
      </c>
      <c r="D375" s="202" t="s">
        <v>2232</v>
      </c>
      <c r="E375" s="202" t="s">
        <v>2233</v>
      </c>
      <c r="F375" s="224">
        <v>45211</v>
      </c>
      <c r="G375" s="202"/>
      <c r="H375" s="202"/>
      <c r="I375" s="203"/>
      <c r="J375" s="203"/>
      <c r="K375" s="202"/>
      <c r="L375" s="202"/>
      <c r="M375" s="203" t="s">
        <v>2173</v>
      </c>
      <c r="N375" s="202"/>
      <c r="O375" s="202"/>
      <c r="P375" s="202"/>
      <c r="Q375" s="202" t="s">
        <v>240</v>
      </c>
      <c r="R375" s="202"/>
      <c r="S375" s="202" t="s">
        <v>2234</v>
      </c>
      <c r="T375" s="202" t="s">
        <v>2235</v>
      </c>
      <c r="U375" s="202" t="s">
        <v>2236</v>
      </c>
      <c r="V375" s="202" t="s">
        <v>338</v>
      </c>
      <c r="W375" s="202"/>
      <c r="X375" s="202"/>
      <c r="Y375" s="202" t="str">
        <f ca="1">IF(I375&lt;&gt;"",IF(I375&lt;=TODAY(),IF(OR(N375="REPROGRAMADA",N375="SUSPENDIDA",N375="EXCLUSION",N375="COLEGIADO"),"NO HECHA",IF(N375=" ","SINRESULTADO","SI")),"NO"),IF(N375="EXCLUSION","NO HECHA","LIMBO"))</f>
        <v>LIMBO</v>
      </c>
      <c r="Z375" s="202" t="str">
        <f>IF($Z$1=I375,"DIASOL", "DIANOSOL")</f>
        <v>DIANOSOL</v>
      </c>
      <c r="AA375" s="202"/>
      <c r="AB375" s="202" t="s">
        <v>2237</v>
      </c>
      <c r="AC375" s="202" t="str">
        <f>IF(H375=$M$1,"SI","NO")</f>
        <v>NO</v>
      </c>
      <c r="AD375" s="202"/>
      <c r="AE375" s="202"/>
      <c r="AF375" s="202"/>
      <c r="AG375" s="202" t="str">
        <f>IF(COUNTIF(C375,"*preso*")&gt;0,"SI","NO")</f>
        <v>SI</v>
      </c>
      <c r="AH375" s="202">
        <f>NroOrden(N375)</f>
        <v>99</v>
      </c>
      <c r="AI375" s="202"/>
      <c r="AJ375" s="202" t="str">
        <f ca="1">IF(OR(Y375="NO",Y375="LIMBO"),"IMP","NOIMP")</f>
        <v>IMP</v>
      </c>
    </row>
    <row r="376" spans="1:36" ht="39.950000000000003" hidden="1" customHeight="1">
      <c r="A376" s="197">
        <v>363</v>
      </c>
      <c r="B376" s="198" t="s">
        <v>2238</v>
      </c>
      <c r="C376" s="199"/>
      <c r="D376" s="197" t="s">
        <v>2239</v>
      </c>
      <c r="E376" s="197" t="s">
        <v>2240</v>
      </c>
      <c r="F376" s="321">
        <v>45219</v>
      </c>
      <c r="G376" s="197"/>
      <c r="H376" s="197"/>
      <c r="I376" s="198"/>
      <c r="J376" s="198"/>
      <c r="K376" s="197"/>
      <c r="L376" s="197"/>
      <c r="M376" s="198" t="s">
        <v>331</v>
      </c>
      <c r="N376" s="197"/>
      <c r="O376" s="197"/>
      <c r="P376" s="197"/>
      <c r="Q376" s="197" t="s">
        <v>240</v>
      </c>
      <c r="R376" s="197"/>
      <c r="S376" s="197"/>
      <c r="T376" s="197"/>
      <c r="U376" s="197"/>
      <c r="V376" s="197" t="s">
        <v>343</v>
      </c>
      <c r="W376" s="197" t="s">
        <v>119</v>
      </c>
      <c r="X376" s="197"/>
      <c r="Y376" s="197" t="str">
        <f ca="1">IF(I376&lt;&gt;"",IF(I376&lt;=TODAY(),IF(OR(N376="REPROGRAMADA",N376="SUSPENDIDA",N376="EXCLUSION",N376="COLEGIADO"),"NO HECHA",IF(N376=" ","SINRESULTADO","SI")),"NO"),IF(N376="EXCLUSION","NO HECHA","LIMBO"))</f>
        <v>LIMBO</v>
      </c>
      <c r="Z376" s="197" t="str">
        <f>IF($Z$1=I376,"DIASOL", "DIANOSOL")</f>
        <v>DIANOSOL</v>
      </c>
      <c r="AA376" s="197"/>
      <c r="AB376" s="197" t="s">
        <v>2241</v>
      </c>
      <c r="AC376" s="197" t="str">
        <f>IF(H376=$M$1,"SI","NO")</f>
        <v>NO</v>
      </c>
      <c r="AD376" s="197"/>
      <c r="AE376" s="321">
        <v>45219</v>
      </c>
      <c r="AF376" s="197"/>
      <c r="AG376" s="197" t="str">
        <f>IF(COUNTIF(C376,"*preso*")&gt;0,"SI","NO")</f>
        <v>NO</v>
      </c>
      <c r="AH376" s="197">
        <f>NroOrden(N376)</f>
        <v>99</v>
      </c>
      <c r="AI376" s="197"/>
      <c r="AJ376" s="197" t="str">
        <f ca="1">IF(OR(Y376="NO",Y376="LIMBO"),"IMP","NOIMP")</f>
        <v>IMP</v>
      </c>
    </row>
    <row r="377" spans="1:36" ht="39.950000000000003" hidden="1" customHeight="1">
      <c r="A377" s="197">
        <v>364</v>
      </c>
      <c r="B377" s="198" t="s">
        <v>2242</v>
      </c>
      <c r="C377" s="199"/>
      <c r="D377" s="197" t="s">
        <v>2243</v>
      </c>
      <c r="E377" s="197" t="s">
        <v>2244</v>
      </c>
      <c r="F377" s="321">
        <v>45219</v>
      </c>
      <c r="G377" s="197"/>
      <c r="H377" s="197"/>
      <c r="I377" s="198"/>
      <c r="J377" s="198"/>
      <c r="K377" s="197"/>
      <c r="L377" s="197"/>
      <c r="M377" s="198" t="s">
        <v>1819</v>
      </c>
      <c r="N377" s="197"/>
      <c r="O377" s="197"/>
      <c r="P377" s="197"/>
      <c r="Q377" s="197" t="s">
        <v>240</v>
      </c>
      <c r="R377" s="197"/>
      <c r="S377" s="197"/>
      <c r="T377" s="197"/>
      <c r="U377" s="197"/>
      <c r="V377" s="197" t="s">
        <v>1280</v>
      </c>
      <c r="W377" s="197"/>
      <c r="X377" s="197"/>
      <c r="Y377" s="197" t="str">
        <f ca="1">IF(I377&lt;&gt;"",IF(I377&lt;=TODAY(),IF(OR(N377="REPROGRAMADA",N377="SUSPENDIDA",N377="EXCLUSION",N377="COLEGIADO"),"NO HECHA",IF(N377=" ","SINRESULTADO","SI")),"NO"),IF(N377="EXCLUSION","NO HECHA","LIMBO"))</f>
        <v>LIMBO</v>
      </c>
      <c r="Z377" s="197" t="str">
        <f>IF($Z$1=I377,"DIASOL", "DIANOSOL")</f>
        <v>DIANOSOL</v>
      </c>
      <c r="AA377" s="197"/>
      <c r="AB377" s="197" t="s">
        <v>2245</v>
      </c>
      <c r="AC377" s="197" t="str">
        <f>IF(H377=$M$1,"SI","NO")</f>
        <v>NO</v>
      </c>
      <c r="AD377" s="197"/>
      <c r="AE377" s="321">
        <v>45219</v>
      </c>
      <c r="AF377" s="197"/>
      <c r="AG377" s="197" t="str">
        <f>IF(COUNTIF(C377,"*preso*")&gt;0,"SI","NO")</f>
        <v>NO</v>
      </c>
      <c r="AH377" s="197">
        <f>NroOrden(N377)</f>
        <v>99</v>
      </c>
      <c r="AI377" s="197"/>
      <c r="AJ377" s="197" t="str">
        <f ca="1">IF(OR(Y377="NO",Y377="LIMBO"),"IMP","NOIMP")</f>
        <v>IMP</v>
      </c>
    </row>
    <row r="378" spans="1:36" ht="66" hidden="1" customHeight="1">
      <c r="A378" s="197">
        <v>365</v>
      </c>
      <c r="B378" s="198" t="s">
        <v>2246</v>
      </c>
      <c r="C378" s="199"/>
      <c r="D378" s="197" t="s">
        <v>2247</v>
      </c>
      <c r="E378" s="197" t="s">
        <v>2250</v>
      </c>
      <c r="F378" s="289">
        <v>45219</v>
      </c>
      <c r="G378" s="197"/>
      <c r="H378" s="197"/>
      <c r="I378" s="198"/>
      <c r="J378" s="198"/>
      <c r="K378" s="197"/>
      <c r="L378" s="197"/>
      <c r="M378" s="198" t="s">
        <v>1819</v>
      </c>
      <c r="N378" s="197"/>
      <c r="O378" s="197"/>
      <c r="P378" s="197"/>
      <c r="Q378" s="197" t="s">
        <v>240</v>
      </c>
      <c r="R378" s="197"/>
      <c r="S378" s="197"/>
      <c r="T378" s="197"/>
      <c r="U378" s="197"/>
      <c r="V378" s="197" t="s">
        <v>186</v>
      </c>
      <c r="W378" s="197" t="s">
        <v>2248</v>
      </c>
      <c r="X378" s="197"/>
      <c r="Y378" s="197" t="str">
        <f ca="1">IF(I378&lt;&gt;"",IF(I378&lt;=TODAY(),IF(OR(N378="REPROGRAMADA",N378="SUSPENDIDA",N378="EXCLUSION",N378="COLEGIADO"),"NO HECHA",IF(N378=" ","SINRESULTADO","SI")),"NO"),IF(N378="EXCLUSION","NO HECHA","LIMBO"))</f>
        <v>LIMBO</v>
      </c>
      <c r="Z378" s="197" t="str">
        <f>IF($Z$1=I378,"DIASOL", "DIANOSOL")</f>
        <v>DIANOSOL</v>
      </c>
      <c r="AA378" s="197"/>
      <c r="AB378" s="197" t="s">
        <v>2249</v>
      </c>
      <c r="AC378" s="197" t="str">
        <f>IF(H378=$M$1,"SI","NO")</f>
        <v>NO</v>
      </c>
      <c r="AD378" s="197"/>
      <c r="AE378" s="289">
        <v>45219</v>
      </c>
      <c r="AF378" s="197"/>
      <c r="AG378" s="197" t="str">
        <f>IF(COUNTIF(C378,"*preso*")&gt;0,"SI","NO")</f>
        <v>NO</v>
      </c>
      <c r="AH378" s="197">
        <f>NroOrden(N378)</f>
        <v>99</v>
      </c>
      <c r="AI378" s="197"/>
      <c r="AJ378" s="197" t="str">
        <f ca="1">IF(OR(Y378="NO",Y378="LIMBO"),"IMP","NOIMP")</f>
        <v>IMP</v>
      </c>
    </row>
    <row r="379" spans="1:36" ht="39.950000000000003" hidden="1" customHeight="1">
      <c r="A379" s="197">
        <v>369</v>
      </c>
      <c r="B379" s="198" t="s">
        <v>2270</v>
      </c>
      <c r="C379" s="199"/>
      <c r="D379" s="197" t="s">
        <v>2271</v>
      </c>
      <c r="E379" s="197" t="s">
        <v>2272</v>
      </c>
      <c r="F379" s="298">
        <v>45222</v>
      </c>
      <c r="G379" s="197" t="s">
        <v>2274</v>
      </c>
      <c r="H379" s="197"/>
      <c r="I379" s="198"/>
      <c r="J379" s="198"/>
      <c r="K379" s="197"/>
      <c r="L379" s="197"/>
      <c r="M379" s="198" t="s">
        <v>332</v>
      </c>
      <c r="N379" s="197"/>
      <c r="O379" s="197"/>
      <c r="P379" s="197"/>
      <c r="Q379" s="197" t="s">
        <v>240</v>
      </c>
      <c r="R379" s="197"/>
      <c r="S379" s="197"/>
      <c r="T379" s="197"/>
      <c r="U379" s="197"/>
      <c r="V379" s="197" t="s">
        <v>192</v>
      </c>
      <c r="W379" s="197" t="s">
        <v>118</v>
      </c>
      <c r="X379" s="197"/>
      <c r="Y379" s="197" t="str">
        <f ca="1">IF(I379&lt;&gt;"",IF(I379&lt;=TODAY(),IF(OR(N379="REPROGRAMADA",N379="SUSPENDIDA",N379="EXCLUSION",N379="COLEGIADO"),"NO HECHA",IF(N379=" ","SINRESULTADO","SI")),"NO"),IF(N379="EXCLUSION","NO HECHA","LIMBO"))</f>
        <v>LIMBO</v>
      </c>
      <c r="Z379" s="197" t="str">
        <f>IF($Z$1=I379,"DIASOL", "DIANOSOL")</f>
        <v>DIANOSOL</v>
      </c>
      <c r="AA379" s="197"/>
      <c r="AB379" s="197" t="s">
        <v>2273</v>
      </c>
      <c r="AC379" s="197" t="str">
        <f>IF(H379=$M$1,"SI","NO")</f>
        <v>NO</v>
      </c>
      <c r="AD379" s="197"/>
      <c r="AE379" s="298">
        <v>45222</v>
      </c>
      <c r="AF379" s="197"/>
      <c r="AG379" s="197" t="str">
        <f>IF(COUNTIF(C379,"*preso*")&gt;0,"SI","NO")</f>
        <v>NO</v>
      </c>
      <c r="AH379" s="197">
        <f>NroOrden(N379)</f>
        <v>99</v>
      </c>
      <c r="AI379" s="197"/>
      <c r="AJ379" s="197" t="str">
        <f ca="1">IF(OR(Y379="NO",Y379="LIMBO"),"IMP","NOIMP")</f>
        <v>IMP</v>
      </c>
    </row>
    <row r="380" spans="1:36" ht="43.5" hidden="1" customHeight="1">
      <c r="A380" s="197">
        <v>370</v>
      </c>
      <c r="B380" s="198" t="s">
        <v>2275</v>
      </c>
      <c r="C380" s="199"/>
      <c r="D380" s="197" t="s">
        <v>2276</v>
      </c>
      <c r="E380" s="197" t="s">
        <v>2277</v>
      </c>
      <c r="F380" s="298">
        <v>45223</v>
      </c>
      <c r="G380" s="197"/>
      <c r="H380" s="197"/>
      <c r="I380" s="198"/>
      <c r="J380" s="198"/>
      <c r="K380" s="197"/>
      <c r="L380" s="197"/>
      <c r="M380" s="198" t="s">
        <v>1819</v>
      </c>
      <c r="N380" s="197"/>
      <c r="O380" s="197"/>
      <c r="P380" s="197"/>
      <c r="Q380" s="197" t="s">
        <v>240</v>
      </c>
      <c r="R380" s="197"/>
      <c r="S380" s="197"/>
      <c r="T380" s="197"/>
      <c r="U380" s="197"/>
      <c r="V380" s="197" t="s">
        <v>344</v>
      </c>
      <c r="W380" s="197" t="s">
        <v>265</v>
      </c>
      <c r="X380" s="197"/>
      <c r="Y380" s="197" t="str">
        <f ca="1">IF(I380&lt;&gt;"",IF(I380&lt;=TODAY(),IF(OR(N380="REPROGRAMADA",N380="SUSPENDIDA",N380="EXCLUSION",N380="COLEGIADO"),"NO HECHA",IF(N380=" ","SINRESULTADO","SI")),"NO"),IF(N380="EXCLUSION","NO HECHA","LIMBO"))</f>
        <v>LIMBO</v>
      </c>
      <c r="Z380" s="197" t="str">
        <f>IF($Z$1=I380,"DIASOL", "DIANOSOL")</f>
        <v>DIANOSOL</v>
      </c>
      <c r="AA380" s="197"/>
      <c r="AB380" s="197" t="s">
        <v>2278</v>
      </c>
      <c r="AC380" s="197" t="str">
        <f>IF(H380=$M$1,"SI","NO")</f>
        <v>NO</v>
      </c>
      <c r="AD380" s="197"/>
      <c r="AE380" s="298">
        <v>45223</v>
      </c>
      <c r="AF380" s="197"/>
      <c r="AG380" s="197" t="str">
        <f>IF(COUNTIF(C380,"*preso*")&gt;0,"SI","NO")</f>
        <v>NO</v>
      </c>
      <c r="AH380" s="197">
        <f>NroOrden(N380)</f>
        <v>99</v>
      </c>
      <c r="AI380" s="197"/>
      <c r="AJ380" s="197" t="str">
        <f ca="1">IF(OR(Y380="NO",Y380="LIMBO"),"IMP","NOIMP")</f>
        <v>IMP</v>
      </c>
    </row>
    <row r="381" spans="1:36" ht="48" hidden="1" customHeight="1">
      <c r="A381" s="197">
        <v>371</v>
      </c>
      <c r="B381" s="198" t="s">
        <v>2279</v>
      </c>
      <c r="C381" s="199"/>
      <c r="D381" s="197" t="s">
        <v>2293</v>
      </c>
      <c r="E381" s="197" t="s">
        <v>2280</v>
      </c>
      <c r="F381" s="321">
        <v>45224</v>
      </c>
      <c r="G381" s="197"/>
      <c r="H381" s="197"/>
      <c r="I381" s="198"/>
      <c r="J381" s="198"/>
      <c r="K381" s="197"/>
      <c r="L381" s="197"/>
      <c r="M381" s="198" t="s">
        <v>2173</v>
      </c>
      <c r="N381" s="197"/>
      <c r="O381" s="197"/>
      <c r="P381" s="197"/>
      <c r="Q381" s="197" t="s">
        <v>240</v>
      </c>
      <c r="R381" s="197"/>
      <c r="S381" s="197"/>
      <c r="T381" s="197"/>
      <c r="U381" s="197"/>
      <c r="V381" s="197" t="s">
        <v>182</v>
      </c>
      <c r="W381" s="197" t="s">
        <v>119</v>
      </c>
      <c r="X381" s="197"/>
      <c r="Y381" s="197" t="str">
        <f ca="1">IF(I381&lt;&gt;"",IF(I381&lt;=TODAY(),IF(OR(N381="REPROGRAMADA",N381="SUSPENDIDA",N381="EXCLUSION",N381="COLEGIADO"),"NO HECHA",IF(N381=" ","SINRESULTADO","SI")),"NO"),IF(N381="EXCLUSION","NO HECHA","LIMBO"))</f>
        <v>LIMBO</v>
      </c>
      <c r="Z381" s="197" t="str">
        <f>IF($Z$1=I381,"DIASOL", "DIANOSOL")</f>
        <v>DIANOSOL</v>
      </c>
      <c r="AA381" s="197"/>
      <c r="AB381" s="197" t="s">
        <v>2295</v>
      </c>
      <c r="AC381" s="197" t="str">
        <f>IF(H381=$M$1,"SI","NO")</f>
        <v>NO</v>
      </c>
      <c r="AD381" s="197"/>
      <c r="AE381" s="321">
        <v>45224</v>
      </c>
      <c r="AF381" s="197"/>
      <c r="AG381" s="197" t="str">
        <f>IF(COUNTIF(C381,"*preso*")&gt;0,"SI","NO")</f>
        <v>NO</v>
      </c>
      <c r="AH381" s="197">
        <f>NroOrden(N381)</f>
        <v>99</v>
      </c>
      <c r="AI381" s="197"/>
      <c r="AJ381" s="197" t="str">
        <f ca="1">IF(OR(Y381="NO",Y381="LIMBO"),"IMP","NOIMP")</f>
        <v>IMP</v>
      </c>
    </row>
    <row r="382" spans="1:36" ht="166.5" hidden="1" customHeight="1">
      <c r="A382" s="197">
        <v>372</v>
      </c>
      <c r="B382" s="198" t="s">
        <v>2281</v>
      </c>
      <c r="C382" s="199"/>
      <c r="D382" s="197" t="s">
        <v>2346</v>
      </c>
      <c r="E382" s="197" t="s">
        <v>2282</v>
      </c>
      <c r="F382" s="321">
        <v>45224</v>
      </c>
      <c r="G382" s="197"/>
      <c r="H382" s="197"/>
      <c r="I382" s="198"/>
      <c r="J382" s="198"/>
      <c r="K382" s="197"/>
      <c r="L382" s="197"/>
      <c r="M382" s="198" t="s">
        <v>1816</v>
      </c>
      <c r="N382" s="197"/>
      <c r="O382" s="197"/>
      <c r="P382" s="197"/>
      <c r="Q382" s="197" t="s">
        <v>240</v>
      </c>
      <c r="R382" s="197"/>
      <c r="S382" s="197"/>
      <c r="T382" s="197"/>
      <c r="U382" s="197"/>
      <c r="V382" s="197" t="s">
        <v>182</v>
      </c>
      <c r="W382" s="197" t="s">
        <v>1047</v>
      </c>
      <c r="X382" s="197"/>
      <c r="Y382" s="197" t="str">
        <f ca="1">IF(I382&lt;&gt;"",IF(I382&lt;=TODAY(),IF(OR(N382="REPROGRAMADA",N382="SUSPENDIDA",N382="EXCLUSION",N382="COLEGIADO"),"NO HECHA",IF(N382=" ","SINRESULTADO","SI")),"NO"),IF(N382="EXCLUSION","NO HECHA","LIMBO"))</f>
        <v>LIMBO</v>
      </c>
      <c r="Z382" s="197" t="str">
        <f>IF($Z$1=I382,"DIASOL", "DIANOSOL")</f>
        <v>DIANOSOL</v>
      </c>
      <c r="AA382" s="197"/>
      <c r="AB382" s="197" t="s">
        <v>2283</v>
      </c>
      <c r="AC382" s="197" t="str">
        <f>IF(H382=$M$1,"SI","NO")</f>
        <v>NO</v>
      </c>
      <c r="AD382" s="197"/>
      <c r="AE382" s="321">
        <v>45224</v>
      </c>
      <c r="AF382" s="197"/>
      <c r="AG382" s="197" t="str">
        <f>IF(COUNTIF(C382,"*preso*")&gt;0,"SI","NO")</f>
        <v>NO</v>
      </c>
      <c r="AH382" s="197">
        <f>NroOrden(N382)</f>
        <v>99</v>
      </c>
      <c r="AI382" s="197"/>
      <c r="AJ382" s="197" t="str">
        <f ca="1">IF(OR(Y382="NO",Y382="LIMBO"),"IMP","NOIMP")</f>
        <v>IMP</v>
      </c>
    </row>
    <row r="383" spans="1:36" ht="39.950000000000003" hidden="1" customHeight="1">
      <c r="A383" s="197">
        <v>373</v>
      </c>
      <c r="B383" s="198" t="s">
        <v>2284</v>
      </c>
      <c r="C383" s="199"/>
      <c r="D383" s="197" t="s">
        <v>2285</v>
      </c>
      <c r="E383" s="197" t="s">
        <v>832</v>
      </c>
      <c r="F383" s="321">
        <v>45224</v>
      </c>
      <c r="G383" s="197"/>
      <c r="H383" s="197"/>
      <c r="I383" s="198"/>
      <c r="J383" s="198"/>
      <c r="K383" s="197"/>
      <c r="L383" s="197"/>
      <c r="M383" s="198" t="s">
        <v>1819</v>
      </c>
      <c r="N383" s="197"/>
      <c r="O383" s="197"/>
      <c r="P383" s="197"/>
      <c r="Q383" s="197" t="s">
        <v>240</v>
      </c>
      <c r="R383" s="197"/>
      <c r="S383" s="197"/>
      <c r="T383" s="197"/>
      <c r="U383" s="197"/>
      <c r="V383" s="197" t="s">
        <v>188</v>
      </c>
      <c r="W383" s="197" t="s">
        <v>2294</v>
      </c>
      <c r="X383" s="197"/>
      <c r="Y383" s="197" t="str">
        <f ca="1">IF(I383&lt;&gt;"",IF(I383&lt;=TODAY(),IF(OR(N383="REPROGRAMADA",N383="SUSPENDIDA",N383="EXCLUSION",N383="COLEGIADO"),"NO HECHA",IF(N383=" ","SINRESULTADO","SI")),"NO"),IF(N383="EXCLUSION","NO HECHA","LIMBO"))</f>
        <v>LIMBO</v>
      </c>
      <c r="Z383" s="197" t="str">
        <f>IF($Z$1=I383,"DIASOL", "DIANOSOL")</f>
        <v>DIANOSOL</v>
      </c>
      <c r="AA383" s="197"/>
      <c r="AB383" s="197" t="s">
        <v>2286</v>
      </c>
      <c r="AC383" s="197" t="str">
        <f>IF(H383=$M$1,"SI","NO")</f>
        <v>NO</v>
      </c>
      <c r="AD383" s="197"/>
      <c r="AE383" s="321">
        <v>45224</v>
      </c>
      <c r="AF383" s="197"/>
      <c r="AG383" s="197" t="str">
        <f>IF(COUNTIF(C383,"*preso*")&gt;0,"SI","NO")</f>
        <v>NO</v>
      </c>
      <c r="AH383" s="197">
        <f>NroOrden(N383)</f>
        <v>99</v>
      </c>
      <c r="AI383" s="197"/>
      <c r="AJ383" s="197" t="str">
        <f ca="1">IF(OR(Y383="NO",Y383="LIMBO"),"IMP","NOIMP")</f>
        <v>IMP</v>
      </c>
    </row>
    <row r="384" spans="1:36" ht="39.950000000000003" hidden="1" customHeight="1">
      <c r="A384" s="197">
        <v>374</v>
      </c>
      <c r="B384" s="198" t="s">
        <v>2287</v>
      </c>
      <c r="C384" s="199"/>
      <c r="D384" s="197" t="s">
        <v>2288</v>
      </c>
      <c r="E384" s="197" t="s">
        <v>2289</v>
      </c>
      <c r="F384" s="321">
        <v>45224</v>
      </c>
      <c r="G384" s="197"/>
      <c r="H384" s="197"/>
      <c r="I384" s="198"/>
      <c r="J384" s="198"/>
      <c r="K384" s="197"/>
      <c r="L384" s="197"/>
      <c r="M384" s="198" t="s">
        <v>329</v>
      </c>
      <c r="N384" s="197"/>
      <c r="O384" s="197"/>
      <c r="P384" s="197"/>
      <c r="Q384" s="197" t="s">
        <v>240</v>
      </c>
      <c r="R384" s="197"/>
      <c r="S384" s="197"/>
      <c r="T384" s="197"/>
      <c r="U384" s="197"/>
      <c r="V384" s="197" t="s">
        <v>189</v>
      </c>
      <c r="W384" s="197" t="s">
        <v>2290</v>
      </c>
      <c r="X384" s="197" t="s">
        <v>2291</v>
      </c>
      <c r="Y384" s="197" t="str">
        <f ca="1">IF(I384&lt;&gt;"",IF(I384&lt;=TODAY(),IF(OR(N384="REPROGRAMADA",N384="SUSPENDIDA",N384="EXCLUSION",N384="COLEGIADO"),"NO HECHA",IF(N384=" ","SINRESULTADO","SI")),"NO"),IF(N384="EXCLUSION","NO HECHA","LIMBO"))</f>
        <v>LIMBO</v>
      </c>
      <c r="Z384" s="197" t="str">
        <f>IF($Z$1=I384,"DIASOL", "DIANOSOL")</f>
        <v>DIANOSOL</v>
      </c>
      <c r="AA384" s="197"/>
      <c r="AB384" s="197" t="s">
        <v>2292</v>
      </c>
      <c r="AC384" s="197" t="str">
        <f>IF(H384=$M$1,"SI","NO")</f>
        <v>NO</v>
      </c>
      <c r="AD384" s="197"/>
      <c r="AE384" s="321">
        <v>45224</v>
      </c>
      <c r="AF384" s="197"/>
      <c r="AG384" s="197" t="str">
        <f>IF(COUNTIF(C384,"*preso*")&gt;0,"SI","NO")</f>
        <v>NO</v>
      </c>
      <c r="AH384" s="197">
        <f>NroOrden(N384)</f>
        <v>99</v>
      </c>
      <c r="AI384" s="197"/>
      <c r="AJ384" s="197" t="str">
        <f ca="1">IF(OR(Y384="NO",Y384="LIMBO"),"IMP","NOIMP")</f>
        <v>IMP</v>
      </c>
    </row>
    <row r="385" spans="1:36" ht="39.950000000000003" hidden="1" customHeight="1">
      <c r="A385" s="202">
        <v>376</v>
      </c>
      <c r="B385" s="203" t="s">
        <v>2297</v>
      </c>
      <c r="C385" s="204" t="s">
        <v>501</v>
      </c>
      <c r="D385" s="202" t="s">
        <v>2298</v>
      </c>
      <c r="E385" s="202" t="s">
        <v>2299</v>
      </c>
      <c r="F385" s="224">
        <v>45223</v>
      </c>
      <c r="G385" s="202" t="s">
        <v>2300</v>
      </c>
      <c r="H385" s="202"/>
      <c r="I385" s="203"/>
      <c r="J385" s="203"/>
      <c r="K385" s="202"/>
      <c r="L385" s="202"/>
      <c r="M385" s="203" t="s">
        <v>333</v>
      </c>
      <c r="N385" s="202"/>
      <c r="O385" s="202"/>
      <c r="P385" s="202"/>
      <c r="Q385" s="202" t="s">
        <v>240</v>
      </c>
      <c r="R385" s="202"/>
      <c r="S385" s="202"/>
      <c r="T385" s="202"/>
      <c r="U385" s="202"/>
      <c r="V385" s="202" t="s">
        <v>189</v>
      </c>
      <c r="W385" s="202" t="s">
        <v>202</v>
      </c>
      <c r="X385" s="202"/>
      <c r="Y385" s="202" t="str">
        <f ca="1">IF(I385&lt;&gt;"",IF(I385&lt;=TODAY(),IF(OR(N385="REPROGRAMADA",N385="SUSPENDIDA",N385="EXCLUSION",N385="COLEGIADO"),"NO HECHA",IF(N385=" ","SINRESULTADO","SI")),"NO"),IF(N385="EXCLUSION","NO HECHA","LIMBO"))</f>
        <v>LIMBO</v>
      </c>
      <c r="Z385" s="202" t="str">
        <f>IF($Z$1=I385,"DIASOL", "DIANOSOL")</f>
        <v>DIANOSOL</v>
      </c>
      <c r="AA385" s="202"/>
      <c r="AB385" s="202" t="s">
        <v>2301</v>
      </c>
      <c r="AC385" s="202" t="str">
        <f>IF(H385=$M$1,"SI","NO")</f>
        <v>NO</v>
      </c>
      <c r="AD385" s="202"/>
      <c r="AE385" s="224">
        <v>45223</v>
      </c>
      <c r="AF385" s="202"/>
      <c r="AG385" s="202" t="str">
        <f>IF(COUNTIF(C385,"*preso*")&gt;0,"SI","NO")</f>
        <v>SI</v>
      </c>
      <c r="AH385" s="202">
        <f>NroOrden(N385)</f>
        <v>99</v>
      </c>
      <c r="AI385" s="202"/>
      <c r="AJ385" s="202" t="str">
        <f ca="1">IF(OR(Y385="NO",Y385="LIMBO"),"IMP","NOIMP")</f>
        <v>IMP</v>
      </c>
    </row>
    <row r="386" spans="1:36" ht="39.950000000000003" hidden="1" customHeight="1">
      <c r="A386" s="197">
        <v>377</v>
      </c>
      <c r="B386" s="198" t="s">
        <v>2308</v>
      </c>
      <c r="C386" s="199"/>
      <c r="D386" s="197" t="s">
        <v>2309</v>
      </c>
      <c r="E386" s="197" t="s">
        <v>2310</v>
      </c>
      <c r="F386" s="321">
        <v>45226</v>
      </c>
      <c r="G386" s="197" t="s">
        <v>2314</v>
      </c>
      <c r="H386" s="197"/>
      <c r="I386" s="198"/>
      <c r="J386" s="198"/>
      <c r="K386" s="197"/>
      <c r="L386" s="197"/>
      <c r="M386" s="198" t="s">
        <v>1761</v>
      </c>
      <c r="N386" s="197"/>
      <c r="O386" s="197"/>
      <c r="P386" s="197"/>
      <c r="Q386" s="197" t="s">
        <v>240</v>
      </c>
      <c r="R386" s="197"/>
      <c r="S386" s="197"/>
      <c r="T386" s="197"/>
      <c r="U386" s="197"/>
      <c r="V386" s="197" t="s">
        <v>341</v>
      </c>
      <c r="W386" s="197" t="s">
        <v>2311</v>
      </c>
      <c r="X386" s="197" t="s">
        <v>2312</v>
      </c>
      <c r="Y386" s="197" t="str">
        <f ca="1">IF(I386&lt;&gt;"",IF(I386&lt;=TODAY(),IF(OR(N386="REPROGRAMADA",N386="SUSPENDIDA",N386="EXCLUSION",N386="COLEGIADO"),"NO HECHA",IF(N386=" ","SINRESULTADO","SI")),"NO"),IF(N386="EXCLUSION","NO HECHA","LIMBO"))</f>
        <v>LIMBO</v>
      </c>
      <c r="Z386" s="197" t="str">
        <f>IF($Z$1=I386,"DIASOL", "DIANOSOL")</f>
        <v>DIANOSOL</v>
      </c>
      <c r="AA386" s="197"/>
      <c r="AB386" s="197" t="s">
        <v>2313</v>
      </c>
      <c r="AC386" s="197" t="str">
        <f>IF(H386=$M$1,"SI","NO")</f>
        <v>NO</v>
      </c>
      <c r="AD386" s="197"/>
      <c r="AE386" s="321">
        <v>45226</v>
      </c>
      <c r="AF386" s="197"/>
      <c r="AG386" s="197" t="str">
        <f>IF(COUNTIF(C386,"*preso*")&gt;0,"SI","NO")</f>
        <v>NO</v>
      </c>
      <c r="AH386" s="197">
        <f>NroOrden(N386)</f>
        <v>99</v>
      </c>
      <c r="AI386" s="197"/>
      <c r="AJ386" s="197" t="str">
        <f ca="1">IF(OR(Y386="NO",Y386="LIMBO"),"IMP","NOIMP")</f>
        <v>IMP</v>
      </c>
    </row>
    <row r="387" spans="1:36" ht="39.950000000000003" hidden="1" customHeight="1">
      <c r="A387" s="197">
        <v>378</v>
      </c>
      <c r="B387" s="198" t="s">
        <v>2322</v>
      </c>
      <c r="C387" s="199"/>
      <c r="D387" s="197" t="s">
        <v>2323</v>
      </c>
      <c r="E387" s="197" t="s">
        <v>2324</v>
      </c>
      <c r="F387" s="321">
        <v>45226</v>
      </c>
      <c r="G387" s="197" t="s">
        <v>2314</v>
      </c>
      <c r="H387" s="197"/>
      <c r="I387" s="198"/>
      <c r="J387" s="198"/>
      <c r="K387" s="197"/>
      <c r="L387" s="197"/>
      <c r="M387" s="198" t="s">
        <v>331</v>
      </c>
      <c r="N387" s="197"/>
      <c r="O387" s="197"/>
      <c r="P387" s="197"/>
      <c r="Q387" s="197" t="s">
        <v>240</v>
      </c>
      <c r="R387" s="197"/>
      <c r="S387" s="197"/>
      <c r="T387" s="197"/>
      <c r="U387" s="197"/>
      <c r="V387" s="197" t="s">
        <v>193</v>
      </c>
      <c r="W387" s="197"/>
      <c r="X387" s="197"/>
      <c r="Y387" s="197" t="str">
        <f ca="1">IF(I387&lt;&gt;"",IF(I387&lt;=TODAY(),IF(OR(N387="REPROGRAMADA",N387="SUSPENDIDA",N387="EXCLUSION",N387="COLEGIADO"),"NO HECHA",IF(N387=" ","SINRESULTADO","SI")),"NO"),IF(N387="EXCLUSION","NO HECHA","LIMBO"))</f>
        <v>LIMBO</v>
      </c>
      <c r="Z387" s="197" t="str">
        <f>IF($Z$1=I387,"DIASOL", "DIANOSOL")</f>
        <v>DIANOSOL</v>
      </c>
      <c r="AA387" s="197"/>
      <c r="AB387" s="197" t="s">
        <v>2325</v>
      </c>
      <c r="AC387" s="197" t="str">
        <f>IF(H387=$M$1,"SI","NO")</f>
        <v>NO</v>
      </c>
      <c r="AD387" s="197"/>
      <c r="AE387" s="321">
        <v>45226</v>
      </c>
      <c r="AF387" s="197"/>
      <c r="AG387" s="197" t="str">
        <f>IF(COUNTIF(C387,"*preso*")&gt;0,"SI","NO")</f>
        <v>NO</v>
      </c>
      <c r="AH387" s="197">
        <f>NroOrden(N387)</f>
        <v>99</v>
      </c>
      <c r="AI387" s="197"/>
      <c r="AJ387" s="197" t="str">
        <f ca="1">IF(OR(Y387="NO",Y387="LIMBO"),"IMP","NOIMP")</f>
        <v>IMP</v>
      </c>
    </row>
    <row r="388" spans="1:36" ht="76.5" hidden="1" customHeight="1">
      <c r="A388" s="197">
        <v>379</v>
      </c>
      <c r="B388" s="198" t="s">
        <v>2326</v>
      </c>
      <c r="C388" s="199"/>
      <c r="D388" s="197" t="s">
        <v>2379</v>
      </c>
      <c r="E388" s="197" t="s">
        <v>2327</v>
      </c>
      <c r="F388" s="321">
        <v>45226</v>
      </c>
      <c r="G388" s="197" t="s">
        <v>2314</v>
      </c>
      <c r="H388" s="197"/>
      <c r="I388" s="198"/>
      <c r="J388" s="198"/>
      <c r="K388" s="197"/>
      <c r="L388" s="197"/>
      <c r="M388" s="198" t="s">
        <v>333</v>
      </c>
      <c r="N388" s="197"/>
      <c r="O388" s="197"/>
      <c r="P388" s="197"/>
      <c r="Q388" s="197" t="s">
        <v>240</v>
      </c>
      <c r="R388" s="197"/>
      <c r="S388" s="197"/>
      <c r="T388" s="197"/>
      <c r="U388" s="197"/>
      <c r="V388" s="197" t="s">
        <v>343</v>
      </c>
      <c r="W388" s="197" t="s">
        <v>136</v>
      </c>
      <c r="X388" s="197"/>
      <c r="Y388" s="197" t="str">
        <f ca="1">IF(I388&lt;&gt;"",IF(I388&lt;=TODAY(),IF(OR(N388="REPROGRAMADA",N388="SUSPENDIDA",N388="EXCLUSION",N388="COLEGIADO"),"NO HECHA",IF(N388=" ","SINRESULTADO","SI")),"NO"),IF(N388="EXCLUSION","NO HECHA","LIMBO"))</f>
        <v>LIMBO</v>
      </c>
      <c r="Z388" s="197" t="str">
        <f>IF($Z$1=I388,"DIASOL", "DIANOSOL")</f>
        <v>DIANOSOL</v>
      </c>
      <c r="AA388" s="197"/>
      <c r="AB388" s="197" t="s">
        <v>2328</v>
      </c>
      <c r="AC388" s="197" t="str">
        <f>IF(H388=$M$1,"SI","NO")</f>
        <v>NO</v>
      </c>
      <c r="AD388" s="197"/>
      <c r="AE388" s="321">
        <v>45226</v>
      </c>
      <c r="AF388" s="197"/>
      <c r="AG388" s="197" t="str">
        <f>IF(COUNTIF(C388,"*preso*")&gt;0,"SI","NO")</f>
        <v>NO</v>
      </c>
      <c r="AH388" s="197">
        <f>NroOrden(N388)</f>
        <v>99</v>
      </c>
      <c r="AI388" s="197"/>
      <c r="AJ388" s="197" t="str">
        <f ca="1">IF(OR(Y388="NO",Y388="LIMBO"),"IMP","NOIMP")</f>
        <v>IMP</v>
      </c>
    </row>
    <row r="389" spans="1:36" ht="65.25" hidden="1" customHeight="1">
      <c r="A389" s="197">
        <v>380</v>
      </c>
      <c r="B389" s="198" t="s">
        <v>2329</v>
      </c>
      <c r="C389" s="199"/>
      <c r="D389" s="197" t="s">
        <v>2330</v>
      </c>
      <c r="E389" s="197" t="s">
        <v>2331</v>
      </c>
      <c r="F389" s="321">
        <v>45226</v>
      </c>
      <c r="G389" s="197" t="s">
        <v>2314</v>
      </c>
      <c r="H389" s="197"/>
      <c r="I389" s="198"/>
      <c r="J389" s="198"/>
      <c r="K389" s="197"/>
      <c r="L389" s="197"/>
      <c r="M389" s="198" t="s">
        <v>333</v>
      </c>
      <c r="N389" s="197"/>
      <c r="O389" s="197"/>
      <c r="P389" s="197"/>
      <c r="Q389" s="197" t="s">
        <v>240</v>
      </c>
      <c r="R389" s="197"/>
      <c r="S389" s="197"/>
      <c r="T389" s="197"/>
      <c r="U389" s="197"/>
      <c r="V389" s="197" t="s">
        <v>186</v>
      </c>
      <c r="W389" s="197"/>
      <c r="X389" s="197"/>
      <c r="Y389" s="197" t="str">
        <f ca="1">IF(I389&lt;&gt;"",IF(I389&lt;=TODAY(),IF(OR(N389="REPROGRAMADA",N389="SUSPENDIDA",N389="EXCLUSION",N389="COLEGIADO"),"NO HECHA",IF(N389=" ","SINRESULTADO","SI")),"NO"),IF(N389="EXCLUSION","NO HECHA","LIMBO"))</f>
        <v>LIMBO</v>
      </c>
      <c r="Z389" s="197" t="str">
        <f>IF($Z$1=I389,"DIASOL", "DIANOSOL")</f>
        <v>DIANOSOL</v>
      </c>
      <c r="AA389" s="197"/>
      <c r="AB389" s="197" t="s">
        <v>2332</v>
      </c>
      <c r="AC389" s="197" t="str">
        <f>IF(H389=$M$1,"SI","NO")</f>
        <v>NO</v>
      </c>
      <c r="AD389" s="197"/>
      <c r="AE389" s="321">
        <v>45226</v>
      </c>
      <c r="AF389" s="197"/>
      <c r="AG389" s="197" t="str">
        <f>IF(COUNTIF(C389,"*preso*")&gt;0,"SI","NO")</f>
        <v>NO</v>
      </c>
      <c r="AH389" s="197">
        <f>NroOrden(N389)</f>
        <v>99</v>
      </c>
      <c r="AI389" s="197"/>
      <c r="AJ389" s="197" t="str">
        <f ca="1">IF(OR(Y389="NO",Y389="LIMBO"),"IMP","NOIMP")</f>
        <v>IMP</v>
      </c>
    </row>
    <row r="390" spans="1:36" ht="82.5" hidden="1" customHeight="1">
      <c r="A390" s="202">
        <v>381</v>
      </c>
      <c r="B390" s="203" t="s">
        <v>2334</v>
      </c>
      <c r="C390" s="204" t="s">
        <v>501</v>
      </c>
      <c r="D390" s="202" t="s">
        <v>2333</v>
      </c>
      <c r="E390" s="202" t="s">
        <v>1298</v>
      </c>
      <c r="F390" s="224">
        <v>45229</v>
      </c>
      <c r="G390" s="202"/>
      <c r="H390" s="202"/>
      <c r="I390" s="203"/>
      <c r="J390" s="203"/>
      <c r="K390" s="202"/>
      <c r="L390" s="202"/>
      <c r="M390" s="203" t="s">
        <v>331</v>
      </c>
      <c r="N390" s="202"/>
      <c r="O390" s="202"/>
      <c r="P390" s="202"/>
      <c r="Q390" s="202" t="s">
        <v>240</v>
      </c>
      <c r="R390" s="202"/>
      <c r="S390" s="202" t="s">
        <v>1958</v>
      </c>
      <c r="T390" s="202" t="s">
        <v>2336</v>
      </c>
      <c r="U390" s="202" t="s">
        <v>2337</v>
      </c>
      <c r="V390" s="202" t="s">
        <v>341</v>
      </c>
      <c r="W390" s="202"/>
      <c r="X390" s="202"/>
      <c r="Y390" s="202" t="str">
        <f ca="1">IF(I390&lt;&gt;"",IF(I390&lt;=TODAY(),IF(OR(N390="REPROGRAMADA",N390="SUSPENDIDA",N390="EXCLUSION",N390="COLEGIADO"),"NO HECHA",IF(N390=" ","SINRESULTADO","SI")),"NO"),IF(N390="EXCLUSION","NO HECHA","LIMBO"))</f>
        <v>LIMBO</v>
      </c>
      <c r="Z390" s="202" t="str">
        <f>IF($Z$1=I390,"DIASOL", "DIANOSOL")</f>
        <v>DIANOSOL</v>
      </c>
      <c r="AA390" s="202"/>
      <c r="AB390" s="202" t="s">
        <v>2335</v>
      </c>
      <c r="AC390" s="202" t="str">
        <f>IF(H390=$M$1,"SI","NO")</f>
        <v>NO</v>
      </c>
      <c r="AD390" s="202"/>
      <c r="AE390" s="224">
        <v>45229</v>
      </c>
      <c r="AF390" s="202"/>
      <c r="AG390" s="202" t="str">
        <f>IF(COUNTIF(C390,"*preso*")&gt;0,"SI","NO")</f>
        <v>SI</v>
      </c>
      <c r="AH390" s="202">
        <f>NroOrden(N390)</f>
        <v>99</v>
      </c>
      <c r="AI390" s="202"/>
      <c r="AJ390" s="202" t="str">
        <f ca="1">IF(OR(Y390="NO",Y390="LIMBO"),"IMP","NOIMP")</f>
        <v>IMP</v>
      </c>
    </row>
    <row r="391" spans="1:36" ht="39.950000000000003" hidden="1" customHeight="1">
      <c r="A391" s="197">
        <v>382</v>
      </c>
      <c r="B391" s="198" t="s">
        <v>2339</v>
      </c>
      <c r="C391" s="199"/>
      <c r="D391" s="197" t="s">
        <v>2340</v>
      </c>
      <c r="E391" s="197" t="s">
        <v>518</v>
      </c>
      <c r="F391" s="321">
        <v>45226</v>
      </c>
      <c r="G391" s="197"/>
      <c r="H391" s="197"/>
      <c r="I391" s="198"/>
      <c r="J391" s="198"/>
      <c r="K391" s="197"/>
      <c r="L391" s="197"/>
      <c r="M391" s="198" t="s">
        <v>332</v>
      </c>
      <c r="N391" s="197"/>
      <c r="O391" s="197"/>
      <c r="P391" s="197"/>
      <c r="Q391" s="197" t="s">
        <v>240</v>
      </c>
      <c r="R391" s="197"/>
      <c r="S391" s="197"/>
      <c r="T391" s="197"/>
      <c r="U391" s="197"/>
      <c r="V391" s="197" t="s">
        <v>189</v>
      </c>
      <c r="W391" s="197"/>
      <c r="X391" s="197"/>
      <c r="Y391" s="197" t="str">
        <f ca="1">IF(I391&lt;&gt;"",IF(I391&lt;=TODAY(),IF(OR(N391="REPROGRAMADA",N391="SUSPENDIDA",N391="EXCLUSION",N391="COLEGIADO"),"NO HECHA",IF(N391=" ","SINRESULTADO","SI")),"NO"),IF(N391="EXCLUSION","NO HECHA","LIMBO"))</f>
        <v>LIMBO</v>
      </c>
      <c r="Z391" s="197" t="str">
        <f>IF($Z$1=I391,"DIASOL", "DIANOSOL")</f>
        <v>DIANOSOL</v>
      </c>
      <c r="AA391" s="197"/>
      <c r="AB391" s="197" t="s">
        <v>2341</v>
      </c>
      <c r="AC391" s="197" t="str">
        <f>IF(H391=$M$1,"SI","NO")</f>
        <v>NO</v>
      </c>
      <c r="AD391" s="197"/>
      <c r="AE391" s="321">
        <v>45226</v>
      </c>
      <c r="AF391" s="197"/>
      <c r="AG391" s="197" t="str">
        <f>IF(COUNTIF(C391,"*preso*")&gt;0,"SI","NO")</f>
        <v>NO</v>
      </c>
      <c r="AH391" s="197">
        <f>NroOrden(N391)</f>
        <v>99</v>
      </c>
      <c r="AI391" s="197"/>
      <c r="AJ391" s="197" t="str">
        <f ca="1">IF(OR(Y391="NO",Y391="LIMBO"),"IMP","NOIMP")</f>
        <v>IMP</v>
      </c>
    </row>
    <row r="392" spans="1:36" ht="39.950000000000003" hidden="1" customHeight="1">
      <c r="A392" s="197">
        <v>383</v>
      </c>
      <c r="B392" s="198" t="s">
        <v>2342</v>
      </c>
      <c r="C392" s="199"/>
      <c r="D392" s="197" t="s">
        <v>2343</v>
      </c>
      <c r="E392" s="197" t="s">
        <v>2344</v>
      </c>
      <c r="F392" s="321">
        <v>45226</v>
      </c>
      <c r="G392" s="197"/>
      <c r="H392" s="197"/>
      <c r="I392" s="198"/>
      <c r="J392" s="198"/>
      <c r="K392" s="197"/>
      <c r="L392" s="197"/>
      <c r="M392" s="198" t="s">
        <v>332</v>
      </c>
      <c r="N392" s="197"/>
      <c r="O392" s="197"/>
      <c r="P392" s="197"/>
      <c r="Q392" s="197" t="s">
        <v>240</v>
      </c>
      <c r="R392" s="197"/>
      <c r="S392" s="197"/>
      <c r="T392" s="197"/>
      <c r="U392" s="197"/>
      <c r="V392" s="197" t="s">
        <v>343</v>
      </c>
      <c r="W392" s="197" t="s">
        <v>120</v>
      </c>
      <c r="X392" s="197"/>
      <c r="Y392" s="197" t="str">
        <f ca="1">IF(I392&lt;&gt;"",IF(I392&lt;=TODAY(),IF(OR(N392="REPROGRAMADA",N392="SUSPENDIDA",N392="EXCLUSION",N392="COLEGIADO"),"NO HECHA",IF(N392=" ","SINRESULTADO","SI")),"NO"),IF(N392="EXCLUSION","NO HECHA","LIMBO"))</f>
        <v>LIMBO</v>
      </c>
      <c r="Z392" s="197" t="str">
        <f>IF($Z$1=I392,"DIASOL", "DIANOSOL")</f>
        <v>DIANOSOL</v>
      </c>
      <c r="AA392" s="197"/>
      <c r="AB392" s="197" t="s">
        <v>2345</v>
      </c>
      <c r="AC392" s="197" t="str">
        <f>IF(H392=$M$1,"SI","NO")</f>
        <v>NO</v>
      </c>
      <c r="AD392" s="197"/>
      <c r="AE392" s="321">
        <v>45226</v>
      </c>
      <c r="AF392" s="197"/>
      <c r="AG392" s="197" t="str">
        <f>IF(COUNTIF(C392,"*preso*")&gt;0,"SI","NO")</f>
        <v>NO</v>
      </c>
      <c r="AH392" s="197">
        <f>NroOrden(N392)</f>
        <v>99</v>
      </c>
      <c r="AI392" s="197"/>
      <c r="AJ392" s="197" t="str">
        <f ca="1">IF(OR(Y392="NO",Y392="LIMBO"),"IMP","NOIMP")</f>
        <v>IMP</v>
      </c>
    </row>
    <row r="393" spans="1:36" ht="39.950000000000003" hidden="1" customHeight="1">
      <c r="A393" s="197">
        <v>386</v>
      </c>
      <c r="B393" s="198" t="s">
        <v>2347</v>
      </c>
      <c r="C393" s="199"/>
      <c r="D393" s="197" t="s">
        <v>2348</v>
      </c>
      <c r="E393" s="197" t="s">
        <v>2349</v>
      </c>
      <c r="F393" s="321">
        <v>45230</v>
      </c>
      <c r="G393" s="197"/>
      <c r="H393" s="197"/>
      <c r="I393" s="198"/>
      <c r="J393" s="198"/>
      <c r="K393" s="197"/>
      <c r="L393" s="197"/>
      <c r="M393" s="198" t="s">
        <v>329</v>
      </c>
      <c r="N393" s="197"/>
      <c r="O393" s="197"/>
      <c r="P393" s="197"/>
      <c r="Q393" s="197" t="s">
        <v>240</v>
      </c>
      <c r="R393" s="197"/>
      <c r="S393" s="197"/>
      <c r="T393" s="197"/>
      <c r="U393" s="197"/>
      <c r="V393" s="197" t="s">
        <v>346</v>
      </c>
      <c r="W393" s="197"/>
      <c r="X393" s="197"/>
      <c r="Y393" s="197" t="str">
        <f ca="1">IF(I393&lt;&gt;"",IF(I393&lt;=TODAY(),IF(OR(N393="REPROGRAMADA",N393="SUSPENDIDA",N393="EXCLUSION",N393="COLEGIADO"),"NO HECHA",IF(N393=" ","SINRESULTADO","SI")),"NO"),IF(N393="EXCLUSION","NO HECHA","LIMBO"))</f>
        <v>LIMBO</v>
      </c>
      <c r="Z393" s="197" t="str">
        <f>IF($Z$1=I393,"DIASOL", "DIANOSOL")</f>
        <v>DIANOSOL</v>
      </c>
      <c r="AA393" s="197"/>
      <c r="AB393" s="197" t="s">
        <v>2350</v>
      </c>
      <c r="AC393" s="197" t="str">
        <f>IF(H393=$M$1,"SI","NO")</f>
        <v>NO</v>
      </c>
      <c r="AD393" s="197"/>
      <c r="AE393" s="321">
        <v>45230</v>
      </c>
      <c r="AF393" s="197"/>
      <c r="AG393" s="197" t="str">
        <f>IF(COUNTIF(C393,"*preso*")&gt;0,"SI","NO")</f>
        <v>NO</v>
      </c>
      <c r="AH393" s="197">
        <f>NroOrden(N393)</f>
        <v>99</v>
      </c>
      <c r="AI393" s="197"/>
      <c r="AJ393" s="197" t="str">
        <f ca="1">IF(OR(Y393="NO",Y393="LIMBO"),"IMP","NOIMP")</f>
        <v>IMP</v>
      </c>
    </row>
    <row r="394" spans="1:36" ht="117.75" hidden="1" customHeight="1">
      <c r="A394" s="197">
        <v>388</v>
      </c>
      <c r="B394" s="198" t="s">
        <v>2365</v>
      </c>
      <c r="C394" s="199"/>
      <c r="D394" s="197" t="s">
        <v>2366</v>
      </c>
      <c r="E394" s="197" t="s">
        <v>2367</v>
      </c>
      <c r="F394" s="321">
        <v>45229</v>
      </c>
      <c r="G394" s="197" t="s">
        <v>2368</v>
      </c>
      <c r="H394" s="197"/>
      <c r="I394" s="198"/>
      <c r="J394" s="198"/>
      <c r="K394" s="197"/>
      <c r="L394" s="197"/>
      <c r="M394" s="198" t="s">
        <v>330</v>
      </c>
      <c r="N394" s="197"/>
      <c r="O394" s="197"/>
      <c r="P394" s="197"/>
      <c r="Q394" s="197" t="s">
        <v>240</v>
      </c>
      <c r="R394" s="197"/>
      <c r="S394" s="197"/>
      <c r="T394" s="197"/>
      <c r="U394" s="197"/>
      <c r="V394" s="197" t="s">
        <v>1129</v>
      </c>
      <c r="W394" s="197" t="s">
        <v>141</v>
      </c>
      <c r="X394" s="197"/>
      <c r="Y394" s="197" t="str">
        <f ca="1">IF(I394&lt;&gt;"",IF(I394&lt;=TODAY(),IF(OR(N394="REPROGRAMADA",N394="SUSPENDIDA",N394="EXCLUSION",N394="COLEGIADO"),"NO HECHA",IF(N394=" ","SINRESULTADO","SI")),"NO"),IF(N394="EXCLUSION","NO HECHA","LIMBO"))</f>
        <v>LIMBO</v>
      </c>
      <c r="Z394" s="197" t="str">
        <f>IF($Z$1=I394,"DIASOL", "DIANOSOL")</f>
        <v>DIANOSOL</v>
      </c>
      <c r="AA394" s="197"/>
      <c r="AB394" s="197" t="s">
        <v>2369</v>
      </c>
      <c r="AC394" s="197" t="str">
        <f>IF(H394=$M$1,"SI","NO")</f>
        <v>NO</v>
      </c>
      <c r="AD394" s="197"/>
      <c r="AE394" s="321">
        <v>45229</v>
      </c>
      <c r="AF394" s="197"/>
      <c r="AG394" s="197" t="str">
        <f>IF(COUNTIF(C394,"*preso*")&gt;0,"SI","NO")</f>
        <v>NO</v>
      </c>
      <c r="AH394" s="197">
        <f>NroOrden(N394)</f>
        <v>99</v>
      </c>
      <c r="AI394" s="197"/>
      <c r="AJ394" s="197" t="str">
        <f ca="1">IF(OR(Y394="NO",Y394="LIMBO"),"IMP","NOIMP")</f>
        <v>IMP</v>
      </c>
    </row>
    <row r="395" spans="1:36" ht="39.950000000000003" hidden="1" customHeight="1">
      <c r="A395" s="202">
        <v>389</v>
      </c>
      <c r="B395" s="203" t="s">
        <v>2370</v>
      </c>
      <c r="C395" s="204" t="s">
        <v>501</v>
      </c>
      <c r="D395" s="202" t="s">
        <v>2371</v>
      </c>
      <c r="E395" s="202" t="s">
        <v>2372</v>
      </c>
      <c r="F395" s="224">
        <v>45230</v>
      </c>
      <c r="G395" s="202"/>
      <c r="H395" s="202"/>
      <c r="I395" s="203"/>
      <c r="J395" s="203"/>
      <c r="K395" s="202"/>
      <c r="L395" s="202"/>
      <c r="M395" s="203" t="s">
        <v>328</v>
      </c>
      <c r="N395" s="202"/>
      <c r="O395" s="202"/>
      <c r="P395" s="202"/>
      <c r="Q395" s="202" t="s">
        <v>240</v>
      </c>
      <c r="R395" s="202"/>
      <c r="S395" s="202" t="s">
        <v>1958</v>
      </c>
      <c r="T395" s="202" t="s">
        <v>2374</v>
      </c>
      <c r="U395" s="202" t="s">
        <v>2375</v>
      </c>
      <c r="V395" s="202" t="s">
        <v>100</v>
      </c>
      <c r="W395" s="202" t="s">
        <v>1196</v>
      </c>
      <c r="X395" s="202"/>
      <c r="Y395" s="202" t="str">
        <f ca="1">IF(I395&lt;&gt;"",IF(I395&lt;=TODAY(),IF(OR(N395="REPROGRAMADA",N395="SUSPENDIDA",N395="EXCLUSION",N395="COLEGIADO"),"NO HECHA",IF(N395=" ","SINRESULTADO","SI")),"NO"),IF(N395="EXCLUSION","NO HECHA","LIMBO"))</f>
        <v>LIMBO</v>
      </c>
      <c r="Z395" s="202" t="str">
        <f>IF($Z$1=I395,"DIASOL", "DIANOSOL")</f>
        <v>DIANOSOL</v>
      </c>
      <c r="AA395" s="202" t="s">
        <v>1724</v>
      </c>
      <c r="AB395" s="202"/>
      <c r="AC395" s="202" t="str">
        <f>IF(H395=$M$1,"SI","NO")</f>
        <v>NO</v>
      </c>
      <c r="AD395" s="202"/>
      <c r="AE395" s="224">
        <v>45230</v>
      </c>
      <c r="AF395" s="202"/>
      <c r="AG395" s="202" t="str">
        <f>IF(COUNTIF(C395,"*preso*")&gt;0,"SI","NO")</f>
        <v>SI</v>
      </c>
      <c r="AH395" s="202">
        <f>NroOrden(N395)</f>
        <v>99</v>
      </c>
      <c r="AI395" s="202" t="s">
        <v>2373</v>
      </c>
      <c r="AJ395" s="202" t="str">
        <f ca="1">IF(OR(Y395="NO",Y395="LIMBO"),"IMP","NOIMP")</f>
        <v>IMP</v>
      </c>
    </row>
    <row r="396" spans="1:36" ht="131.25" hidden="1" customHeight="1">
      <c r="A396" s="197">
        <v>390</v>
      </c>
      <c r="B396" s="198" t="s">
        <v>2380</v>
      </c>
      <c r="C396" s="199"/>
      <c r="D396" s="197" t="s">
        <v>2381</v>
      </c>
      <c r="E396" s="197" t="s">
        <v>1045</v>
      </c>
      <c r="F396" s="321">
        <v>45222</v>
      </c>
      <c r="G396" s="197" t="s">
        <v>2300</v>
      </c>
      <c r="H396" s="197"/>
      <c r="I396" s="198"/>
      <c r="J396" s="198"/>
      <c r="K396" s="197"/>
      <c r="L396" s="197"/>
      <c r="M396" s="198" t="s">
        <v>1813</v>
      </c>
      <c r="N396" s="197"/>
      <c r="O396" s="197"/>
      <c r="P396" s="197"/>
      <c r="Q396" s="197" t="s">
        <v>240</v>
      </c>
      <c r="R396" s="197"/>
      <c r="S396" s="197"/>
      <c r="T396" s="197"/>
      <c r="U396" s="197"/>
      <c r="V396" s="197" t="s">
        <v>1280</v>
      </c>
      <c r="W396" s="197"/>
      <c r="X396" s="197"/>
      <c r="Y396" s="197" t="str">
        <f ca="1">IF(I396&lt;&gt;"",IF(I396&lt;=TODAY(),IF(OR(N396="REPROGRAMADA",N396="SUSPENDIDA",N396="EXCLUSION",N396="COLEGIADO"),"NO HECHA",IF(N396=" ","SINRESULTADO","SI")),"NO"),IF(N396="EXCLUSION","NO HECHA","LIMBO"))</f>
        <v>LIMBO</v>
      </c>
      <c r="Z396" s="197" t="str">
        <f>IF($Z$1=I396,"DIASOL", "DIANOSOL")</f>
        <v>DIANOSOL</v>
      </c>
      <c r="AA396" s="197"/>
      <c r="AB396" s="197" t="s">
        <v>2382</v>
      </c>
      <c r="AC396" s="197" t="str">
        <f>IF(H396=$M$1,"SI","NO")</f>
        <v>NO</v>
      </c>
      <c r="AD396" s="197"/>
      <c r="AE396" s="321">
        <v>45222</v>
      </c>
      <c r="AF396" s="197"/>
      <c r="AG396" s="197" t="str">
        <f>IF(COUNTIF(C396,"*preso*")&gt;0,"SI","NO")</f>
        <v>NO</v>
      </c>
      <c r="AH396" s="197">
        <f>NroOrden(N396)</f>
        <v>99</v>
      </c>
      <c r="AI396" s="197"/>
      <c r="AJ396" s="197" t="str">
        <f ca="1">IF(OR(Y396="NO",Y396="LIMBO"),"IMP","NOIMP")</f>
        <v>IMP</v>
      </c>
    </row>
    <row r="397" spans="1:36" ht="39.950000000000003" hidden="1" customHeight="1">
      <c r="A397" s="197">
        <v>391</v>
      </c>
      <c r="B397" s="198" t="s">
        <v>2383</v>
      </c>
      <c r="C397" s="199"/>
      <c r="D397" s="197" t="s">
        <v>2384</v>
      </c>
      <c r="E397" s="197" t="s">
        <v>2385</v>
      </c>
      <c r="F397" s="321">
        <v>45231</v>
      </c>
      <c r="G397" s="197"/>
      <c r="H397" s="197"/>
      <c r="I397" s="198"/>
      <c r="J397" s="198"/>
      <c r="K397" s="197"/>
      <c r="L397" s="197"/>
      <c r="M397" s="198" t="s">
        <v>1818</v>
      </c>
      <c r="N397" s="197"/>
      <c r="O397" s="197"/>
      <c r="P397" s="197"/>
      <c r="Q397" s="197" t="s">
        <v>240</v>
      </c>
      <c r="R397" s="197"/>
      <c r="S397" s="197"/>
      <c r="T397" s="197"/>
      <c r="U397" s="197"/>
      <c r="V397" s="197" t="s">
        <v>190</v>
      </c>
      <c r="W397" s="197" t="s">
        <v>169</v>
      </c>
      <c r="X397" s="197"/>
      <c r="Y397" s="197" t="str">
        <f ca="1">IF(I397&lt;&gt;"",IF(I397&lt;=TODAY(),IF(OR(N397="REPROGRAMADA",N397="SUSPENDIDA",N397="EXCLUSION",N397="COLEGIADO"),"NO HECHA",IF(N397=" ","SINRESULTADO","SI")),"NO"),IF(N397="EXCLUSION","NO HECHA","LIMBO"))</f>
        <v>LIMBO</v>
      </c>
      <c r="Z397" s="197" t="str">
        <f>IF($Z$1=I397,"DIASOL", "DIANOSOL")</f>
        <v>DIANOSOL</v>
      </c>
      <c r="AA397" s="197"/>
      <c r="AB397" s="197" t="s">
        <v>2386</v>
      </c>
      <c r="AC397" s="197" t="str">
        <f>IF(H397=$M$1,"SI","NO")</f>
        <v>NO</v>
      </c>
      <c r="AD397" s="197"/>
      <c r="AE397" s="321">
        <v>45231</v>
      </c>
      <c r="AF397" s="197"/>
      <c r="AG397" s="197" t="str">
        <f>IF(COUNTIF(C397,"*preso*")&gt;0,"SI","NO")</f>
        <v>NO</v>
      </c>
      <c r="AH397" s="197">
        <f>NroOrden(N397)</f>
        <v>99</v>
      </c>
      <c r="AI397" s="197"/>
      <c r="AJ397" s="197" t="str">
        <f ca="1">IF(OR(Y397="NO",Y397="LIMBO"),"IMP","NOIMP")</f>
        <v>IMP</v>
      </c>
    </row>
    <row r="398" spans="1:36" ht="39.950000000000003" hidden="1" customHeight="1">
      <c r="A398" s="202">
        <v>394</v>
      </c>
      <c r="B398" s="203" t="s">
        <v>2392</v>
      </c>
      <c r="C398" s="204" t="s">
        <v>501</v>
      </c>
      <c r="D398" s="202" t="s">
        <v>2393</v>
      </c>
      <c r="E398" s="202" t="s">
        <v>1872</v>
      </c>
      <c r="F398" s="224">
        <v>45230</v>
      </c>
      <c r="G398" s="202"/>
      <c r="H398" s="202"/>
      <c r="I398" s="203"/>
      <c r="J398" s="203"/>
      <c r="K398" s="202"/>
      <c r="L398" s="202"/>
      <c r="M398" s="203" t="s">
        <v>1816</v>
      </c>
      <c r="N398" s="202"/>
      <c r="O398" s="202"/>
      <c r="P398" s="202"/>
      <c r="Q398" s="202" t="s">
        <v>240</v>
      </c>
      <c r="R398" s="202"/>
      <c r="S398" s="202" t="s">
        <v>1940</v>
      </c>
      <c r="T398" s="202" t="s">
        <v>2394</v>
      </c>
      <c r="U398" s="202" t="s">
        <v>2395</v>
      </c>
      <c r="V398" s="202" t="s">
        <v>100</v>
      </c>
      <c r="W398" s="202" t="s">
        <v>169</v>
      </c>
      <c r="X398" s="202"/>
      <c r="Y398" s="202" t="str">
        <f ca="1">IF(I398&lt;&gt;"",IF(I398&lt;=TODAY(),IF(OR(N398="REPROGRAMADA",N398="SUSPENDIDA",N398="EXCLUSION",N398="COLEGIADO"),"NO HECHA",IF(N398=" ","SINRESULTADO","SI")),"NO"),IF(N398="EXCLUSION","NO HECHA","LIMBO"))</f>
        <v>LIMBO</v>
      </c>
      <c r="Z398" s="202" t="str">
        <f>IF($Z$1=I398,"DIASOL", "DIANOSOL")</f>
        <v>DIANOSOL</v>
      </c>
      <c r="AA398" s="202"/>
      <c r="AB398" s="202" t="s">
        <v>2396</v>
      </c>
      <c r="AC398" s="202" t="str">
        <f>IF(H398=$M$1,"SI","NO")</f>
        <v>NO</v>
      </c>
      <c r="AD398" s="202"/>
      <c r="AE398" s="224">
        <v>45230</v>
      </c>
      <c r="AF398" s="202"/>
      <c r="AG398" s="202" t="str">
        <f>IF(COUNTIF(C398,"*preso*")&gt;0,"SI","NO")</f>
        <v>SI</v>
      </c>
      <c r="AH398" s="202">
        <f>NroOrden(N398)</f>
        <v>99</v>
      </c>
      <c r="AI398" s="202"/>
      <c r="AJ398" s="202" t="str">
        <f ca="1">IF(OR(Y398="NO",Y398="LIMBO"),"IMP","NOIMP")</f>
        <v>IMP</v>
      </c>
    </row>
    <row r="399" spans="1:36" ht="61.5" hidden="1" customHeight="1">
      <c r="A399" s="202">
        <v>394</v>
      </c>
      <c r="B399" s="203" t="s">
        <v>2397</v>
      </c>
      <c r="C399" s="204" t="s">
        <v>501</v>
      </c>
      <c r="D399" s="202" t="s">
        <v>2398</v>
      </c>
      <c r="E399" s="202" t="s">
        <v>2402</v>
      </c>
      <c r="F399" s="224">
        <v>45229</v>
      </c>
      <c r="G399" s="202" t="s">
        <v>2368</v>
      </c>
      <c r="H399" s="202"/>
      <c r="I399" s="203"/>
      <c r="J399" s="203"/>
      <c r="K399" s="202"/>
      <c r="L399" s="202"/>
      <c r="M399" s="203" t="s">
        <v>331</v>
      </c>
      <c r="N399" s="202"/>
      <c r="O399" s="202"/>
      <c r="P399" s="202"/>
      <c r="Q399" s="202" t="s">
        <v>240</v>
      </c>
      <c r="R399" s="202"/>
      <c r="S399" s="202" t="s">
        <v>1940</v>
      </c>
      <c r="T399" s="202" t="s">
        <v>2399</v>
      </c>
      <c r="U399" s="202" t="s">
        <v>2400</v>
      </c>
      <c r="V399" s="202" t="s">
        <v>347</v>
      </c>
      <c r="W399" s="202" t="s">
        <v>125</v>
      </c>
      <c r="X399" s="202"/>
      <c r="Y399" s="202" t="str">
        <f ca="1">IF(I399&lt;&gt;"",IF(I399&lt;=TODAY(),IF(OR(N399="REPROGRAMADA",N399="SUSPENDIDA",N399="EXCLUSION",N399="COLEGIADO"),"NO HECHA",IF(N399=" ","SINRESULTADO","SI")),"NO"),IF(N399="EXCLUSION","NO HECHA","LIMBO"))</f>
        <v>LIMBO</v>
      </c>
      <c r="Z399" s="202" t="str">
        <f>IF($Z$1=I399,"DIASOL", "DIANOSOL")</f>
        <v>DIANOSOL</v>
      </c>
      <c r="AA399" s="202"/>
      <c r="AB399" s="202" t="s">
        <v>2403</v>
      </c>
      <c r="AC399" s="202" t="str">
        <f>IF(H399=$M$1,"SI","NO")</f>
        <v>NO</v>
      </c>
      <c r="AD399" s="202"/>
      <c r="AE399" s="224">
        <v>45229</v>
      </c>
      <c r="AF399" s="202"/>
      <c r="AG399" s="202" t="str">
        <f>IF(COUNTIF(C399,"*preso*")&gt;0,"SI","NO")</f>
        <v>SI</v>
      </c>
      <c r="AH399" s="202">
        <f>NroOrden(N399)</f>
        <v>99</v>
      </c>
      <c r="AI399" s="202" t="s">
        <v>2401</v>
      </c>
      <c r="AJ399" s="202" t="str">
        <f ca="1">IF(OR(Y399="NO",Y399="LIMBO"),"IMP","NOIMP")</f>
        <v>IMP</v>
      </c>
    </row>
    <row r="400" spans="1:36" ht="39.950000000000003" hidden="1" customHeight="1">
      <c r="A400" s="202">
        <v>397</v>
      </c>
      <c r="B400" s="203" t="s">
        <v>2406</v>
      </c>
      <c r="C400" s="204" t="s">
        <v>1477</v>
      </c>
      <c r="D400" s="202" t="s">
        <v>2407</v>
      </c>
      <c r="E400" s="202" t="s">
        <v>2408</v>
      </c>
      <c r="F400" s="224">
        <v>45232</v>
      </c>
      <c r="G400" s="202"/>
      <c r="H400" s="202"/>
      <c r="I400" s="203"/>
      <c r="J400" s="203"/>
      <c r="K400" s="202"/>
      <c r="L400" s="202"/>
      <c r="M400" s="203" t="s">
        <v>1813</v>
      </c>
      <c r="N400" s="202"/>
      <c r="O400" s="202"/>
      <c r="P400" s="202"/>
      <c r="Q400" s="202" t="s">
        <v>240</v>
      </c>
      <c r="R400" s="202"/>
      <c r="S400" s="202" t="s">
        <v>2412</v>
      </c>
      <c r="T400" s="202" t="s">
        <v>2410</v>
      </c>
      <c r="U400" s="202" t="s">
        <v>2411</v>
      </c>
      <c r="V400" s="202" t="s">
        <v>186</v>
      </c>
      <c r="W400" s="202" t="s">
        <v>1047</v>
      </c>
      <c r="X400" s="202"/>
      <c r="Y400" s="202" t="str">
        <f ca="1">IF(I400&lt;&gt;"",IF(I400&lt;=TODAY(),IF(OR(N400="REPROGRAMADA",N400="SUSPENDIDA",N400="EXCLUSION",N400="COLEGIADO"),"NO HECHA",IF(N400=" ","SINRESULTADO","SI")),"NO"),IF(N400="EXCLUSION","NO HECHA","LIMBO"))</f>
        <v>LIMBO</v>
      </c>
      <c r="Z400" s="202" t="str">
        <f>IF($Z$1=I400,"DIASOL", "DIANOSOL")</f>
        <v>DIANOSOL</v>
      </c>
      <c r="AA400" s="202" t="s">
        <v>624</v>
      </c>
      <c r="AB400" s="202" t="s">
        <v>2409</v>
      </c>
      <c r="AC400" s="202" t="str">
        <f>IF(H400=$M$1,"SI","NO")</f>
        <v>NO</v>
      </c>
      <c r="AD400" s="202"/>
      <c r="AE400" s="224">
        <v>45232</v>
      </c>
      <c r="AF400" s="202"/>
      <c r="AG400" s="202" t="str">
        <f>IF(COUNTIF(C400,"*preso*")&gt;0,"SI","NO")</f>
        <v>SI</v>
      </c>
      <c r="AH400" s="202">
        <f>NroOrden(N400)</f>
        <v>99</v>
      </c>
      <c r="AI400" s="202"/>
      <c r="AJ400" s="202" t="str">
        <f ca="1">IF(OR(Y400="NO",Y400="LIMBO"),"IMP","NOIMP")</f>
        <v>IMP</v>
      </c>
    </row>
    <row r="401" spans="1:36" ht="39.950000000000003" hidden="1" customHeight="1">
      <c r="A401" s="197">
        <v>398</v>
      </c>
      <c r="B401" s="198" t="s">
        <v>2413</v>
      </c>
      <c r="C401" s="199"/>
      <c r="D401" s="197" t="s">
        <v>2414</v>
      </c>
      <c r="E401" s="197" t="s">
        <v>1748</v>
      </c>
      <c r="F401" s="321">
        <v>45232</v>
      </c>
      <c r="G401" s="197"/>
      <c r="H401" s="197"/>
      <c r="I401" s="198"/>
      <c r="J401" s="198"/>
      <c r="K401" s="197"/>
      <c r="L401" s="197"/>
      <c r="M401" s="198" t="s">
        <v>332</v>
      </c>
      <c r="N401" s="197"/>
      <c r="O401" s="197"/>
      <c r="P401" s="197"/>
      <c r="Q401" s="197" t="s">
        <v>240</v>
      </c>
      <c r="R401" s="197"/>
      <c r="S401" s="197"/>
      <c r="T401" s="197"/>
      <c r="U401" s="197"/>
      <c r="V401" s="197" t="s">
        <v>182</v>
      </c>
      <c r="W401" s="197" t="s">
        <v>1245</v>
      </c>
      <c r="X401" s="197" t="s">
        <v>2415</v>
      </c>
      <c r="Y401" s="197" t="str">
        <f ca="1">IF(I401&lt;&gt;"",IF(I401&lt;=TODAY(),IF(OR(N401="REPROGRAMADA",N401="SUSPENDIDA",N401="EXCLUSION",N401="COLEGIADO"),"NO HECHA",IF(N401=" ","SINRESULTADO","SI")),"NO"),IF(N401="EXCLUSION","NO HECHA","LIMBO"))</f>
        <v>LIMBO</v>
      </c>
      <c r="Z401" s="197" t="str">
        <f>IF($Z$1=I401,"DIASOL", "DIANOSOL")</f>
        <v>DIANOSOL</v>
      </c>
      <c r="AA401" s="197"/>
      <c r="AB401" s="197" t="s">
        <v>2418</v>
      </c>
      <c r="AC401" s="197" t="str">
        <f>IF(H401=$M$1,"SI","NO")</f>
        <v>NO</v>
      </c>
      <c r="AD401" s="197"/>
      <c r="AE401" s="321">
        <v>45232</v>
      </c>
      <c r="AF401" s="197"/>
      <c r="AG401" s="197" t="str">
        <f>IF(COUNTIF(C401,"*preso*")&gt;0,"SI","NO")</f>
        <v>NO</v>
      </c>
      <c r="AH401" s="197">
        <f>NroOrden(N401)</f>
        <v>99</v>
      </c>
      <c r="AI401" s="197" t="s">
        <v>2417</v>
      </c>
      <c r="AJ401" s="197" t="str">
        <f ca="1">IF(OR(Y401="NO",Y401="LIMBO"),"IMP","NOIMP")</f>
        <v>IMP</v>
      </c>
    </row>
    <row r="402" spans="1:36" ht="39.950000000000003" hidden="1" customHeight="1">
      <c r="A402" s="197">
        <v>399</v>
      </c>
      <c r="B402" s="198" t="s">
        <v>2419</v>
      </c>
      <c r="C402" s="199"/>
      <c r="D402" s="197" t="s">
        <v>2420</v>
      </c>
      <c r="E402" s="197" t="s">
        <v>2421</v>
      </c>
      <c r="F402" s="321">
        <v>45232</v>
      </c>
      <c r="G402" s="197"/>
      <c r="H402" s="197"/>
      <c r="I402" s="198"/>
      <c r="J402" s="198"/>
      <c r="K402" s="197"/>
      <c r="L402" s="197"/>
      <c r="M402" s="198" t="s">
        <v>330</v>
      </c>
      <c r="N402" s="197"/>
      <c r="O402" s="197"/>
      <c r="P402" s="197"/>
      <c r="Q402" s="197" t="s">
        <v>240</v>
      </c>
      <c r="R402" s="197"/>
      <c r="S402" s="197"/>
      <c r="T402" s="197"/>
      <c r="U402" s="197"/>
      <c r="V402" s="197" t="s">
        <v>1280</v>
      </c>
      <c r="W402" s="197"/>
      <c r="X402" s="197"/>
      <c r="Y402" s="197" t="str">
        <f ca="1">IF(I402&lt;&gt;"",IF(I402&lt;=TODAY(),IF(OR(N402="REPROGRAMADA",N402="SUSPENDIDA",N402="EXCLUSION",N402="COLEGIADO"),"NO HECHA",IF(N402=" ","SINRESULTADO","SI")),"NO"),IF(N402="EXCLUSION","NO HECHA","LIMBO"))</f>
        <v>LIMBO</v>
      </c>
      <c r="Z402" s="197" t="str">
        <f>IF($Z$1=I402,"DIASOL", "DIANOSOL")</f>
        <v>DIANOSOL</v>
      </c>
      <c r="AA402" s="197"/>
      <c r="AB402" s="197" t="s">
        <v>2422</v>
      </c>
      <c r="AC402" s="197" t="str">
        <f>IF(H402=$M$1,"SI","NO")</f>
        <v>NO</v>
      </c>
      <c r="AD402" s="197"/>
      <c r="AE402" s="321">
        <v>45232</v>
      </c>
      <c r="AF402" s="197"/>
      <c r="AG402" s="197" t="str">
        <f>IF(COUNTIF(C402,"*preso*")&gt;0,"SI","NO")</f>
        <v>NO</v>
      </c>
      <c r="AH402" s="197">
        <f>NroOrden(N402)</f>
        <v>99</v>
      </c>
      <c r="AI402" s="197"/>
      <c r="AJ402" s="197" t="str">
        <f ca="1">IF(OR(Y402="NO",Y402="LIMBO"),"IMP","NOIMP")</f>
        <v>IMP</v>
      </c>
    </row>
    <row r="403" spans="1:36" ht="114.75" hidden="1">
      <c r="A403" s="287">
        <v>401</v>
      </c>
      <c r="B403" s="323" t="s">
        <v>2424</v>
      </c>
      <c r="C403" s="324"/>
      <c r="D403" s="287" t="s">
        <v>2425</v>
      </c>
      <c r="E403" s="337" t="s">
        <v>2427</v>
      </c>
      <c r="F403" s="325">
        <v>45232</v>
      </c>
      <c r="G403" s="287"/>
      <c r="H403" s="287"/>
      <c r="I403" s="323"/>
      <c r="J403" s="323"/>
      <c r="K403" s="287"/>
      <c r="L403" s="287"/>
      <c r="M403" s="323" t="s">
        <v>328</v>
      </c>
      <c r="N403" s="287"/>
      <c r="O403" s="287"/>
      <c r="P403" s="287"/>
      <c r="Q403" s="287" t="s">
        <v>240</v>
      </c>
      <c r="R403" s="287"/>
      <c r="S403" s="287"/>
      <c r="T403" s="287"/>
      <c r="U403" s="287"/>
      <c r="V403" s="287" t="s">
        <v>182</v>
      </c>
      <c r="W403" s="287" t="s">
        <v>1239</v>
      </c>
      <c r="X403" s="287"/>
      <c r="Y403" s="287" t="str">
        <f ca="1">IF(I403&lt;&gt;"",IF(I403&lt;=TODAY(),IF(OR(N403="REPROGRAMADA",N403="SUSPENDIDA",N403="EXCLUSION",N403="COLEGIADO"),"NO HECHA",IF(N403=" ","SINRESULTADO","SI")),"NO"),IF(N403="EXCLUSION","NO HECHA","LIMBO"))</f>
        <v>LIMBO</v>
      </c>
      <c r="Z403" s="287" t="str">
        <f>IF($Z$1=I403,"DIASOL", "DIANOSOL")</f>
        <v>DIANOSOL</v>
      </c>
      <c r="AA403" s="287"/>
      <c r="AB403" s="287" t="s">
        <v>2426</v>
      </c>
      <c r="AC403" s="287" t="str">
        <f>IF(H403=$M$1,"SI","NO")</f>
        <v>NO</v>
      </c>
      <c r="AD403" s="287"/>
      <c r="AE403" s="325">
        <v>45232</v>
      </c>
      <c r="AF403" s="287"/>
      <c r="AG403" s="287" t="str">
        <f>IF(COUNTIF(C403,"*preso*")&gt;0,"SI","NO")</f>
        <v>NO</v>
      </c>
      <c r="AH403" s="287">
        <f>NroOrden(N403)</f>
        <v>99</v>
      </c>
      <c r="AI403" s="287"/>
      <c r="AJ403" s="287" t="str">
        <f ca="1">IF(OR(Y403="NO",Y403="LIMBO"),"IMP","NOIMP")</f>
        <v>IMP</v>
      </c>
    </row>
  </sheetData>
  <autoFilter ref="A2:AJ403">
    <filterColumn colId="1">
      <filters>
        <filter val="174999/23"/>
      </filters>
    </filterColumn>
  </autoFilter>
  <sortState ref="A3:AJ403">
    <sortCondition ref="AH3:AH403"/>
    <sortCondition ref="I3:I403"/>
    <sortCondition ref="J3:J403"/>
    <sortCondition ref="I3:I403"/>
    <sortCondition ref="J3:J403"/>
  </sortState>
  <dataConsolidate/>
  <customSheetViews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92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"/>
    </customSheetView>
  </customSheetViews>
  <phoneticPr fontId="1" type="noConversion"/>
  <dataValidations count="10">
    <dataValidation type="list" allowBlank="1" showInputMessage="1" showErrorMessage="1" sqref="H3:H403">
      <formula1>Valores!$A$2:$A$15</formula1>
    </dataValidation>
    <dataValidation type="list" allowBlank="1" showInputMessage="1" showErrorMessage="1" sqref="Q3:Q403 M3:M403">
      <formula1>Valores!$C$2:$C$20</formula1>
    </dataValidation>
    <dataValidation type="list" allowBlank="1" showInputMessage="1" showErrorMessage="1" sqref="K3:K403">
      <formula1>Valores!$E$2:$E$17</formula1>
    </dataValidation>
    <dataValidation type="list" allowBlank="1" showInputMessage="1" showErrorMessage="1" sqref="L3:L403">
      <formula1>Valores!$U$2:$U$7</formula1>
    </dataValidation>
    <dataValidation type="list" allowBlank="1" showInputMessage="1" showErrorMessage="1" sqref="N3:N403">
      <formula1>Valores!$Q$2:$Q$20</formula1>
    </dataValidation>
    <dataValidation type="list" allowBlank="1" showInputMessage="1" showErrorMessage="1" sqref="O3:O403">
      <formula1>Valores!$S$2:$S$17</formula1>
    </dataValidation>
    <dataValidation type="list" allowBlank="1" showInputMessage="1" showErrorMessage="1" sqref="V3:V403">
      <formula1>Valores!$G$2:$G$40</formula1>
    </dataValidation>
    <dataValidation type="list" allowBlank="1" showInputMessage="1" showErrorMessage="1" sqref="W3:W403">
      <formula1>Valores!$I$2:$I$100</formula1>
    </dataValidation>
    <dataValidation type="list" allowBlank="1" showInputMessage="1" showErrorMessage="1" sqref="X3:X403">
      <formula1>Valores!$M$2:$M$20</formula1>
    </dataValidation>
    <dataValidation type="list" allowBlank="1" showInputMessage="1" showErrorMessage="1" sqref="AA3:AA403">
      <formula1>Valores!$K$2:$K$20</formula1>
    </dataValidation>
  </dataValidations>
  <pageMargins left="0.19685039370078741" right="0.19685039370078741" top="0.19685039370078741" bottom="0.19685039370078741" header="0" footer="0"/>
  <pageSetup paperSize="5" scale="70" orientation="landscape" r:id="rId4"/>
  <headerFooter alignWithMargins="0"/>
  <drawing r:id="rId5"/>
  <legacyDrawing r:id="rId6"/>
  <controls>
    <control shapeId="1126" r:id="rId7" name="ComboBox1"/>
    <control shapeId="1129" r:id="rId8" name="ComboBox2"/>
    <control shapeId="1152" r:id="rId9" name="GarOrigen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45233</v>
      </c>
    </row>
    <row r="2" spans="2:6" ht="21.95" customHeight="1">
      <c r="B2" s="338" t="s">
        <v>53</v>
      </c>
      <c r="C2" s="338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1426</v>
      </c>
      <c r="C11" s="8">
        <f ca="1">COUNTIFS(EXPEDIENTES!Y:Y,"LIMBO",EXPEDIENTES!I:I,"")</f>
        <v>63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39" t="s">
        <v>64</v>
      </c>
      <c r="C14" s="340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38" t="s">
        <v>65</v>
      </c>
      <c r="C22" s="338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 scale="70">
      <selection activeCell="C4" sqref="C4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98"/>
  <sheetViews>
    <sheetView topLeftCell="I1" zoomScale="80" zoomScaleNormal="80" workbookViewId="0">
      <selection activeCell="M13" sqref="M13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1651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2053</v>
      </c>
      <c r="S1" s="133" t="s">
        <v>2048</v>
      </c>
      <c r="U1" s="133" t="s">
        <v>1662</v>
      </c>
    </row>
    <row r="2" spans="1:21">
      <c r="A2" s="7" t="s">
        <v>1643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862</v>
      </c>
      <c r="M2" s="7" t="s">
        <v>605</v>
      </c>
      <c r="O2" s="7" t="s">
        <v>372</v>
      </c>
      <c r="Q2" s="7" t="s">
        <v>2045</v>
      </c>
      <c r="S2" s="7" t="s">
        <v>2051</v>
      </c>
      <c r="U2" s="7" t="s">
        <v>1663</v>
      </c>
    </row>
    <row r="3" spans="1:21">
      <c r="A3" s="7" t="s">
        <v>1642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2049</v>
      </c>
      <c r="U3" s="7" t="s">
        <v>1664</v>
      </c>
    </row>
    <row r="4" spans="1:21">
      <c r="A4" s="7" t="s">
        <v>1648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2405</v>
      </c>
      <c r="S4" s="7" t="s">
        <v>2050</v>
      </c>
      <c r="U4" s="7" t="s">
        <v>1665</v>
      </c>
    </row>
    <row r="5" spans="1:21">
      <c r="A5" s="7" t="s">
        <v>1644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1228</v>
      </c>
      <c r="M5" s="120" t="s">
        <v>688</v>
      </c>
      <c r="O5" s="120" t="s">
        <v>375</v>
      </c>
      <c r="Q5" s="120" t="s">
        <v>360</v>
      </c>
      <c r="S5" s="120" t="s">
        <v>2302</v>
      </c>
      <c r="U5" s="120" t="s">
        <v>1666</v>
      </c>
    </row>
    <row r="6" spans="1:21">
      <c r="A6" s="7" t="s">
        <v>1650</v>
      </c>
      <c r="B6" s="120" t="s">
        <v>1331</v>
      </c>
      <c r="C6" s="7" t="s">
        <v>332</v>
      </c>
      <c r="E6" s="120" t="s">
        <v>1677</v>
      </c>
      <c r="G6" s="42" t="s">
        <v>190</v>
      </c>
      <c r="I6" s="70" t="s">
        <v>202</v>
      </c>
      <c r="K6" s="7" t="s">
        <v>907</v>
      </c>
      <c r="M6" s="120" t="s">
        <v>1036</v>
      </c>
      <c r="O6" s="120" t="s">
        <v>376</v>
      </c>
      <c r="Q6" s="7" t="s">
        <v>2047</v>
      </c>
      <c r="S6" t="s">
        <v>2360</v>
      </c>
      <c r="U6" s="120" t="s">
        <v>2009</v>
      </c>
    </row>
    <row r="7" spans="1:21">
      <c r="A7" s="7" t="s">
        <v>1646</v>
      </c>
      <c r="B7" s="7" t="s">
        <v>324</v>
      </c>
      <c r="C7" s="7" t="s">
        <v>333</v>
      </c>
      <c r="E7" s="120" t="s">
        <v>1678</v>
      </c>
      <c r="G7" s="42" t="s">
        <v>192</v>
      </c>
      <c r="I7" s="70" t="s">
        <v>269</v>
      </c>
      <c r="K7" s="7" t="s">
        <v>738</v>
      </c>
      <c r="M7" s="120" t="s">
        <v>1234</v>
      </c>
      <c r="Q7" s="120" t="s">
        <v>361</v>
      </c>
      <c r="S7" s="120" t="s">
        <v>2355</v>
      </c>
    </row>
    <row r="8" spans="1:21">
      <c r="A8" s="7" t="s">
        <v>1645</v>
      </c>
      <c r="C8" s="7" t="s">
        <v>2173</v>
      </c>
      <c r="D8" s="7" t="s">
        <v>1812</v>
      </c>
      <c r="E8" s="120" t="s">
        <v>1679</v>
      </c>
      <c r="G8" s="42" t="s">
        <v>193</v>
      </c>
      <c r="I8" s="70" t="s">
        <v>132</v>
      </c>
      <c r="K8" s="7" t="s">
        <v>624</v>
      </c>
      <c r="M8" s="120" t="s">
        <v>2161</v>
      </c>
      <c r="Q8" s="7" t="s">
        <v>2046</v>
      </c>
      <c r="S8" t="s">
        <v>2359</v>
      </c>
    </row>
    <row r="9" spans="1:21">
      <c r="A9" s="7" t="s">
        <v>1647</v>
      </c>
      <c r="C9" s="7" t="s">
        <v>1813</v>
      </c>
      <c r="D9" s="7" t="s">
        <v>1814</v>
      </c>
      <c r="E9" s="120" t="s">
        <v>1680</v>
      </c>
      <c r="G9" s="42" t="s">
        <v>337</v>
      </c>
      <c r="I9" s="70" t="s">
        <v>133</v>
      </c>
      <c r="K9" s="7" t="s">
        <v>1130</v>
      </c>
      <c r="M9" s="120" t="s">
        <v>2291</v>
      </c>
      <c r="Q9" s="7" t="s">
        <v>1653</v>
      </c>
      <c r="S9" s="120" t="s">
        <v>2358</v>
      </c>
    </row>
    <row r="10" spans="1:21">
      <c r="A10" s="7" t="s">
        <v>1649</v>
      </c>
      <c r="B10" s="7" t="s">
        <v>327</v>
      </c>
      <c r="C10" s="7" t="s">
        <v>1761</v>
      </c>
      <c r="D10" s="7" t="s">
        <v>1815</v>
      </c>
      <c r="E10" s="120" t="s">
        <v>1667</v>
      </c>
      <c r="G10" s="42" t="s">
        <v>1963</v>
      </c>
      <c r="I10" s="70" t="s">
        <v>116</v>
      </c>
      <c r="K10" s="7" t="s">
        <v>1724</v>
      </c>
      <c r="M10" s="120" t="s">
        <v>2312</v>
      </c>
      <c r="Q10" s="7" t="s">
        <v>355</v>
      </c>
      <c r="S10" s="120" t="s">
        <v>2353</v>
      </c>
    </row>
    <row r="11" spans="1:21">
      <c r="A11" s="7" t="s">
        <v>1676</v>
      </c>
      <c r="B11" s="7" t="s">
        <v>326</v>
      </c>
      <c r="C11" s="7" t="s">
        <v>1816</v>
      </c>
      <c r="D11" s="7" t="s">
        <v>1817</v>
      </c>
      <c r="E11" s="120" t="s">
        <v>1950</v>
      </c>
      <c r="G11" s="42" t="s">
        <v>199</v>
      </c>
      <c r="I11" s="70" t="s">
        <v>117</v>
      </c>
      <c r="K11" s="7" t="s">
        <v>983</v>
      </c>
      <c r="M11" s="120" t="s">
        <v>2415</v>
      </c>
      <c r="Q11" s="120" t="s">
        <v>356</v>
      </c>
      <c r="S11" s="120" t="s">
        <v>2354</v>
      </c>
    </row>
    <row r="12" spans="1:21">
      <c r="C12" s="7" t="s">
        <v>1818</v>
      </c>
      <c r="D12" s="7" t="s">
        <v>1817</v>
      </c>
      <c r="E12" s="120" t="s">
        <v>2148</v>
      </c>
      <c r="G12" s="42" t="s">
        <v>1284</v>
      </c>
      <c r="H12" s="7" t="s">
        <v>1285</v>
      </c>
      <c r="I12" s="70" t="s">
        <v>118</v>
      </c>
      <c r="M12" s="120" t="s">
        <v>2416</v>
      </c>
      <c r="Q12" s="7" t="s">
        <v>378</v>
      </c>
      <c r="S12" s="120" t="s">
        <v>2357</v>
      </c>
    </row>
    <row r="13" spans="1:21">
      <c r="C13" s="7" t="s">
        <v>1819</v>
      </c>
      <c r="D13" s="7" t="s">
        <v>1817</v>
      </c>
      <c r="E13" s="120" t="s">
        <v>1838</v>
      </c>
      <c r="G13" s="42" t="s">
        <v>181</v>
      </c>
      <c r="I13" s="70" t="s">
        <v>119</v>
      </c>
      <c r="Q13" s="120" t="s">
        <v>359</v>
      </c>
      <c r="S13" s="120" t="s">
        <v>2356</v>
      </c>
    </row>
    <row r="14" spans="1:21">
      <c r="C14" t="s">
        <v>1799</v>
      </c>
      <c r="E14" s="120" t="s">
        <v>2132</v>
      </c>
      <c r="G14" s="41" t="s">
        <v>182</v>
      </c>
      <c r="I14" s="70" t="s">
        <v>136</v>
      </c>
      <c r="Q14" s="7" t="s">
        <v>1652</v>
      </c>
      <c r="S14" s="120" t="s">
        <v>2306</v>
      </c>
    </row>
    <row r="15" spans="1:21">
      <c r="E15" s="120" t="s">
        <v>2149</v>
      </c>
      <c r="G15" s="42" t="s">
        <v>183</v>
      </c>
      <c r="I15" s="70" t="s">
        <v>134</v>
      </c>
      <c r="Q15" s="7" t="s">
        <v>354</v>
      </c>
      <c r="S15" s="120" t="s">
        <v>2338</v>
      </c>
    </row>
    <row r="16" spans="1:21">
      <c r="E16" s="120" t="s">
        <v>1839</v>
      </c>
      <c r="G16" s="41" t="s">
        <v>184</v>
      </c>
      <c r="I16" s="70" t="s">
        <v>1047</v>
      </c>
      <c r="Q16" s="7" t="s">
        <v>1392</v>
      </c>
    </row>
    <row r="17" spans="5:17">
      <c r="E17" s="120" t="s">
        <v>403</v>
      </c>
      <c r="G17" s="41" t="s">
        <v>185</v>
      </c>
      <c r="I17" s="70" t="s">
        <v>535</v>
      </c>
      <c r="Q17" s="120" t="s">
        <v>358</v>
      </c>
    </row>
    <row r="18" spans="5:17">
      <c r="G18" s="42" t="s">
        <v>914</v>
      </c>
      <c r="I18" s="70" t="s">
        <v>135</v>
      </c>
      <c r="Q18" s="7" t="s">
        <v>2044</v>
      </c>
    </row>
    <row r="19" spans="5:17">
      <c r="G19" s="42" t="s">
        <v>1128</v>
      </c>
      <c r="I19" s="70" t="s">
        <v>674</v>
      </c>
      <c r="Q19" s="7" t="s">
        <v>353</v>
      </c>
    </row>
    <row r="20" spans="5:17">
      <c r="G20" s="42" t="s">
        <v>186</v>
      </c>
      <c r="I20" s="70" t="s">
        <v>120</v>
      </c>
    </row>
    <row r="21" spans="5:17">
      <c r="G21" s="42" t="s">
        <v>1286</v>
      </c>
      <c r="H21" s="7" t="s">
        <v>1287</v>
      </c>
      <c r="I21" s="70" t="s">
        <v>265</v>
      </c>
    </row>
    <row r="22" spans="5:17">
      <c r="G22" s="42" t="s">
        <v>1129</v>
      </c>
      <c r="I22" s="70" t="s">
        <v>112</v>
      </c>
    </row>
    <row r="23" spans="5:17">
      <c r="G23" s="42" t="s">
        <v>1280</v>
      </c>
      <c r="H23" s="7" t="s">
        <v>1281</v>
      </c>
      <c r="I23" s="70" t="s">
        <v>25</v>
      </c>
    </row>
    <row r="24" spans="5:17">
      <c r="G24" s="42" t="s">
        <v>344</v>
      </c>
      <c r="I24" s="70" t="s">
        <v>843</v>
      </c>
    </row>
    <row r="25" spans="5:17">
      <c r="G25" s="42" t="s">
        <v>345</v>
      </c>
      <c r="I25" s="70" t="s">
        <v>567</v>
      </c>
    </row>
    <row r="26" spans="5:17">
      <c r="G26" s="42" t="s">
        <v>343</v>
      </c>
      <c r="I26" s="70" t="s">
        <v>245</v>
      </c>
    </row>
    <row r="27" spans="5:17">
      <c r="G27" s="42" t="s">
        <v>346</v>
      </c>
      <c r="I27" s="70" t="s">
        <v>1306</v>
      </c>
    </row>
    <row r="28" spans="5:17">
      <c r="G28" s="42" t="s">
        <v>347</v>
      </c>
      <c r="I28" s="70" t="s">
        <v>719</v>
      </c>
    </row>
    <row r="29" spans="5:17">
      <c r="G29" s="42" t="s">
        <v>114</v>
      </c>
      <c r="I29" s="70" t="s">
        <v>200</v>
      </c>
    </row>
    <row r="30" spans="5:17">
      <c r="G30" s="42" t="s">
        <v>1282</v>
      </c>
      <c r="H30" s="7" t="s">
        <v>1283</v>
      </c>
      <c r="I30" s="70" t="s">
        <v>1133</v>
      </c>
    </row>
    <row r="31" spans="5:17">
      <c r="G31" s="42" t="s">
        <v>338</v>
      </c>
      <c r="I31" s="70" t="s">
        <v>263</v>
      </c>
    </row>
    <row r="32" spans="5:17">
      <c r="G32" s="42" t="s">
        <v>100</v>
      </c>
      <c r="I32" s="70" t="s">
        <v>370</v>
      </c>
    </row>
    <row r="33" spans="7:9">
      <c r="G33" s="42" t="s">
        <v>341</v>
      </c>
      <c r="I33" s="70" t="s">
        <v>1350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1239</v>
      </c>
    </row>
    <row r="40" spans="7:9">
      <c r="G40" s="41"/>
      <c r="I40" s="70" t="s">
        <v>634</v>
      </c>
    </row>
    <row r="41" spans="7:9">
      <c r="I41" s="70" t="s">
        <v>1227</v>
      </c>
    </row>
    <row r="42" spans="7:9">
      <c r="I42" s="70" t="s">
        <v>1175</v>
      </c>
    </row>
    <row r="43" spans="7:9">
      <c r="I43" s="70" t="s">
        <v>1160</v>
      </c>
    </row>
    <row r="44" spans="7:9">
      <c r="I44" s="7" t="s">
        <v>782</v>
      </c>
    </row>
    <row r="45" spans="7:9">
      <c r="I45" s="70" t="s">
        <v>593</v>
      </c>
    </row>
    <row r="46" spans="7:9">
      <c r="I46" s="70" t="s">
        <v>1245</v>
      </c>
    </row>
    <row r="47" spans="7:9">
      <c r="I47" s="70" t="s">
        <v>1264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1209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1766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1156</v>
      </c>
    </row>
    <row r="64" spans="9:9">
      <c r="I64" s="70" t="s">
        <v>900</v>
      </c>
    </row>
    <row r="65" spans="9:9">
      <c r="I65" s="70" t="s">
        <v>203</v>
      </c>
    </row>
    <row r="66" spans="9:9">
      <c r="I66" s="70" t="s">
        <v>813</v>
      </c>
    </row>
    <row r="67" spans="9:9">
      <c r="I67" s="70" t="s">
        <v>1041</v>
      </c>
    </row>
    <row r="68" spans="9:9">
      <c r="I68" s="70" t="s">
        <v>296</v>
      </c>
    </row>
    <row r="69" spans="9:9">
      <c r="I69" s="70" t="s">
        <v>1098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1257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1196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1204</v>
      </c>
    </row>
    <row r="80" spans="9:9">
      <c r="I80" s="70" t="s">
        <v>295</v>
      </c>
    </row>
    <row r="81" spans="9:9">
      <c r="I81" s="70" t="s">
        <v>1233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893</v>
      </c>
    </row>
    <row r="86" spans="9:9">
      <c r="I86" s="70" t="s">
        <v>819</v>
      </c>
    </row>
    <row r="87" spans="9:9">
      <c r="I87" s="70" t="s">
        <v>440</v>
      </c>
    </row>
    <row r="88" spans="9:9">
      <c r="I88" s="70" t="s">
        <v>1057</v>
      </c>
    </row>
    <row r="89" spans="9:9">
      <c r="I89" s="70" t="s">
        <v>129</v>
      </c>
    </row>
    <row r="90" spans="9:9">
      <c r="I90" s="70" t="s">
        <v>1079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2078</v>
      </c>
    </row>
    <row r="94" spans="9:9">
      <c r="I94" s="70" t="s">
        <v>2086</v>
      </c>
    </row>
    <row r="95" spans="9:9">
      <c r="I95" s="70" t="s">
        <v>2130</v>
      </c>
    </row>
    <row r="96" spans="9:9">
      <c r="I96" s="70" t="s">
        <v>2248</v>
      </c>
    </row>
    <row r="97" spans="9:9">
      <c r="I97" s="70" t="s">
        <v>2290</v>
      </c>
    </row>
    <row r="98" spans="9:9">
      <c r="I98" s="70" t="s">
        <v>2311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45233</v>
      </c>
      <c r="D1" s="7" t="s">
        <v>1517</v>
      </c>
    </row>
    <row r="3" spans="2:6" ht="20.100000000000001" customHeight="1">
      <c r="B3" s="338" t="s">
        <v>61</v>
      </c>
      <c r="C3" s="338"/>
      <c r="E3" s="7" t="s">
        <v>1519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52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54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69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37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57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30</v>
      </c>
    </row>
    <row r="11" spans="2:6" ht="24.95" customHeight="1">
      <c r="B11" s="189" t="s">
        <v>52</v>
      </c>
      <c r="C11" s="59">
        <f>SUM(C5:C10)</f>
        <v>299</v>
      </c>
    </row>
    <row r="12" spans="2:6" ht="24.95" customHeight="1"/>
    <row r="13" spans="2:6" ht="24.95" customHeight="1">
      <c r="B13" s="339" t="s">
        <v>62</v>
      </c>
      <c r="C13" s="340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5</v>
      </c>
    </row>
    <row r="16" spans="2:6" ht="20.100000000000001" customHeight="1">
      <c r="B16" s="8" t="s">
        <v>329</v>
      </c>
      <c r="C16" s="8">
        <f ca="1">COUNTIFS(EXPEDIENTES!M:M,$B16,EXPEDIENTES!Y:Y,"NO")</f>
        <v>1</v>
      </c>
    </row>
    <row r="17" spans="2:3" ht="20.100000000000001" customHeight="1">
      <c r="B17" s="8" t="s">
        <v>330</v>
      </c>
      <c r="C17" s="8">
        <f ca="1">COUNTIFS(EXPEDIENTES!M:M,$B17,EXPEDIENTES!Y:Y,"NO")</f>
        <v>11</v>
      </c>
    </row>
    <row r="18" spans="2:3" ht="20.100000000000001" customHeight="1">
      <c r="B18" s="8" t="s">
        <v>331</v>
      </c>
      <c r="C18" s="8">
        <f ca="1">COUNTIFS(EXPEDIENTES!M:M,$B18,EXPEDIENTES!Y:Y,"NO")</f>
        <v>5</v>
      </c>
    </row>
    <row r="19" spans="2:3" ht="20.100000000000001" customHeight="1">
      <c r="B19" s="8" t="s">
        <v>332</v>
      </c>
      <c r="C19" s="8">
        <f ca="1">COUNTIFS(EXPEDIENTES!M:M,$B19,EXPEDIENTES!Y:Y,"NO")</f>
        <v>15</v>
      </c>
    </row>
    <row r="20" spans="2:3" ht="24.95" customHeight="1">
      <c r="B20" s="8" t="s">
        <v>333</v>
      </c>
      <c r="C20" s="8">
        <f ca="1">COUNTIFS(EXPEDIENTES!M:M,$B20,EXPEDIENTES!Y:Y,"NO")</f>
        <v>2</v>
      </c>
    </row>
    <row r="21" spans="2:3" ht="24.95" customHeight="1">
      <c r="B21" s="189" t="s">
        <v>242</v>
      </c>
      <c r="C21" s="59">
        <f ca="1">SUM(C15:C20)</f>
        <v>39</v>
      </c>
    </row>
    <row r="22" spans="2:3" ht="24.95" customHeight="1"/>
    <row r="23" spans="2:3" ht="24.95" customHeight="1">
      <c r="B23" s="338" t="s">
        <v>63</v>
      </c>
      <c r="C23" s="338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38</v>
      </c>
    </row>
    <row r="26" spans="2:3" ht="24.95" customHeight="1">
      <c r="B26" s="8" t="s">
        <v>329</v>
      </c>
      <c r="C26" s="8">
        <f ca="1">COUNTIFS(EXPEDIENTES!M:M,$B26,EXPEDIENTES!Y:Y,"SI")</f>
        <v>40</v>
      </c>
    </row>
    <row r="27" spans="2:3" ht="24.95" customHeight="1">
      <c r="B27" s="8" t="s">
        <v>330</v>
      </c>
      <c r="C27" s="8">
        <f ca="1">COUNTIFS(EXPEDIENTES!M:M,$B27,EXPEDIENTES!Y:Y,"SI")</f>
        <v>39</v>
      </c>
    </row>
    <row r="28" spans="2:3" ht="24.95" customHeight="1">
      <c r="B28" s="8" t="s">
        <v>331</v>
      </c>
      <c r="C28" s="8">
        <f ca="1">COUNTIFS(EXPEDIENTES!M:M,$B28,EXPEDIENTES!Y:Y,"SI")</f>
        <v>20</v>
      </c>
    </row>
    <row r="29" spans="2:3" ht="24.95" customHeight="1">
      <c r="B29" s="8" t="s">
        <v>332</v>
      </c>
      <c r="C29" s="8">
        <f ca="1">COUNTIFS(EXPEDIENTES!M:M,$B29,EXPEDIENTES!Y:Y,"SI")</f>
        <v>20</v>
      </c>
    </row>
    <row r="30" spans="2:3" ht="24.95" customHeight="1">
      <c r="B30" s="8" t="s">
        <v>333</v>
      </c>
      <c r="C30" s="8">
        <f ca="1">COUNTIFS(EXPEDIENTES!M:M,$B30,EXPEDIENTES!Y:Y,"SI")</f>
        <v>20</v>
      </c>
    </row>
    <row r="31" spans="2:3" ht="20.100000000000001" customHeight="1">
      <c r="B31" s="189" t="s">
        <v>46</v>
      </c>
      <c r="C31" s="27">
        <f ca="1">SUM(C25:C30)</f>
        <v>177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41" t="s">
        <v>67</v>
      </c>
      <c r="C48" s="341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DB4207DD-4199-49C8-82A0-9B1EB1C1B792}" topLeftCell="A7">
      <selection activeCell="C31" sqref="C3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P73" zoomScaleNormal="70" zoomScaleSheetLayoutView="100" zoomScalePageLayoutView="70" workbookViewId="0">
      <selection activeCell="U39" sqref="U39:U48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42" t="s">
        <v>241</v>
      </c>
      <c r="B1" s="342"/>
      <c r="C1" s="342"/>
      <c r="D1" s="342"/>
      <c r="E1" s="342"/>
      <c r="F1" s="342"/>
      <c r="G1" s="342"/>
      <c r="H1" s="342"/>
      <c r="I1" s="342"/>
      <c r="J1" s="342"/>
      <c r="K1" s="7"/>
      <c r="U1" s="63" t="s">
        <v>1682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1683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34" t="s">
        <v>225</v>
      </c>
      <c r="V4" s="234" t="s">
        <v>226</v>
      </c>
    </row>
    <row r="5" spans="1:23" ht="45" customHeight="1">
      <c r="A5" s="62">
        <f>COUNTIF(EXPEDIENTES!N:N,C5)</f>
        <v>65</v>
      </c>
      <c r="B5" s="111">
        <f>A5/A16</f>
        <v>0.24714828897338403</v>
      </c>
      <c r="C5" s="192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35">
        <f ca="1">COUNTIFS(EXPEDIENTES!N:N,"*JUICIO ABREVIADO*",EXPEDIENTES!Y:Y,"SI")</f>
        <v>77</v>
      </c>
      <c r="V5" s="236" t="s">
        <v>21</v>
      </c>
    </row>
    <row r="6" spans="1:23" ht="45" customHeight="1">
      <c r="A6" s="62">
        <f>COUNTIF(EXPEDIENTES!N:N,C6)</f>
        <v>3</v>
      </c>
      <c r="B6" s="111">
        <f>A6/A16</f>
        <v>1.1406844106463879E-2</v>
      </c>
      <c r="C6" s="192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35">
        <f ca="1">COUNTIFS(EXPEDIENTES!N:N,"AUTO DE PRUEBA",EXPEDIENTES!Y:Y,"SI")</f>
        <v>65</v>
      </c>
      <c r="V6" s="238" t="s">
        <v>1685</v>
      </c>
      <c r="W6" s="120"/>
    </row>
    <row r="7" spans="1:23" ht="45" customHeight="1">
      <c r="A7" s="62">
        <f>COUNTIF(EXPEDIENTES!N:N,C7)</f>
        <v>9</v>
      </c>
      <c r="B7" s="111">
        <f>A7/A16</f>
        <v>3.4220532319391636E-2</v>
      </c>
      <c r="C7" s="192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35">
        <f ca="1">COUNTIFS(EXPEDIENTES!N:N,"SOBRESEIMIENTO",EXPEDIENTES!Y:Y,"SI")</f>
        <v>8</v>
      </c>
      <c r="V7" s="236" t="s">
        <v>1684</v>
      </c>
      <c r="W7" s="120"/>
    </row>
    <row r="8" spans="1:23" ht="45" customHeight="1">
      <c r="A8" s="62">
        <f>COUNTIF(EXPEDIENTES!N:N,C8)</f>
        <v>40</v>
      </c>
      <c r="B8" s="111">
        <f>A8/A16</f>
        <v>0.15209125475285171</v>
      </c>
      <c r="C8" s="55" t="s">
        <v>355</v>
      </c>
      <c r="F8" s="60"/>
      <c r="N8" s="62"/>
      <c r="O8" s="111"/>
      <c r="P8" s="48" t="s">
        <v>205</v>
      </c>
      <c r="U8" s="235">
        <f ca="1">COUNTIFS(EXPEDIENTES!N:N,"SUSPENDIDA",EXPEDIENTES!Y:Y,"NO HECHA")+COUNTIFS(EXPEDIENTES!N:N,"COLEGIADO",EXPEDIENTES!Y:Y,"NO HECHA")+COUNTIFS(EXPEDIENTES!N:N,"INHIBICIÓN",EXPEDIENTES!Y:Y,"NO HECHA")</f>
        <v>44</v>
      </c>
      <c r="V8" s="236" t="s">
        <v>239</v>
      </c>
      <c r="W8" s="7"/>
    </row>
    <row r="9" spans="1:23" ht="45" customHeight="1">
      <c r="A9" s="62">
        <f>COUNTIF(EXPEDIENTES!N:N,C9)</f>
        <v>37</v>
      </c>
      <c r="B9" s="111">
        <f>A9/A16</f>
        <v>0.14068441064638784</v>
      </c>
      <c r="C9" s="192" t="s">
        <v>356</v>
      </c>
      <c r="F9" s="60"/>
      <c r="N9" s="62"/>
      <c r="O9" s="111"/>
      <c r="P9" s="48" t="s">
        <v>308</v>
      </c>
      <c r="U9" s="235">
        <f ca="1">COUNTIFS(EXPEDIENTES!N:N,"EXCLUSION",EXPEDIENTES!Y:Y,"NO HECHA")</f>
        <v>9</v>
      </c>
      <c r="V9" s="236" t="s">
        <v>1686</v>
      </c>
      <c r="W9" s="7"/>
    </row>
    <row r="10" spans="1:23" ht="45" customHeight="1">
      <c r="A10" s="62">
        <f>COUNTIF(EXPEDIENTES!N:N,C10)</f>
        <v>15</v>
      </c>
      <c r="B10" s="111">
        <f>A10/A16</f>
        <v>5.7034220532319393E-2</v>
      </c>
      <c r="C10" s="192" t="s">
        <v>359</v>
      </c>
      <c r="F10" s="60"/>
      <c r="N10" s="62"/>
      <c r="O10" s="111"/>
      <c r="P10" s="48" t="s">
        <v>239</v>
      </c>
      <c r="U10" s="235">
        <f ca="1">COUNTIFS(EXPEDIENTES!N:N,"PROBATION",EXPEDIENTES!Y:Y,"SI")</f>
        <v>15</v>
      </c>
      <c r="V10" s="237" t="s">
        <v>211</v>
      </c>
      <c r="W10" s="120"/>
    </row>
    <row r="11" spans="1:23" ht="45" customHeight="1">
      <c r="A11" s="62">
        <f>COUNTIF(EXPEDIENTES!N:N,C11)</f>
        <v>34</v>
      </c>
      <c r="B11" s="111">
        <f>A11/A16</f>
        <v>0.12927756653992395</v>
      </c>
      <c r="C11" s="55" t="s">
        <v>354</v>
      </c>
      <c r="F11" s="60"/>
      <c r="N11" s="62"/>
      <c r="O11" s="111"/>
      <c r="P11" s="48" t="s">
        <v>45</v>
      </c>
      <c r="U11" s="235">
        <f ca="1">COUNTIFS(EXPEDIENTES!N:N,"NULIDAD",EXPEDIENTES!Y:Y,"SI")</f>
        <v>3</v>
      </c>
      <c r="V11" s="237" t="s">
        <v>1687</v>
      </c>
      <c r="W11" s="7"/>
    </row>
    <row r="12" spans="1:23" ht="45" customHeight="1">
      <c r="A12" s="62">
        <f>COUNTIF(EXPEDIENTES!N:N,C12)</f>
        <v>8</v>
      </c>
      <c r="B12" s="111">
        <f>A12/A16</f>
        <v>3.0418250950570342E-2</v>
      </c>
      <c r="C12" s="192" t="s">
        <v>358</v>
      </c>
      <c r="F12" s="60"/>
      <c r="U12" s="234">
        <f ca="1">SUM(U5:U11)</f>
        <v>221</v>
      </c>
      <c r="V12" s="234" t="s">
        <v>45</v>
      </c>
      <c r="W12" s="120"/>
    </row>
    <row r="13" spans="1:23" ht="39.75" customHeight="1">
      <c r="A13" s="62">
        <f>COUNTIF(EXPEDIENTES!N:N,C13)</f>
        <v>43</v>
      </c>
      <c r="B13" s="111">
        <f>A13/A16</f>
        <v>0.1634980988593156</v>
      </c>
      <c r="C13" s="55" t="s">
        <v>353</v>
      </c>
      <c r="F13" s="60"/>
      <c r="W13" s="7"/>
    </row>
    <row r="14" spans="1:23" ht="35.25" customHeight="1">
      <c r="A14" s="62">
        <f>COUNTIF(EXPEDIENTES!N:N,C14)</f>
        <v>3</v>
      </c>
      <c r="B14" s="111">
        <f>A14/A16</f>
        <v>1.1406844106463879E-2</v>
      </c>
      <c r="C14" s="55" t="s">
        <v>378</v>
      </c>
      <c r="W14" s="7"/>
    </row>
    <row r="15" spans="1:23" ht="37.5" customHeight="1">
      <c r="A15" s="62">
        <f>COUNTIF(EXPEDIENTES!N:N,C15)</f>
        <v>6</v>
      </c>
      <c r="B15" s="111">
        <f>A15/A16</f>
        <v>2.2813688212927757E-2</v>
      </c>
      <c r="C15" s="55" t="s">
        <v>1392</v>
      </c>
    </row>
    <row r="16" spans="1:23" ht="45" customHeight="1">
      <c r="A16" s="67">
        <f>SUM(A5:A15)</f>
        <v>263</v>
      </c>
      <c r="B16" s="113">
        <f>SUM(B5:B15)</f>
        <v>1</v>
      </c>
      <c r="C16" s="66" t="s">
        <v>45</v>
      </c>
      <c r="U16" s="63" t="s">
        <v>1682</v>
      </c>
      <c r="W16" s="16"/>
    </row>
    <row r="17" spans="1:23">
      <c r="W17" s="7"/>
    </row>
    <row r="18" spans="1:23" ht="20.25">
      <c r="A18" s="343"/>
      <c r="B18" s="343"/>
      <c r="C18" s="343"/>
      <c r="U18" s="16" t="s">
        <v>1825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34" t="s">
        <v>225</v>
      </c>
      <c r="V20" s="234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35">
        <f ca="1">COUNTIFS(EXPEDIENTES!N:N,"JUICIO ABREVIADO - CONDICIONAL",EXPEDIENTES!Y:Y,"SI")</f>
        <v>40</v>
      </c>
      <c r="V21" s="239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35">
        <f ca="1">COUNTIFS(EXPEDIENTES!N:N,"JUICIO ABREVIADO - EFECTIVA",EXPEDIENTES!Y:Y,"SI")</f>
        <v>37</v>
      </c>
      <c r="V22" s="239" t="s">
        <v>207</v>
      </c>
    </row>
    <row r="23" spans="1:23" ht="30" customHeight="1">
      <c r="A23" s="62">
        <f>COUNTIF(EXPEDIENTES!AA:AA,LEFT(C23,2))</f>
        <v>299</v>
      </c>
      <c r="B23" s="111">
        <f>A23/A43</f>
        <v>1</v>
      </c>
      <c r="C23" s="48" t="s">
        <v>243</v>
      </c>
      <c r="U23" s="234">
        <f ca="1">SUM(U21:U22)</f>
        <v>77</v>
      </c>
      <c r="V23" s="234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43"/>
      <c r="I25" s="243"/>
    </row>
    <row r="26" spans="1:23" ht="30" customHeight="1">
      <c r="A26" s="62"/>
      <c r="B26" s="111"/>
      <c r="C26" s="48"/>
      <c r="H26" s="243"/>
      <c r="I26" s="243"/>
    </row>
    <row r="27" spans="1:23" ht="30" customHeight="1">
      <c r="A27" s="62"/>
      <c r="B27" s="111"/>
      <c r="C27" s="48"/>
      <c r="H27" s="243"/>
      <c r="I27" s="243"/>
    </row>
    <row r="28" spans="1:23" ht="30" customHeight="1">
      <c r="A28" s="62"/>
      <c r="B28" s="111"/>
      <c r="C28" s="48"/>
      <c r="H28" s="243"/>
      <c r="I28" s="243"/>
    </row>
    <row r="29" spans="1:23" ht="30" customHeight="1">
      <c r="A29" s="62"/>
      <c r="B29" s="111"/>
      <c r="C29" s="48"/>
      <c r="H29" s="243"/>
      <c r="I29" s="243"/>
    </row>
    <row r="30" spans="1:23" ht="30" customHeight="1">
      <c r="A30" s="62"/>
      <c r="B30" s="111"/>
      <c r="C30" s="48"/>
      <c r="H30" s="243"/>
      <c r="I30" s="243"/>
    </row>
    <row r="31" spans="1:23" ht="30" customHeight="1">
      <c r="A31" s="62"/>
      <c r="B31" s="111"/>
      <c r="C31" s="48"/>
      <c r="H31" s="243"/>
      <c r="I31" s="243"/>
    </row>
    <row r="32" spans="1:23" ht="30" customHeight="1">
      <c r="A32" s="62"/>
      <c r="B32" s="111"/>
      <c r="C32" s="48"/>
      <c r="H32" s="243"/>
      <c r="I32" s="243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44" t="s">
        <v>1689</v>
      </c>
      <c r="V36" s="344"/>
      <c r="W36" s="344"/>
      <c r="X36" s="344"/>
      <c r="Y36" s="344"/>
      <c r="Z36" s="344"/>
      <c r="AA36" s="344"/>
      <c r="AB36" s="344"/>
      <c r="AC36" s="344"/>
      <c r="AD36" s="344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45" t="s">
        <v>1688</v>
      </c>
      <c r="V37" s="345"/>
      <c r="W37" s="345"/>
      <c r="X37" s="345"/>
      <c r="Y37" s="345"/>
      <c r="Z37" s="345"/>
      <c r="AA37" s="345"/>
      <c r="AB37" s="345"/>
      <c r="AC37" s="345"/>
      <c r="AD37" s="345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34" t="s">
        <v>225</v>
      </c>
      <c r="V38" s="234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40">
        <f>COUNTIFS(EXPEDIENTES!N:N,"AUTO DE PRUEBA")</f>
        <v>65</v>
      </c>
      <c r="V39" s="241" t="s">
        <v>357</v>
      </c>
      <c r="W39" s="244"/>
      <c r="X39" s="242"/>
      <c r="Y39" s="242"/>
      <c r="Z39" s="242"/>
      <c r="AA39" s="242"/>
      <c r="AB39" s="242"/>
      <c r="AC39" s="242"/>
      <c r="AD39" s="242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40">
        <f>COUNTIFS(EXPEDIENTES!N:N,V40)+COUNTIFS(EXPEDIENTES!N:N,"COLEGIADO")+COUNTIFS(EXPEDIENTES!N:N,"EXCLUSION - Acumulacion Fuera del plan piloto")</f>
        <v>20</v>
      </c>
      <c r="V40" s="241" t="s">
        <v>361</v>
      </c>
      <c r="W40" s="244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40">
        <f>COUNTIFS(EXPEDIENTES!N:N,V41)</f>
        <v>1</v>
      </c>
      <c r="V41" s="18" t="s">
        <v>2047</v>
      </c>
      <c r="W41" s="244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40">
        <f>COUNTIFS(EXPEDIENTES!N:N,V42)</f>
        <v>40</v>
      </c>
      <c r="V42" s="18" t="s">
        <v>355</v>
      </c>
      <c r="W42" s="245"/>
    </row>
    <row r="43" spans="1:30" ht="30" customHeight="1">
      <c r="A43" s="72">
        <f>SUM(A20:A42)</f>
        <v>299</v>
      </c>
      <c r="B43" s="112">
        <f>SUM(B20:B42)</f>
        <v>1</v>
      </c>
      <c r="C43" s="31" t="s">
        <v>238</v>
      </c>
      <c r="U43" s="240">
        <f>COUNTIFS(EXPEDIENTES!N:N,V43)</f>
        <v>37</v>
      </c>
      <c r="V43" s="241" t="s">
        <v>356</v>
      </c>
      <c r="W43" s="245"/>
    </row>
    <row r="44" spans="1:30" ht="30" customHeight="1">
      <c r="A44" s="51"/>
      <c r="B44" s="110"/>
      <c r="C44" s="7"/>
      <c r="U44" s="240">
        <f>COUNTIFS(EXPEDIENTES!N:N,V44)</f>
        <v>3</v>
      </c>
      <c r="V44" s="18" t="s">
        <v>378</v>
      </c>
      <c r="W44" s="244"/>
    </row>
    <row r="45" spans="1:30" ht="30" customHeight="1">
      <c r="U45" s="240">
        <f>COUNTIFS(EXPEDIENTES!N:N,V45)</f>
        <v>15</v>
      </c>
      <c r="V45" s="241" t="s">
        <v>359</v>
      </c>
      <c r="W45" s="245"/>
    </row>
    <row r="46" spans="1:30" ht="27" customHeight="1">
      <c r="U46" s="240">
        <f>COUNTIFS(EXPEDIENTES!N:N,V46)</f>
        <v>34</v>
      </c>
      <c r="V46" s="18" t="s">
        <v>354</v>
      </c>
      <c r="W46" s="244"/>
    </row>
    <row r="47" spans="1:30" ht="25.5" customHeight="1">
      <c r="U47" s="240">
        <f>COUNTIFS(EXPEDIENTES!N:N,V47)</f>
        <v>8</v>
      </c>
      <c r="V47" s="241" t="s">
        <v>358</v>
      </c>
      <c r="W47" s="245"/>
    </row>
    <row r="48" spans="1:30" ht="30.75" customHeight="1" thickBot="1">
      <c r="A48" s="80"/>
      <c r="B48" s="109"/>
      <c r="C48" s="80"/>
      <c r="U48" s="240">
        <f>COUNTIFS(EXPEDIENTES!N:N,V48)</f>
        <v>43</v>
      </c>
      <c r="V48" s="18" t="s">
        <v>353</v>
      </c>
      <c r="W48" s="244"/>
    </row>
    <row r="49" spans="2:23" ht="27.75" customHeight="1">
      <c r="B49" s="74" t="s">
        <v>225</v>
      </c>
      <c r="C49" s="75" t="s">
        <v>228</v>
      </c>
      <c r="U49" s="234">
        <f>SUM(U39:U48)</f>
        <v>266</v>
      </c>
      <c r="V49" s="234" t="s">
        <v>45</v>
      </c>
      <c r="W49" s="245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6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9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0</v>
      </c>
      <c r="C60" s="77" t="s">
        <v>249</v>
      </c>
    </row>
    <row r="61" spans="2:23" ht="35.1" customHeight="1">
      <c r="B61" s="62">
        <f ca="1">SUM(B50:B60)</f>
        <v>185</v>
      </c>
      <c r="C61" s="193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1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1394</v>
      </c>
    </row>
    <row r="2" spans="1:5" ht="20.100000000000001" customHeight="1">
      <c r="A2" s="176" t="s">
        <v>1395</v>
      </c>
      <c r="B2" s="177" t="s">
        <v>1396</v>
      </c>
      <c r="C2" s="178"/>
      <c r="D2" s="177" t="s">
        <v>1397</v>
      </c>
      <c r="E2" s="177" t="s">
        <v>1396</v>
      </c>
    </row>
    <row r="3" spans="1:5" ht="20.100000000000001" customHeight="1">
      <c r="A3" s="179" t="s">
        <v>1398</v>
      </c>
      <c r="B3" s="180">
        <f>COUNTIFS(EXPEDIENTES!M:M,"Dra. Romero Nayar",EXPEDIENTES!N:N,"AUTO DE PRUEBA")</f>
        <v>8</v>
      </c>
      <c r="D3" s="55" t="s">
        <v>1399</v>
      </c>
      <c r="E3" s="180">
        <f>COUNTIFS(EXPEDIENTES!M:M,"Dr. Guillermo Pereyra",EXPEDIENTES!N:N,"AUTO DE PRUEBA")</f>
        <v>4</v>
      </c>
    </row>
    <row r="4" spans="1:5" ht="20.100000000000001" customHeight="1">
      <c r="A4" s="179" t="s">
        <v>1400</v>
      </c>
      <c r="B4" s="180">
        <f>COUNTIFS(EXPEDIENTES!M:M,"Dr. Marcelo Rubio",EXPEDIENTES!N:N,"AUTO DE PRUEBA")</f>
        <v>17</v>
      </c>
      <c r="D4" s="55" t="s">
        <v>1401</v>
      </c>
      <c r="E4" s="180">
        <f>COUNTIFS(EXPEDIENTES!M:M,"Dr. Riera",EXPEDIENTES!N:N,"AUTO DE PRUEBA")</f>
        <v>6</v>
      </c>
    </row>
    <row r="5" spans="1:5" ht="20.100000000000001" customHeight="1">
      <c r="A5" s="179" t="s">
        <v>1402</v>
      </c>
      <c r="B5" s="180">
        <f>COUNTIFS(EXPEDIENTES!M:M,"Dra. Mónica Faber",EXPEDIENTES!N:N,"AUTO DE PRUEBA")</f>
        <v>17</v>
      </c>
      <c r="D5" s="55" t="s">
        <v>1403</v>
      </c>
      <c r="E5" s="180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1534</v>
      </c>
    </row>
    <row r="8" spans="1:5" ht="20.100000000000001" customHeight="1">
      <c r="A8" s="176" t="s">
        <v>1395</v>
      </c>
      <c r="B8" s="177" t="s">
        <v>1396</v>
      </c>
      <c r="C8" s="178"/>
      <c r="D8" s="177" t="s">
        <v>1397</v>
      </c>
      <c r="E8" s="177" t="s">
        <v>1396</v>
      </c>
    </row>
    <row r="9" spans="1:5" ht="20.100000000000001" customHeight="1">
      <c r="A9" s="179" t="s">
        <v>1398</v>
      </c>
      <c r="B9" s="180">
        <f>COUNTIFS(EXPEDIENTES!Q:Q,"Dr. Marcelo Rubio",EXPEDIENTES!N:N,"AUTO DE PRUEBA")</f>
        <v>5</v>
      </c>
      <c r="D9" s="55" t="s">
        <v>1399</v>
      </c>
      <c r="E9" s="180">
        <f>COUNTIFS(EXPEDIENTES!Q:Q,"Dr. Riera",EXPEDIENTES!N:N,"AUTO DE PRUEBA")</f>
        <v>0</v>
      </c>
    </row>
    <row r="10" spans="1:5" ht="20.100000000000001" customHeight="1">
      <c r="A10" s="179" t="s">
        <v>1400</v>
      </c>
      <c r="B10" s="180">
        <f>COUNTIFS(EXPEDIENTES!Q:Q,"Dra. Mónica Faber",EXPEDIENTES!N:N,"AUTO DE PRUEBA")</f>
        <v>8</v>
      </c>
      <c r="D10" s="55" t="s">
        <v>1401</v>
      </c>
      <c r="E10" s="180">
        <f>COUNTIFS(EXPEDIENTES!Q:Q,"Dra. Mónica Mukdsi",EXPEDIENTES!N:N,"AUTO DE PRUEBA")</f>
        <v>3</v>
      </c>
    </row>
    <row r="11" spans="1:5" ht="20.100000000000001" customHeight="1">
      <c r="A11" s="179" t="s">
        <v>1402</v>
      </c>
      <c r="B11" s="180">
        <f>COUNTIFS(EXPEDIENTES!Q:Q,"Dra. Romero Nayar",EXPEDIENTES!N:N,"AUTO DE PRUEBA")</f>
        <v>10</v>
      </c>
      <c r="D11" s="55" t="s">
        <v>1403</v>
      </c>
      <c r="E11" s="180">
        <f>COUNTIFS(EXPEDIENTES!Q:Q,"Dr. Guillermo Pereyra",EXPEDIENTES!N:N,"AUTO DE PRUEBA")</f>
        <v>7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8889932B-014C-4A7A-B620-114840895FF5}" topLeftCell="A32">
      <selection activeCell="A42" sqref="A42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0199CA3F-EFF7-4FF3-938A-24486AD9575F}" topLeftCell="A23">
      <selection activeCell="A39" sqref="A39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9" t="s">
        <v>4</v>
      </c>
      <c r="B2" s="116">
        <v>45191</v>
      </c>
      <c r="D2" s="219" t="s">
        <v>4</v>
      </c>
      <c r="E2" s="116">
        <v>45194</v>
      </c>
    </row>
    <row r="4" spans="1:5">
      <c r="A4" s="219" t="s">
        <v>1591</v>
      </c>
      <c r="D4" s="219" t="s">
        <v>1591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20" t="s">
        <v>14</v>
      </c>
      <c r="D7" s="220" t="s">
        <v>324</v>
      </c>
    </row>
    <row r="8" spans="1:5">
      <c r="A8" s="115" t="s">
        <v>324</v>
      </c>
      <c r="D8" s="115" t="s">
        <v>14</v>
      </c>
    </row>
    <row r="9" spans="1:5">
      <c r="A9" s="220" t="s">
        <v>282</v>
      </c>
      <c r="D9" s="220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20" t="s">
        <v>396</v>
      </c>
      <c r="D12" s="220" t="s">
        <v>327</v>
      </c>
    </row>
    <row r="13" spans="1:5">
      <c r="A13" s="13" t="s">
        <v>328</v>
      </c>
      <c r="D13" s="13" t="s">
        <v>1592</v>
      </c>
    </row>
    <row r="14" spans="1:5">
      <c r="A14" s="115" t="s">
        <v>325</v>
      </c>
    </row>
    <row r="15" spans="1:5">
      <c r="A15" s="220" t="s">
        <v>961</v>
      </c>
    </row>
    <row r="16" spans="1:5">
      <c r="A16" s="13" t="s">
        <v>1592</v>
      </c>
    </row>
  </sheetData>
  <pageMargins left="0.7" right="0.7" top="0.75" bottom="0.75" header="0.3" footer="0.3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8889932B-014C-4A7A-B620-114840895FF5}" topLeftCell="A36">
      <selection activeCell="A60" sqref="A60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0199CA3F-EFF7-4FF3-938A-24486AD9575F}" topLeftCell="A29">
      <selection activeCell="A50" sqref="A5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8889932B-014C-4A7A-B620-114840895FF5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0199CA3F-EFF7-4FF3-938A-24486AD9575F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21" t="s">
        <v>1634</v>
      </c>
    </row>
    <row r="3" spans="3:6" ht="15">
      <c r="C3" s="221" t="s">
        <v>1635</v>
      </c>
      <c r="D3" s="222">
        <v>45173</v>
      </c>
      <c r="E3" s="223" t="s">
        <v>1636</v>
      </c>
      <c r="F3" s="222">
        <v>45177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8889932B-014C-4A7A-B620-114840895FF5}">
      <selection activeCell="A10" sqref="A10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0199CA3F-EFF7-4FF3-938A-24486AD9575F}">
      <selection activeCell="A3" sqref="A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8889932B-014C-4A7A-B620-114840895FF5}">
      <pageMargins left="0.7" right="0.7" top="0.75" bottom="0.75" header="0.3" footer="0.3"/>
    </customSheetView>
    <customSheetView guid="{DB4207DD-4199-49C8-82A0-9B1EB1C1B792}"/>
    <customSheetView guid="{5BF16DBA-4BB4-4498-B7BF-4F2DDC074FBE}">
      <pageMargins left="0.7" right="0.7" top="0.75" bottom="0.75" header="0.3" footer="0.3"/>
    </customSheetView>
    <customSheetView guid="{0199CA3F-EFF7-4FF3-938A-24486AD9575F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1"/>
    </customSheetView>
    <customSheetView guid="{DB4207DD-4199-49C8-82A0-9B1EB1C1B792}" topLeftCell="F1">
      <selection activeCell="N10" sqref="N10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46" t="s">
        <v>148</v>
      </c>
      <c r="I1" s="346"/>
      <c r="J1" s="346"/>
      <c r="K1" s="346"/>
      <c r="L1" s="346"/>
      <c r="M1" s="346"/>
      <c r="N1" s="346"/>
      <c r="O1" s="346"/>
      <c r="P1" s="346"/>
      <c r="Q1" s="346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8889932B-014C-4A7A-B620-114840895FF5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0199CA3F-EFF7-4FF3-938A-24486AD9575F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8889932B-014C-4A7A-B620-114840895FF5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0199CA3F-EFF7-4FF3-938A-24486AD9575F}">
      <selection activeCell="D1" sqref="D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45233</v>
      </c>
    </row>
    <row r="2" spans="2:3" ht="24.95" customHeight="1">
      <c r="B2" s="338" t="s">
        <v>53</v>
      </c>
      <c r="C2" s="338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38" t="s">
        <v>64</v>
      </c>
      <c r="C14" s="338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38" t="s">
        <v>65</v>
      </c>
      <c r="C26" s="338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>
      <selection activeCell="C4" sqref="C4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46"/>
      <c r="B1" s="347"/>
      <c r="E1" s="346"/>
      <c r="F1" s="347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8889932B-014C-4A7A-B620-114840895FF5}">
      <selection activeCell="F9" sqref="F9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0199CA3F-EFF7-4FF3-938A-24486AD9575F}" topLeftCell="A7">
      <selection activeCell="A11" sqref="A11:R13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8889932B-014C-4A7A-B620-114840895FF5}">
      <selection activeCell="H1" sqref="H1:J16"/>
      <pageMargins left="0.7" right="0.7" top="0.75" bottom="0.75" header="0.3" footer="0.3"/>
    </customSheetView>
    <customSheetView guid="{0199CA3F-EFF7-4FF3-938A-24486AD9575F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8889932B-014C-4A7A-B620-114840895FF5}">
      <selection activeCell="K11" sqref="K11"/>
      <pageMargins left="0.7" right="0.7" top="0.75" bottom="0.75" header="0.3" footer="0.3"/>
    </customSheetView>
    <customSheetView guid="{0199CA3F-EFF7-4FF3-938A-24486AD9575F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8889932B-014C-4A7A-B620-114840895FF5}">
      <selection activeCell="A6" sqref="A1:B6"/>
      <pageMargins left="0.7" right="0.7" top="0.75" bottom="0.75" header="0.3" footer="0.3"/>
    </customSheetView>
    <customSheetView guid="{0199CA3F-EFF7-4FF3-938A-24486AD9575F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</vt:i4>
      </vt:variant>
    </vt:vector>
  </HeadingPairs>
  <TitlesOfParts>
    <vt:vector size="23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jarminan</cp:lastModifiedBy>
  <cp:lastPrinted>2023-11-03T14:45:50Z</cp:lastPrinted>
  <dcterms:created xsi:type="dcterms:W3CDTF">2023-02-23T14:47:20Z</dcterms:created>
  <dcterms:modified xsi:type="dcterms:W3CDTF">2023-11-03T16:20:31Z</dcterms:modified>
</cp:coreProperties>
</file>