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24" r:id="rId26"/>
    <pivotCache cacheId="25" r:id="rId27"/>
    <pivotCache cacheId="26" r:id="rId28"/>
    <pivotCache cacheId="27" r:id="rId29"/>
    <pivotCache cacheId="28" r:id="rId30"/>
    <pivotCache cacheId="29"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58" i="1"/>
  <c r="T1058"/>
  <c r="P1058"/>
  <c r="O1058"/>
  <c r="K1058"/>
  <c r="R1057"/>
  <c r="T1057"/>
  <c r="P1057"/>
  <c r="O1057"/>
  <c r="K1057"/>
  <c r="R1056"/>
  <c r="T1056"/>
  <c r="P1056"/>
  <c r="O1056"/>
  <c r="K1056"/>
  <c r="R1055"/>
  <c r="T1055"/>
  <c r="P1055"/>
  <c r="O1055"/>
  <c r="K1055"/>
  <c r="R1054"/>
  <c r="T1054"/>
  <c r="P1054"/>
  <c r="O1054"/>
  <c r="K1054"/>
  <c r="R1053"/>
  <c r="T1053"/>
  <c r="P1053"/>
  <c r="O1053"/>
  <c r="K1053"/>
  <c r="R1052"/>
  <c r="T1052"/>
  <c r="P1052"/>
  <c r="O1052"/>
  <c r="K1052"/>
  <c r="R1051"/>
  <c r="T1051"/>
  <c r="P1051"/>
  <c r="O1051"/>
  <c r="K1051"/>
  <c r="R1050"/>
  <c r="T1050"/>
  <c r="P1050"/>
  <c r="O1050"/>
  <c r="K1050"/>
  <c r="H32" i="17"/>
  <c r="R963" i="1"/>
  <c r="T963"/>
  <c r="P963"/>
  <c r="O963"/>
  <c r="R969"/>
  <c r="T969"/>
  <c r="P969"/>
  <c r="O969"/>
  <c r="K969"/>
  <c r="R997"/>
  <c r="T997"/>
  <c r="P997"/>
  <c r="O997"/>
  <c r="K997"/>
  <c r="R993" l="1"/>
  <c r="T993"/>
  <c r="P993"/>
  <c r="O993"/>
  <c r="K993"/>
  <c r="H31" i="17" l="1"/>
  <c r="R990" i="1"/>
  <c r="T990"/>
  <c r="P990"/>
  <c r="O990"/>
  <c r="R1049"/>
  <c r="T1049"/>
  <c r="P1049"/>
  <c r="O1049"/>
  <c r="K1049"/>
  <c r="R1048"/>
  <c r="T1048"/>
  <c r="P1048"/>
  <c r="O1048"/>
  <c r="K1048"/>
  <c r="R1047"/>
  <c r="T1047"/>
  <c r="P1047"/>
  <c r="O1047"/>
  <c r="K1047"/>
  <c r="R1046"/>
  <c r="T1046"/>
  <c r="P1046"/>
  <c r="O1046"/>
  <c r="K1046"/>
  <c r="R996"/>
  <c r="T996"/>
  <c r="P996"/>
  <c r="O996"/>
  <c r="K996"/>
  <c r="R1045"/>
  <c r="T1045"/>
  <c r="P1045"/>
  <c r="O1045"/>
  <c r="K1045"/>
  <c r="R1044"/>
  <c r="T1044"/>
  <c r="P1044"/>
  <c r="O1044"/>
  <c r="K1044"/>
  <c r="R1043"/>
  <c r="T1043"/>
  <c r="P1043"/>
  <c r="O1043"/>
  <c r="K1043"/>
  <c r="R1042"/>
  <c r="T1042"/>
  <c r="P1042"/>
  <c r="O1042"/>
  <c r="K1042"/>
  <c r="R1041"/>
  <c r="T1041"/>
  <c r="P1041"/>
  <c r="O1041"/>
  <c r="K1041"/>
  <c r="R1040"/>
  <c r="T1040"/>
  <c r="P1040"/>
  <c r="O1040"/>
  <c r="K1040"/>
  <c r="R1039"/>
  <c r="T1039"/>
  <c r="P1039"/>
  <c r="O1039"/>
  <c r="K1039"/>
  <c r="R1038"/>
  <c r="T1038"/>
  <c r="P1038"/>
  <c r="O1038"/>
  <c r="K1038"/>
  <c r="R1037"/>
  <c r="T1037"/>
  <c r="P1037"/>
  <c r="O1037"/>
  <c r="K1037"/>
  <c r="R1036"/>
  <c r="T1036"/>
  <c r="P1036"/>
  <c r="O1036"/>
  <c r="K1036"/>
  <c r="R1035"/>
  <c r="T1035"/>
  <c r="P1035"/>
  <c r="O1035"/>
  <c r="K1035"/>
  <c r="R968"/>
  <c r="T968"/>
  <c r="P968"/>
  <c r="O968"/>
  <c r="K968"/>
  <c r="R1034"/>
  <c r="T1034"/>
  <c r="P1034"/>
  <c r="O1034"/>
  <c r="K1034"/>
  <c r="R1033"/>
  <c r="T1033"/>
  <c r="P1033"/>
  <c r="O1033"/>
  <c r="K1033"/>
  <c r="R1032" l="1"/>
  <c r="T1032"/>
  <c r="P1032"/>
  <c r="O1032"/>
  <c r="K1032"/>
  <c r="R1031"/>
  <c r="T1031"/>
  <c r="P1031"/>
  <c r="O1031"/>
  <c r="K1031"/>
  <c r="R947"/>
  <c r="T947"/>
  <c r="P947"/>
  <c r="O947"/>
  <c r="R1030"/>
  <c r="T1030"/>
  <c r="P1030"/>
  <c r="O1030"/>
  <c r="K1030"/>
  <c r="R1029"/>
  <c r="T1029"/>
  <c r="P1029"/>
  <c r="O1029"/>
  <c r="K1029"/>
  <c r="R1028"/>
  <c r="T1028"/>
  <c r="P1028"/>
  <c r="O1028"/>
  <c r="K1028"/>
  <c r="R1027"/>
  <c r="T1027"/>
  <c r="P1027"/>
  <c r="O1027"/>
  <c r="K1027"/>
  <c r="R1026"/>
  <c r="T1026"/>
  <c r="P1026"/>
  <c r="O1026"/>
  <c r="K1026"/>
  <c r="R1025"/>
  <c r="T1025"/>
  <c r="P1025"/>
  <c r="O1025"/>
  <c r="K1025"/>
  <c r="R1024"/>
  <c r="T1024"/>
  <c r="P1024"/>
  <c r="O1024"/>
  <c r="K1024"/>
  <c r="R1023"/>
  <c r="T1023"/>
  <c r="P1023"/>
  <c r="O1023"/>
  <c r="K1023"/>
  <c r="R1022"/>
  <c r="T1022"/>
  <c r="P1022"/>
  <c r="O1022"/>
  <c r="K1022"/>
  <c r="R1021"/>
  <c r="T1021"/>
  <c r="P1021"/>
  <c r="O1021"/>
  <c r="K1021"/>
  <c r="R1020" l="1"/>
  <c r="T1020"/>
  <c r="P1020"/>
  <c r="O1020"/>
  <c r="K1020"/>
  <c r="R1019"/>
  <c r="T1019"/>
  <c r="P1019"/>
  <c r="O1019"/>
  <c r="K1019"/>
  <c r="R1018"/>
  <c r="T1018"/>
  <c r="P1018"/>
  <c r="O1018"/>
  <c r="K1018"/>
  <c r="R1017"/>
  <c r="T1017"/>
  <c r="P1017"/>
  <c r="O1017"/>
  <c r="K1017"/>
  <c r="R928"/>
  <c r="T928"/>
  <c r="P928"/>
  <c r="O928"/>
  <c r="R987" l="1"/>
  <c r="T987"/>
  <c r="P987"/>
  <c r="O987"/>
  <c r="K987"/>
  <c r="R1016" l="1"/>
  <c r="T1016"/>
  <c r="P1016"/>
  <c r="O1016"/>
  <c r="K1016"/>
  <c r="R1015"/>
  <c r="T1015"/>
  <c r="P1015"/>
  <c r="O1015"/>
  <c r="K1015"/>
  <c r="R1014"/>
  <c r="T1014"/>
  <c r="P1014"/>
  <c r="O1014"/>
  <c r="K1014"/>
  <c r="R967"/>
  <c r="T967"/>
  <c r="P967"/>
  <c r="O967"/>
  <c r="K967"/>
  <c r="R1013"/>
  <c r="T1013"/>
  <c r="P1013"/>
  <c r="O1013"/>
  <c r="K1013"/>
  <c r="R1012"/>
  <c r="T1012"/>
  <c r="P1012"/>
  <c r="O1012"/>
  <c r="K1012"/>
  <c r="R1011"/>
  <c r="T1011"/>
  <c r="P1011"/>
  <c r="O1011"/>
  <c r="K1011"/>
  <c r="R1004"/>
  <c r="T1004"/>
  <c r="P1004"/>
  <c r="O1004"/>
  <c r="K1004"/>
  <c r="R1010"/>
  <c r="T1010"/>
  <c r="P1010"/>
  <c r="O1010"/>
  <c r="K1010"/>
  <c r="R1002"/>
  <c r="T1002"/>
  <c r="P1002"/>
  <c r="O1002"/>
  <c r="K1002"/>
  <c r="R979" l="1"/>
  <c r="T979"/>
  <c r="P979"/>
  <c r="O979"/>
  <c r="K979"/>
  <c r="R972"/>
  <c r="T972"/>
  <c r="P972"/>
  <c r="O972"/>
  <c r="K972"/>
  <c r="R1001"/>
  <c r="T1001"/>
  <c r="P1001"/>
  <c r="O1001"/>
  <c r="K1001"/>
  <c r="R982"/>
  <c r="T982"/>
  <c r="P982"/>
  <c r="O982"/>
  <c r="K982"/>
  <c r="R998"/>
  <c r="T998"/>
  <c r="P998"/>
  <c r="O998"/>
  <c r="K998"/>
  <c r="R995"/>
  <c r="T995"/>
  <c r="P995"/>
  <c r="O995"/>
  <c r="K995"/>
  <c r="R962"/>
  <c r="T962"/>
  <c r="P962"/>
  <c r="O962"/>
  <c r="R986"/>
  <c r="T986"/>
  <c r="P986"/>
  <c r="O986"/>
  <c r="K986"/>
  <c r="R989" l="1"/>
  <c r="T989"/>
  <c r="P989"/>
  <c r="O989"/>
  <c r="K989"/>
  <c r="R992"/>
  <c r="T992"/>
  <c r="P992"/>
  <c r="O992"/>
  <c r="K992"/>
  <c r="R1003"/>
  <c r="T1003"/>
  <c r="P1003"/>
  <c r="O1003"/>
  <c r="K1003"/>
  <c r="R991"/>
  <c r="T991"/>
  <c r="P991"/>
  <c r="O991"/>
  <c r="R895"/>
  <c r="T895"/>
  <c r="P895"/>
  <c r="O895"/>
  <c r="R1009"/>
  <c r="T1009"/>
  <c r="P1009"/>
  <c r="O1009"/>
  <c r="K1009"/>
  <c r="R981"/>
  <c r="T981"/>
  <c r="P981"/>
  <c r="O981"/>
  <c r="K981"/>
  <c r="R1005"/>
  <c r="T1005"/>
  <c r="P1005"/>
  <c r="O1005"/>
  <c r="K1005"/>
  <c r="R1000" l="1"/>
  <c r="T1000"/>
  <c r="P1000"/>
  <c r="O1000"/>
  <c r="K1000"/>
  <c r="R966"/>
  <c r="T966"/>
  <c r="P966"/>
  <c r="O966"/>
  <c r="R985"/>
  <c r="T985"/>
  <c r="P985"/>
  <c r="O985"/>
  <c r="K985"/>
  <c r="R988"/>
  <c r="T988"/>
  <c r="P988"/>
  <c r="O988"/>
  <c r="K988"/>
  <c r="R978"/>
  <c r="T978"/>
  <c r="P978"/>
  <c r="O978"/>
  <c r="K978"/>
  <c r="R977"/>
  <c r="T977"/>
  <c r="P977"/>
  <c r="O977"/>
  <c r="K977"/>
  <c r="R976"/>
  <c r="T976"/>
  <c r="P976"/>
  <c r="O976"/>
  <c r="K976"/>
  <c r="R1008"/>
  <c r="T1008"/>
  <c r="P1008"/>
  <c r="O1008"/>
  <c r="K1008"/>
  <c r="R999"/>
  <c r="T999"/>
  <c r="P999"/>
  <c r="O999"/>
  <c r="K999"/>
  <c r="R970"/>
  <c r="T970"/>
  <c r="P970"/>
  <c r="O970"/>
  <c r="K970"/>
  <c r="R920"/>
  <c r="T920"/>
  <c r="P920"/>
  <c r="O920"/>
  <c r="K920"/>
  <c r="R925" l="1"/>
  <c r="T925"/>
  <c r="P925"/>
  <c r="O925"/>
  <c r="R980"/>
  <c r="T980"/>
  <c r="P980"/>
  <c r="O980"/>
  <c r="K980"/>
  <c r="R984"/>
  <c r="T984"/>
  <c r="P984"/>
  <c r="O984"/>
  <c r="R975"/>
  <c r="T975"/>
  <c r="P975"/>
  <c r="O975"/>
  <c r="K975"/>
  <c r="R994"/>
  <c r="T994"/>
  <c r="P994"/>
  <c r="O994"/>
  <c r="K994"/>
  <c r="R983"/>
  <c r="T983"/>
  <c r="P983"/>
  <c r="O983"/>
  <c r="R927"/>
  <c r="T927"/>
  <c r="P927"/>
  <c r="O927"/>
  <c r="K927"/>
  <c r="R959"/>
  <c r="T959"/>
  <c r="P959"/>
  <c r="O959"/>
  <c r="K959"/>
  <c r="R955"/>
  <c r="T955"/>
  <c r="P955"/>
  <c r="O955"/>
  <c r="K955"/>
  <c r="R948"/>
  <c r="T948"/>
  <c r="P948"/>
  <c r="O948"/>
  <c r="K948"/>
  <c r="R965"/>
  <c r="T965"/>
  <c r="P965"/>
  <c r="O965"/>
  <c r="K965"/>
  <c r="R971"/>
  <c r="T971"/>
  <c r="P971"/>
  <c r="O971"/>
  <c r="K971"/>
  <c r="H27" i="17"/>
  <c r="R924" i="1"/>
  <c r="T924"/>
  <c r="P924"/>
  <c r="O924"/>
  <c r="K924"/>
  <c r="R946"/>
  <c r="T946"/>
  <c r="P946"/>
  <c r="O946"/>
  <c r="K946"/>
  <c r="R961"/>
  <c r="T961"/>
  <c r="P961"/>
  <c r="O961"/>
  <c r="K961"/>
  <c r="R954"/>
  <c r="T954"/>
  <c r="P954"/>
  <c r="O954"/>
  <c r="R951"/>
  <c r="T951"/>
  <c r="P951"/>
  <c r="O951"/>
  <c r="K951"/>
  <c r="R950"/>
  <c r="T950"/>
  <c r="P950"/>
  <c r="O950"/>
  <c r="K950"/>
  <c r="R958"/>
  <c r="T958"/>
  <c r="P958"/>
  <c r="O958"/>
  <c r="R964"/>
  <c r="T964"/>
  <c r="P964"/>
  <c r="O964"/>
  <c r="R930"/>
  <c r="T930"/>
  <c r="P930"/>
  <c r="O930"/>
  <c r="R937"/>
  <c r="T937"/>
  <c r="P937"/>
  <c r="O937"/>
  <c r="K937"/>
  <c r="R974"/>
  <c r="T974"/>
  <c r="P974"/>
  <c r="O974"/>
  <c r="R960"/>
  <c r="T960"/>
  <c r="P960"/>
  <c r="O960"/>
  <c r="R916"/>
  <c r="T916"/>
  <c r="P916"/>
  <c r="O916"/>
  <c r="R973"/>
  <c r="T973"/>
  <c r="P973"/>
  <c r="O973"/>
  <c r="K973"/>
  <c r="R935"/>
  <c r="T935"/>
  <c r="P935"/>
  <c r="O935"/>
  <c r="K935"/>
  <c r="R945"/>
  <c r="T945"/>
  <c r="P945"/>
  <c r="O945"/>
  <c r="K945"/>
  <c r="R905" l="1"/>
  <c r="T905"/>
  <c r="P905"/>
  <c r="O905"/>
  <c r="R953" l="1"/>
  <c r="T953"/>
  <c r="P953"/>
  <c r="O953"/>
  <c r="K953"/>
  <c r="R929"/>
  <c r="T929"/>
  <c r="P929"/>
  <c r="O929"/>
  <c r="K929"/>
  <c r="R942"/>
  <c r="T942"/>
  <c r="P942"/>
  <c r="O942"/>
  <c r="K942"/>
  <c r="R923"/>
  <c r="T923"/>
  <c r="P923"/>
  <c r="O923"/>
  <c r="K923"/>
  <c r="R936"/>
  <c r="T936"/>
  <c r="P936"/>
  <c r="O936"/>
  <c r="K936"/>
  <c r="R934"/>
  <c r="T934"/>
  <c r="P934"/>
  <c r="O934"/>
  <c r="R922"/>
  <c r="T922"/>
  <c r="P922"/>
  <c r="O922"/>
  <c r="K922"/>
  <c r="R931"/>
  <c r="T931"/>
  <c r="P931"/>
  <c r="O931"/>
  <c r="R957"/>
  <c r="T957"/>
  <c r="P957"/>
  <c r="O957"/>
  <c r="K957"/>
  <c r="R952"/>
  <c r="T952"/>
  <c r="P952"/>
  <c r="O952"/>
  <c r="R941"/>
  <c r="T941"/>
  <c r="P941"/>
  <c r="O941"/>
  <c r="K941"/>
  <c r="R915"/>
  <c r="T915"/>
  <c r="P915"/>
  <c r="O915"/>
  <c r="R926"/>
  <c r="T926"/>
  <c r="P926"/>
  <c r="O926"/>
  <c r="K926"/>
  <c r="R949"/>
  <c r="T949"/>
  <c r="P949"/>
  <c r="O949"/>
  <c r="R944"/>
  <c r="T944"/>
  <c r="P944"/>
  <c r="O944"/>
  <c r="K944"/>
  <c r="R938"/>
  <c r="T938"/>
  <c r="P938"/>
  <c r="O938"/>
  <c r="R940"/>
  <c r="T940"/>
  <c r="P940"/>
  <c r="O940"/>
  <c r="R939"/>
  <c r="T939"/>
  <c r="P939"/>
  <c r="O939"/>
  <c r="BC44" i="3"/>
  <c r="AZ44"/>
  <c r="R933" i="1"/>
  <c r="T933"/>
  <c r="P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870"/>
  <c r="T870"/>
  <c r="P870"/>
  <c r="O870"/>
  <c r="R921"/>
  <c r="T921"/>
  <c r="P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06"/>
  <c r="R1006"/>
  <c r="T1006"/>
  <c r="P1006"/>
  <c r="O1006"/>
  <c r="R893"/>
  <c r="T893"/>
  <c r="P893"/>
  <c r="O893"/>
  <c r="K893"/>
  <c r="R856"/>
  <c r="T856"/>
  <c r="P856"/>
  <c r="O856"/>
  <c r="K856"/>
  <c r="R855"/>
  <c r="T855"/>
  <c r="P855"/>
  <c r="O855"/>
  <c r="K855"/>
  <c r="T884"/>
  <c r="P884"/>
  <c r="O884"/>
  <c r="R847"/>
  <c r="T847"/>
  <c r="P847"/>
  <c r="O847"/>
  <c r="K847"/>
  <c r="R846"/>
  <c r="T846"/>
  <c r="P846"/>
  <c r="O846"/>
  <c r="R943"/>
  <c r="T943"/>
  <c r="P943"/>
  <c r="O943"/>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007"/>
  <c r="T1007"/>
  <c r="P1007"/>
  <c r="O1007"/>
  <c r="R817"/>
  <c r="T817"/>
  <c r="P817"/>
  <c r="O817"/>
  <c r="R840"/>
  <c r="T840"/>
  <c r="P840"/>
  <c r="O840"/>
  <c r="R825"/>
  <c r="T825"/>
  <c r="P825"/>
  <c r="O825"/>
  <c r="R816"/>
  <c r="T816"/>
  <c r="P816"/>
  <c r="O816"/>
  <c r="K816"/>
  <c r="R809"/>
  <c r="T809"/>
  <c r="P809"/>
  <c r="O809"/>
  <c r="K809"/>
  <c r="R786"/>
  <c r="T786"/>
  <c r="P786"/>
  <c r="O786"/>
  <c r="K786"/>
  <c r="R780"/>
  <c r="T780"/>
  <c r="P780"/>
  <c r="O780"/>
  <c r="K780"/>
  <c r="R795"/>
  <c r="T795"/>
  <c r="P795"/>
  <c r="O795"/>
  <c r="R956"/>
  <c r="T956"/>
  <c r="P956"/>
  <c r="O956"/>
  <c r="K956"/>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Q14" i="24" l="1"/>
  <c r="A10" i="7"/>
  <c r="A7"/>
  <c r="A8"/>
  <c r="A9"/>
  <c r="A6"/>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<sst xmlns="http://schemas.openxmlformats.org/spreadsheetml/2006/main" count="19961" uniqueCount="4294">
  <si>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</si>
  <si>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</si>
  <si>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</si>
  <si>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</si>
  <si>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</si>
  <si>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</si>
  <si>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</si>
  <si>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</si>
  <si>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</si>
  <si>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</si>
  <si>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</si>
  <si>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</si>
  <si>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</si>
  <si>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</si>
  <si>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</si>
  <si>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</si>
  <si>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</si>
  <si>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</si>
  <si>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</si>
  <si>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</si>
  <si>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</si>
  <si>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</si>
  <si>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</si>
  <si>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</si>
  <si>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</si>
  <si>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</si>
  <si>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</si>
  <si>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</si>
  <si>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</si>
  <si>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</si>
  <si>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</si>
  <si>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</si>
  <si>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</si>
  <si>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</si>
  <si>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</si>
  <si>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</si>
  <si>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</si>
  <si>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</si>
  <si>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</si>
  <si>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</si>
  <si>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</si>
  <si>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</si>
  <si>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</si>
  <si>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</si>
  <si>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</si>
  <si>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</si>
  <si>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</si>
  <si>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</si>
  <si>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</si>
  <si>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</si>
  <si>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</si>
  <si>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</si>
  <si>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</si>
  <si>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</si>
  <si>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</si>
  <si>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</si>
  <si>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</si>
  <si>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</si>
  <si>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</si>
  <si>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</si>
  <si>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</si>
  <si>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</si>
  <si>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</si>
  <si>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</si>
  <si>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</si>
  <si>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</si>
  <si>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</si>
  <si>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</si>
  <si>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</si>
  <si>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</si>
  <si>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</si>
  <si>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</si>
  <si>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</si>
  <si>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</si>
  <si>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</si>
  <si>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</si>
  <si>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</si>
  <si>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</si>
  <si>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</si>
  <si>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</si>
  <si>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</si>
  <si>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</si>
  <si>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</si>
  <si>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</si>
  <si>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</si>
  <si>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</si>
  <si>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</si>
  <si>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</si>
  <si>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</si>
  <si>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</si>
  <si>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</si>
  <si>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</si>
  <si>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</si>
  <si>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</si>
  <si>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</si>
  <si>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</si>
  <si>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</si>
  <si>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</si>
  <si>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</si>
  <si>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</si>
  <si>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</si>
  <si>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</si>
  <si>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</si>
  <si>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</si>
  <si>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</si>
  <si>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</si>
  <si>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</si>
  <si>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</si>
  <si>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</si>
  <si>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</si>
  <si>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</si>
  <si>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</si>
  <si>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</si>
  <si>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</si>
  <si>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</si>
  <si>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</si>
  <si>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</si>
  <si>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</si>
  <si>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</si>
  <si>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</si>
  <si>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</si>
  <si>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</si>
  <si>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</si>
  <si>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</si>
  <si>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</si>
  <si>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</si>
  <si>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</si>
  <si>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</si>
  <si>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</si>
  <si>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</si>
  <si>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</si>
  <si>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</si>
  <si>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</si>
  <si>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</si>
  <si>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</si>
  <si>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</si>
  <si>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</si>
  <si>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</si>
  <si>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</si>
  <si>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</si>
  <si>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</si>
  <si>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</si>
  <si>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</si>
  <si>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</si>
  <si>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</si>
  <si>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</si>
  <si>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</si>
  <si>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</si>
  <si>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</si>
  <si>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</si>
  <si>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</si>
  <si>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</si>
  <si>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</si>
  <si>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</si>
  <si>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</si>
  <si>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</si>
  <si>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</si>
  <si>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</si>
  <si>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</si>
  <si>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</si>
  <si>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</si>
  <si>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</si>
  <si>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</si>
  <si>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</si>
  <si>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</si>
  <si>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</si>
  <si>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</si>
  <si>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</si>
  <si>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</si>
  <si>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</si>
  <si>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</si>
  <si>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</si>
  <si>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</si>
  <si>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</si>
  <si>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</si>
  <si>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</si>
  <si>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</si>
  <si>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</si>
  <si>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</si>
  <si>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</si>
  <si>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</si>
  <si>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</si>
  <si>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</si>
  <si>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</si>
  <si>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</si>
  <si>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</si>
  <si>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</si>
  <si>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</si>
  <si>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</si>
  <si>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</si>
  <si>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</si>
  <si>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</si>
  <si>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</si>
  <si>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</si>
  <si>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</si>
  <si>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</si>
  <si>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</si>
  <si>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</si>
  <si>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</si>
  <si>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</si>
  <si>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</si>
  <si>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</si>
  <si>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</si>
  <si>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</si>
  <si>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</si>
  <si>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</si>
  <si>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</si>
  <si>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</si>
  <si>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</si>
  <si>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</si>
  <si>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</si>
  <si>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</si>
  <si>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</si>
  <si>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</si>
  <si>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</si>
  <si>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</si>
  <si>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</si>
  <si>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</si>
  <si>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</si>
  <si>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</si>
  <si>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</si>
  <si>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</si>
  <si>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</si>
  <si>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</si>
  <si>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</si>
  <si>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</si>
  <si>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</si>
  <si>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</si>
  <si>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</si>
  <si>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</si>
  <si>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</si>
  <si>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</si>
  <si>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</si>
  <si>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</si>
  <si>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</si>
  <si>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</si>
  <si>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</si>
  <si>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</si>
  <si>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</si>
  <si>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</si>
  <si>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</si>
  <si>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</si>
  <si>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</si>
  <si>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</si>
  <si>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</si>
  <si>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</si>
  <si>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</si>
  <si>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</si>
  <si>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</si>
  <si>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</si>
  <si>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</si>
  <si>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</si>
  <si>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</si>
  <si>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</si>
  <si>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</si>
  <si>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</si>
  <si>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</si>
  <si>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</si>
  <si>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</si>
  <si>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</si>
  <si>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</si>
  <si>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</si>
  <si>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</si>
  <si>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</si>
  <si>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</si>
  <si>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</si>
  <si>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</si>
  <si>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</si>
  <si>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</si>
  <si>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</si>
  <si>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</si>
  <si>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</si>
  <si>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</si>
  <si>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</si>
  <si>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</si>
  <si>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</si>
  <si>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</si>
  <si>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</si>
  <si>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</si>
  <si>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</si>
  <si>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</si>
  <si>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</si>
  <si>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</si>
  <si>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</si>
  <si>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</si>
  <si>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</si>
  <si>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</si>
  <si>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</si>
  <si>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</si>
  <si>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</si>
  <si>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</si>
  <si>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</si>
  <si>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</si>
  <si>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</si>
  <si>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</si>
  <si>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</si>
  <si>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</si>
  <si>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</si>
  <si>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</si>
  <si>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</si>
  <si>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</si>
  <si>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</si>
  <si>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</si>
  <si>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</si>
  <si>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</si>
  <si>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</si>
  <si>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</si>
  <si>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</si>
  <si>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</si>
  <si>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</si>
  <si>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</si>
  <si>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</si>
  <si>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</si>
  <si>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</si>
  <si>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</si>
  <si>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</si>
  <si>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</si>
  <si>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</si>
  <si>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</si>
  <si>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</si>
  <si>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</si>
  <si>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</si>
  <si>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</si>
  <si>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</si>
  <si>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</si>
  <si>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</si>
  <si>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</si>
  <si>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</si>
  <si>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</si>
  <si>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</si>
  <si>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</si>
  <si>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</si>
  <si>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</si>
  <si>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</si>
  <si>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</si>
  <si>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</si>
  <si>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</si>
  <si>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</si>
  <si>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</si>
  <si>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</si>
  <si>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</si>
  <si>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</si>
  <si>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</si>
  <si>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</si>
  <si>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</si>
  <si>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</si>
  <si>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</si>
  <si>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</si>
  <si>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</si>
  <si>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</si>
  <si>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</si>
  <si>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</si>
  <si>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</si>
  <si>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</si>
  <si>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</si>
  <si>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</si>
  <si>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</si>
  <si>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</si>
  <si>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</si>
  <si>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</si>
  <si>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</si>
  <si>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</si>
  <si>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</si>
  <si>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</si>
  <si>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</si>
  <si>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</si>
  <si>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</si>
  <si>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</si>
  <si>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</si>
  <si>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</si>
  <si>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</si>
  <si>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</si>
  <si>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</si>
  <si>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</si>
  <si>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</si>
  <si>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</si>
  <si>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</si>
  <si>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</si>
  <si>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</si>
  <si>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</si>
  <si>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</si>
  <si>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</si>
  <si>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</si>
  <si>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</si>
  <si>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</si>
  <si>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</si>
  <si>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</si>
  <si>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</si>
  <si>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</si>
  <si>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</si>
  <si>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</si>
  <si>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</si>
  <si>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</si>
  <si>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</si>
  <si>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</si>
  <si>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</si>
  <si>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</si>
  <si>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</si>
  <si>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</si>
  <si>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</si>
  <si>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</si>
  <si>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</si>
  <si>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</si>
  <si>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</si>
  <si>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</si>
  <si>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</si>
  <si>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</si>
  <si>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</si>
  <si>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</si>
  <si>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</si>
  <si>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</si>
  <si>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</si>
  <si>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</si>
  <si>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</si>
  <si>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</si>
  <si>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</si>
  <si>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</si>
  <si>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</si>
  <si>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</si>
  <si>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</si>
  <si>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</si>
  <si>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</si>
  <si>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</si>
  <si>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</si>
  <si>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</si>
  <si>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</si>
  <si>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</si>
  <si>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</si>
  <si>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</si>
  <si>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</si>
  <si>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</si>
  <si>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</si>
  <si>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</si>
  <si>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</si>
  <si>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</si>
  <si>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</si>
  <si>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</si>
  <si>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</si>
  <si>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</si>
  <si>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</si>
  <si>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</si>
  <si>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</si>
  <si>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</si>
  <si>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</si>
  <si>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</si>
  <si>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</si>
  <si>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</si>
  <si>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</si>
  <si>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</si>
  <si>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</si>
  <si>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</si>
  <si>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</si>
  <si>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</si>
  <si>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</si>
  <si>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</si>
  <si>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</si>
  <si>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</si>
  <si>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</si>
  <si>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</si>
  <si>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</si>
  <si>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</si>
  <si>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</si>
  <si>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</si>
  <si>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</si>
  <si>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</si>
  <si>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</si>
  <si>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</si>
  <si>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</si>
  <si>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</si>
  <si>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</si>
  <si>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</si>
  <si>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</si>
  <si>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</si>
  <si>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</si>
  <si>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</si>
  <si>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</si>
  <si>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</si>
  <si>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</si>
  <si>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</si>
  <si>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</si>
  <si>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</si>
  <si>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</si>
  <si>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</si>
  <si>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</si>
  <si>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</si>
  <si>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</si>
  <si>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</si>
  <si>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</si>
  <si>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</si>
  <si>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</si>
  <si>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</si>
  <si>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</si>
  <si>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</si>
  <si>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</si>
  <si>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</si>
  <si>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</si>
  <si>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</si>
  <si>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</si>
  <si>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</si>
  <si>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</si>
  <si>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</si>
  <si>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</si>
  <si>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</si>
  <si>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</si>
  <si>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</si>
  <si>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</si>
  <si>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</si>
  <si>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</si>
  <si>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</si>
  <si>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</si>
  <si>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</si>
  <si>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</si>
  <si>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</si>
  <si>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</si>
  <si>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</si>
  <si>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</si>
  <si>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</si>
  <si>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</si>
  <si>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</si>
  <si>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</si>
  <si>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</si>
  <si>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</si>
  <si>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</si>
  <si>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</si>
  <si>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</si>
  <si>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</si>
  <si>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</si>
  <si>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</si>
  <si>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</si>
  <si>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</si>
  <si>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</si>
  <si>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</si>
  <si>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</si>
  <si>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</si>
  <si>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</si>
  <si>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</si>
  <si>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</si>
  <si>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</si>
  <si>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</si>
  <si>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</si>
  <si>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</si>
  <si>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</si>
  <si>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</si>
  <si>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</si>
  <si>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</si>
  <si>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</si>
  <si>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</si>
  <si>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</si>
  <si>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</si>
  <si>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</si>
  <si>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</si>
  <si>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</si>
  <si>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</si>
  <si>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</si>
  <si>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</si>
  <si>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</si>
  <si>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</si>
  <si>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</si>
  <si>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</si>
  <si>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</si>
  <si>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</si>
  <si>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</si>
  <si>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</si>
  <si>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</si>
  <si>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</si>
  <si>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</si>
  <si>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</si>
  <si>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</si>
  <si>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</si>
  <si>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</si>
  <si>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</si>
  <si>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</si>
  <si>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</si>
  <si>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</si>
  <si>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</si>
  <si>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</si>
  <si>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</si>
  <si>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</si>
  <si>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</si>
  <si>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</si>
  <si>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</si>
  <si>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</si>
  <si>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</si>
  <si>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</si>
  <si>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</si>
  <si>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</si>
  <si>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</si>
  <si>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</si>
  <si>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</si>
  <si>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</si>
  <si>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</si>
  <si>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</si>
  <si>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</si>
  <si>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</si>
  <si>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</si>
  <si>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</si>
  <si>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</si>
  <si>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</si>
  <si>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</si>
  <si>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</si>
  <si>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</si>
  <si>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</si>
  <si>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</si>
  <si>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</si>
  <si>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</si>
  <si>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</si>
  <si>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</si>
  <si>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</si>
  <si>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</si>
  <si>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</si>
  <si>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</si>
  <si>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</si>
  <si>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</si>
  <si>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</si>
  <si>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</si>
  <si>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</si>
  <si>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</si>
  <si>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</si>
  <si>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</si>
  <si>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</si>
  <si>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</si>
  <si>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</si>
  <si>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</si>
  <si>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</si>
  <si>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</si>
  <si>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</si>
  <si>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</si>
  <si>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</si>
  <si>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</si>
  <si>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</si>
  <si>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</si>
  <si>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</si>
  <si>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</si>
  <si>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</si>
  <si>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</si>
  <si>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</si>
  <si>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</si>
  <si>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</si>
  <si>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</si>
  <si>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</si>
  <si>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</si>
  <si>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</si>
  <si>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</si>
  <si>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</si>
  <si>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</si>
  <si>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</si>
  <si>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</si>
  <si>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</si>
  <si>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</si>
  <si>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</si>
  <si>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</si>
  <si>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</si>
  <si>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</si>
  <si>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</si>
  <si>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</si>
  <si>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</si>
  <si>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</si>
  <si>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</si>
  <si>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</si>
  <si>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</si>
  <si>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</si>
  <si>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</si>
  <si>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</si>
  <si>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</si>
  <si>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</si>
  <si>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</si>
  <si>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</si>
  <si>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</si>
  <si>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</si>
  <si>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</si>
  <si>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</si>
  <si>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</si>
  <si>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</si>
  <si>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</si>
  <si>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</si>
  <si>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</si>
  <si>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</si>
  <si>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</si>
  <si>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</si>
  <si>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</si>
  <si>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</si>
  <si>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</si>
  <si>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</si>
  <si>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</si>
  <si>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</si>
  <si>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</si>
  <si>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</si>
  <si>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</si>
  <si>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</si>
  <si>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</si>
  <si>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</si>
  <si>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</si>
  <si>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</si>
  <si>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</si>
  <si>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</si>
  <si>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</si>
  <si>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</si>
  <si>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</si>
  <si>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</si>
  <si>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</si>
  <si>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</si>
  <si>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</si>
  <si>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</si>
  <si>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</si>
  <si>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</si>
  <si>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</si>
  <si>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</si>
  <si>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</si>
  <si>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</si>
  <si>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</si>
  <si>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</si>
  <si>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</si>
  <si>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</si>
  <si>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</si>
  <si>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</si>
  <si>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</si>
  <si>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</si>
  <si>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</si>
  <si>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</si>
  <si>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</si>
  <si>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</si>
  <si>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</si>
  <si>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</si>
  <si>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</si>
  <si>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</si>
  <si>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</si>
  <si>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</si>
  <si>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</si>
  <si>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</si>
  <si>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</si>
  <si>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</si>
  <si>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</si>
  <si>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</si>
  <si>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</si>
  <si>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</si>
  <si>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</si>
  <si>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</si>
  <si>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</si>
  <si>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</si>
  <si>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</si>
  <si>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</si>
  <si>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</si>
  <si>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</si>
  <si>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</si>
  <si>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</si>
  <si>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</si>
  <si>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</si>
  <si>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</si>
  <si>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</si>
  <si>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</si>
  <si>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</si>
  <si>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</si>
  <si>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</si>
  <si>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</si>
  <si>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</si>
  <si>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</si>
  <si>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</si>
  <si>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</si>
  <si>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</si>
  <si>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</si>
  <si>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</si>
  <si>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</si>
  <si>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</si>
  <si>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</si>
  <si>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</si>
  <si>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</si>
  <si>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</si>
  <si>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</si>
  <si>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</si>
  <si>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</si>
  <si>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</si>
  <si>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</si>
  <si>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</si>
  <si>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</si>
  <si>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</si>
  <si>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</si>
  <si>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</si>
  <si>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</si>
  <si>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</si>
  <si>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</si>
  <si>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</si>
  <si>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</si>
  <si>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</si>
  <si>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</si>
  <si>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</si>
  <si>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</si>
  <si>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</si>
  <si>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</si>
  <si>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</si>
  <si>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</si>
  <si>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</si>
  <si>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</si>
  <si>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</si>
  <si>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</si>
  <si>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</si>
  <si>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</si>
  <si>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</si>
  <si>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</si>
  <si>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</si>
  <si>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</si>
  <si>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</si>
  <si>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</si>
  <si>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</si>
  <si>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</si>
  <si>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</si>
  <si>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</si>
  <si>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</si>
  <si>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</si>
  <si>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</si>
  <si>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</si>
  <si>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</si>
  <si>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</si>
  <si>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</si>
  <si>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</si>
  <si>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</si>
  <si>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</si>
  <si>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</si>
  <si>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</si>
  <si>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</si>
  <si>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</si>
  <si>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</si>
  <si>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</si>
  <si>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</si>
  <si>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</si>
  <si>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</si>
  <si>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</si>
  <si>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</si>
  <si>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</si>
  <si>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</si>
  <si>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</si>
  <si>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</si>
  <si>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</si>
  <si>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</si>
  <si>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</si>
  <si>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</si>
  <si>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</si>
  <si>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</si>
  <si>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</si>
  <si>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</si>
  <si>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</si>
  <si>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</si>
  <si>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</si>
  <si>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</si>
  <si>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</si>
  <si>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</si>
  <si>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</si>
  <si>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</si>
  <si>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</si>
  <si>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</si>
  <si>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</si>
  <si>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</si>
  <si>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</si>
  <si>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</si>
  <si>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</si>
  <si>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</si>
  <si>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</si>
  <si>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</si>
  <si>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</si>
  <si>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</si>
  <si>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</si>
  <si>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</si>
  <si>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</si>
  <si>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</si>
  <si>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</si>
  <si>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</si>
  <si>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</si>
  <si>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</si>
  <si>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</si>
  <si>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</si>
  <si>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</si>
  <si>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</si>
  <si>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</si>
  <si>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</si>
  <si>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</si>
  <si>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</si>
  <si>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</si>
  <si>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</si>
  <si>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</si>
  <si>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</si>
  <si>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</si>
  <si>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</si>
  <si>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</si>
  <si>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</si>
  <si>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</si>
  <si>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</si>
  <si>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</si>
  <si>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</si>
  <si>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</si>
  <si>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</si>
  <si>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</si>
  <si>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</si>
  <si>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</si>
  <si>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</si>
  <si>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</si>
  <si>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</si>
  <si>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</si>
  <si>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</si>
  <si>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</si>
  <si>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</si>
  <si>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</si>
  <si>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</si>
  <si>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</si>
  <si>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</si>
  <si>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</si>
  <si>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</si>
  <si>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</si>
  <si>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</si>
  <si>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</si>
  <si>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</si>
  <si>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</si>
  <si>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</si>
  <si>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</si>
  <si>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</si>
  <si>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</si>
  <si>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</si>
  <si>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</si>
  <si>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</si>
  <si>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</si>
  <si>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</si>
  <si>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</si>
  <si>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</si>
  <si>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</si>
  <si>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</si>
  <si>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</si>
  <si>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</si>
  <si>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</si>
  <si>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</si>
  <si>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</si>
  <si>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</si>
  <si>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</si>
  <si>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</si>
  <si>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</si>
  <si>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</si>
  <si>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</si>
  <si>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</si>
  <si>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</si>
  <si>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</si>
  <si>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</si>
  <si>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</si>
  <si>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</si>
  <si>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</si>
  <si>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</si>
  <si>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</si>
  <si>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</si>
  <si>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</si>
  <si>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</si>
  <si>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</si>
  <si>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</si>
  <si>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</si>
  <si>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</si>
  <si>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</si>
  <si>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</si>
  <si>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</si>
  <si>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</si>
  <si>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</si>
  <si>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</si>
  <si>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</si>
  <si>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</si>
  <si>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</si>
  <si>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</si>
  <si>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</si>
  <si>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</si>
  <si>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</si>
  <si>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</si>
  <si>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</si>
  <si>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</si>
  <si>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</si>
  <si>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</si>
  <si>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</si>
  <si>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</si>
  <si>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</si>
  <si>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</si>
  <si>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</si>
  <si>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</si>
  <si>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</si>
  <si>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</si>
  <si>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</si>
  <si>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</si>
  <si>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</si>
  <si>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</si>
  <si>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</si>
  <si>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</si>
  <si>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</si>
  <si>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</si>
  <si>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</si>
  <si>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</si>
  <si>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</si>
  <si>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</si>
  <si>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</si>
  <si>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</si>
  <si>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</si>
  <si>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</si>
  <si>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</si>
  <si>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</si>
  <si>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</si>
  <si>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</si>
  <si>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</si>
  <si>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</si>
  <si>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</si>
  <si>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</si>
  <si>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</si>
  <si>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</si>
  <si>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</si>
  <si>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</si>
  <si>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</si>
  <si>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</si>
  <si>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</si>
  <si>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</si>
  <si>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</si>
  <si>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</si>
  <si>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</si>
  <si>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</si>
  <si>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</si>
  <si>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</si>
  <si>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</si>
  <si>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</si>
  <si>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</si>
  <si>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</si>
  <si>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</si>
  <si>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</si>
  <si>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</si>
  <si>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</si>
  <si>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</si>
  <si>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</si>
  <si>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</si>
  <si>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</si>
  <si>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</si>
  <si>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</si>
  <si>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</si>
  <si>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</si>
  <si>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</si>
  <si>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</si>
  <si>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</si>
  <si>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</si>
  <si>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</si>
  <si>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</si>
  <si>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</si>
  <si>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</si>
  <si>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</si>
  <si>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</si>
  <si>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</si>
  <si>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</si>
  <si>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</si>
  <si>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</si>
  <si>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</si>
  <si>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</si>
  <si>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</si>
  <si>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</si>
  <si>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</si>
  <si>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</si>
  <si>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</si>
  <si>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</si>
  <si>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</si>
  <si>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</si>
  <si>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</si>
  <si>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</si>
  <si>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</si>
  <si>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</si>
  <si>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</si>
  <si>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</si>
  <si>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</si>
  <si>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</si>
  <si>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</si>
  <si>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</si>
  <si>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</si>
  <si>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</si>
  <si>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</si>
  <si>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</si>
  <si>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</si>
  <si>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</si>
  <si>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</si>
  <si>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</si>
  <si>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</si>
  <si>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</si>
  <si>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</si>
  <si>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</si>
  <si>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</si>
  <si>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</si>
  <si>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</si>
  <si>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</si>
  <si>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</si>
  <si>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</si>
  <si>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</si>
  <si>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</si>
  <si>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</si>
  <si>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</si>
  <si>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</si>
  <si>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</si>
  <si>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</si>
  <si>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</si>
  <si>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</si>
  <si>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</si>
  <si>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</si>
  <si>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</si>
  <si>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</si>
  <si>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</si>
  <si>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</si>
  <si>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</si>
  <si>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</si>
  <si>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</si>
  <si>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</si>
  <si>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</si>
  <si>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</si>
  <si>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</si>
  <si>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</si>
  <si>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</si>
  <si>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</si>
  <si>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</si>
  <si>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</si>
  <si>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</si>
  <si>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</si>
  <si>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</si>
  <si>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</si>
  <si>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</si>
  <si>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</si>
  <si>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</si>
  <si>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</si>
  <si>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</si>
  <si>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</si>
  <si>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</si>
  <si>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</si>
  <si>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</si>
  <si>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</si>
  <si>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</si>
  <si>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</si>
  <si>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</si>
  <si>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</si>
  <si>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</si>
  <si>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</si>
  <si>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</si>
  <si>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</si>
  <si>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</si>
  <si>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</si>
  <si>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</si>
  <si>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</si>
  <si>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</si>
  <si>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</si>
  <si>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</si>
  <si>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</si>
  <si>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</si>
  <si>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</si>
  <si>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</si>
  <si>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</si>
  <si>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</si>
  <si>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</si>
  <si>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</si>
  <si>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</si>
  <si>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</si>
  <si>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</si>
  <si>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</si>
  <si>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</si>
  <si>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</si>
  <si>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</si>
  <si>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</si>
  <si>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</si>
  <si>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</si>
  <si>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</si>
  <si>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</si>
  <si>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</si>
  <si>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</si>
  <si>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</si>
  <si>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</si>
  <si>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</si>
  <si>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</si>
  <si>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</si>
  <si>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</si>
  <si>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</si>
  <si>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</si>
  <si>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</si>
  <si>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</si>
  <si>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</si>
  <si>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</si>
  <si>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</si>
  <si>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</si>
  <si>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</si>
  <si>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</si>
  <si>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</si>
  <si>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</si>
  <si>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</si>
  <si>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</si>
  <si>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</si>
  <si>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</si>
  <si>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</si>
  <si>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</si>
  <si>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</si>
  <si>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</si>
  <si>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</si>
  <si>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</si>
  <si>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</si>
  <si>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</si>
  <si>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</si>
  <si>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</si>
  <si>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</si>
  <si>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</si>
  <si>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</si>
  <si>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</si>
  <si>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</si>
  <si>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</si>
  <si>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</si>
  <si>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</si>
  <si>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</si>
  <si>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</si>
  <si>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</si>
  <si>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</si>
  <si>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</si>
  <si>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</si>
  <si>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</si>
  <si>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</si>
  <si>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</si>
  <si>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</si>
  <si>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</si>
  <si>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</si>
  <si>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</si>
  <si>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</si>
  <si>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</si>
  <si>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</si>
  <si>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</si>
  <si>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</si>
  <si>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</si>
  <si>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</si>
  <si>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</si>
  <si>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</si>
  <si>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</si>
  <si>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</si>
  <si>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</si>
  <si>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</si>
  <si>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</si>
  <si>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</si>
  <si>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</si>
  <si>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</si>
  <si>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</si>
  <si>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</si>
  <si>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</si>
  <si>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</si>
  <si>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</si>
  <si>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</si>
  <si>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</si>
  <si>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</si>
  <si>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</si>
  <si>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</si>
  <si>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</si>
  <si>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</si>
  <si>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</si>
  <si>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</si>
  <si>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</si>
  <si>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</si>
  <si>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</si>
  <si>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</si>
  <si>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</si>
  <si>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</si>
  <si>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</si>
  <si>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</si>
  <si>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</si>
  <si>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</si>
  <si>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</si>
  <si>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</si>
  <si>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</si>
  <si>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</si>
  <si>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</si>
  <si>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</si>
  <si>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</si>
  <si>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</si>
  <si>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</si>
  <si>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</si>
  <si>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</si>
  <si>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</si>
  <si>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</si>
  <si>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</si>
  <si>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</si>
  <si>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</si>
  <si>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</si>
  <si>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</si>
  <si>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</si>
  <si>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</si>
  <si>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</si>
  <si>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</si>
  <si>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</si>
  <si>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</si>
  <si>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</si>
  <si>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</si>
  <si>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</si>
  <si>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</si>
  <si>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</si>
  <si>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</si>
  <si>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</si>
  <si>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</si>
  <si>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</si>
  <si>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</si>
  <si>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</si>
  <si>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</si>
  <si>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</si>
  <si>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</si>
  <si>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</si>
  <si>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</si>
  <si>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</si>
  <si>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</si>
  <si>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</si>
  <si>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</si>
  <si>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</si>
  <si>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</si>
  <si>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</si>
  <si>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</si>
  <si>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</si>
  <si>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</si>
  <si>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</si>
  <si>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</si>
  <si>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</si>
  <si>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</si>
  <si>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</si>
  <si>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</si>
  <si>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</si>
  <si>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</si>
  <si>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</si>
  <si>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</si>
  <si>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</si>
  <si>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</si>
  <si>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</si>
  <si>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</si>
  <si>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</si>
  <si>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</si>
  <si>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</si>
  <si>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</si>
  <si>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</si>
  <si>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</si>
  <si>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</si>
  <si>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</si>
  <si>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</si>
  <si>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</si>
  <si>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</si>
  <si>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</si>
  <si>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</si>
  <si>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</si>
  <si>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</si>
  <si>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</si>
  <si>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</si>
  <si>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</si>
  <si>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</si>
  <si>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</si>
  <si>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</si>
  <si>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</si>
  <si>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</si>
  <si>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</si>
  <si>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</si>
  <si>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</si>
  <si>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</si>
  <si>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</si>
  <si>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</si>
  <si>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</si>
  <si>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</si>
  <si>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</si>
  <si>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</si>
  <si>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</si>
  <si>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</si>
  <si>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</si>
  <si>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</si>
  <si>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</si>
  <si>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</si>
  <si>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</si>
  <si>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</si>
  <si>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</si>
  <si>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</si>
  <si>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</si>
  <si>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</si>
  <si>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</si>
  <si>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</si>
  <si>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</si>
  <si>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</si>
  <si>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</si>
  <si>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</si>
  <si>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</si>
  <si>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</si>
  <si>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</si>
  <si>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</si>
  <si>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</si>
  <si>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</si>
  <si>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</si>
  <si>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</si>
  <si>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</si>
  <si>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</si>
  <si>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</si>
  <si>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</si>
  <si>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</si>
  <si>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</si>
  <si>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</si>
  <si>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</si>
  <si>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</si>
  <si>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</si>
  <si>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</si>
  <si>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</si>
  <si>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</si>
  <si>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</si>
  <si>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</si>
  <si>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</si>
  <si>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</si>
  <si>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</si>
  <si>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</si>
  <si>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</si>
  <si>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</si>
  <si>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</si>
  <si>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</si>
  <si>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</si>
  <si>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</si>
  <si>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</si>
  <si>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</si>
  <si>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</si>
  <si>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</si>
  <si>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</si>
  <si>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</si>
  <si>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</si>
  <si>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</si>
  <si>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</si>
  <si>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</si>
  <si>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</si>
  <si>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</si>
  <si>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</si>
  <si>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</si>
  <si>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</si>
  <si>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</si>
  <si>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</si>
  <si>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</si>
  <si>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</si>
  <si>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</si>
  <si>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</si>
  <si>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</si>
  <si>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</si>
  <si>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</si>
  <si>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</si>
  <si>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</si>
  <si>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</si>
  <si>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</si>
  <si>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</si>
  <si>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</si>
  <si>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</si>
  <si>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</si>
  <si>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</si>
  <si>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</si>
  <si>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</si>
  <si>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</si>
  <si>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</si>
  <si>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</si>
  <si>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</si>
  <si>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</si>
  <si>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</si>
  <si>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</si>
  <si>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</si>
  <si>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</si>
  <si>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</si>
  <si>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</si>
  <si>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</si>
  <si>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</si>
  <si>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</si>
  <si>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</si>
  <si>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</si>
  <si>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</si>
  <si>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</si>
  <si>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</si>
  <si>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</si>
  <si>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</si>
  <si>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</si>
  <si>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</si>
  <si>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</si>
  <si>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</si>
  <si>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</si>
  <si>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</si>
  <si>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</si>
  <si>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</si>
  <si>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</si>
  <si>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</si>
  <si>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</si>
  <si>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</si>
  <si>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</si>
  <si>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</si>
  <si>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</si>
  <si>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</si>
  <si>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</si>
  <si>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</si>
  <si>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</si>
  <si>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</si>
  <si>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</si>
  <si>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</si>
  <si>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</si>
  <si>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</si>
  <si>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</si>
  <si>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</si>
  <si>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</si>
  <si>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</si>
  <si>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</si>
  <si>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</si>
  <si>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</si>
  <si>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</si>
  <si>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</si>
  <si>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</si>
  <si>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</si>
  <si>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</si>
  <si>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</si>
  <si>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</si>
  <si>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</si>
  <si>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</si>
  <si>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</si>
  <si>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</si>
  <si>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</si>
  <si>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</si>
  <si>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</si>
  <si>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</si>
  <si>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</si>
  <si>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</si>
  <si>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</si>
  <si>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</si>
  <si>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</si>
  <si>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</si>
  <si>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</si>
  <si>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</si>
  <si>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</si>
  <si>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</si>
  <si>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</si>
  <si>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</si>
  <si>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</si>
  <si>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</si>
  <si>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</si>
  <si>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</si>
  <si>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</si>
  <si>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</si>
  <si>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</si>
  <si>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</si>
  <si>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</si>
  <si>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</si>
  <si>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</si>
  <si>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</si>
  <si>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</si>
  <si>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</si>
  <si>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</si>
  <si>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</si>
  <si>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</si>
  <si>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</si>
  <si>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</si>
  <si>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</si>
  <si>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</si>
  <si>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</si>
  <si>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</si>
  <si>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</si>
  <si>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</si>
  <si>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</si>
  <si>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</si>
  <si>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</si>
  <si>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</si>
  <si>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</si>
  <si>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</si>
  <si>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</si>
  <si>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</si>
  <si>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</si>
  <si>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</si>
  <si>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</si>
  <si>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</si>
  <si>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</si>
  <si>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</si>
  <si>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</si>
  <si>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</si>
  <si>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</si>
  <si>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</si>
  <si>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</si>
  <si>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</si>
  <si>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</si>
  <si>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</si>
  <si>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</si>
  <si>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</si>
  <si>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</si>
  <si>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</si>
  <si>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</si>
  <si>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</si>
  <si>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</si>
  <si>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</si>
  <si>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</si>
  <si>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</si>
  <si>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</si>
  <si>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</si>
  <si>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</si>
  <si>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</si>
  <si>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</si>
  <si>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</si>
  <si>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</si>
  <si>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</si>
  <si>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</si>
  <si>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</si>
  <si>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</si>
  <si>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</si>
  <si>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</si>
  <si>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</si>
  <si>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</si>
  <si>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</si>
  <si>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</si>
  <si>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</si>
  <si>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</si>
  <si>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</si>
  <si>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</si>
  <si>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</si>
  <si>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</si>
  <si>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</si>
  <si>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</si>
  <si>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</si>
  <si>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</si>
  <si>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</si>
  <si>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</si>
  <si>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</si>
  <si>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</si>
  <si>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</si>
  <si>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</si>
  <si>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</si>
  <si>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</si>
  <si>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</si>
  <si>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</si>
  <si>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</si>
  <si>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</si>
  <si>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</si>
  <si>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</si>
  <si>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</si>
  <si>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</si>
  <si>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</si>
  <si>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</si>
  <si>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</si>
  <si>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</si>
  <si>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</si>
  <si>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</si>
  <si>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</si>
  <si>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</si>
  <si>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</si>
  <si>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</si>
  <si>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</si>
  <si>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</si>
  <si>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</si>
  <si>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</si>
  <si>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</si>
  <si>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</si>
  <si>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</si>
  <si>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</si>
  <si>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</si>
  <si>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</si>
  <si>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</si>
  <si>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</si>
  <si>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</si>
  <si>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</si>
  <si>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</si>
  <si>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</si>
  <si>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</si>
  <si>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</si>
  <si>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</si>
  <si>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</si>
  <si>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</si>
  <si>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</si>
  <si>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</si>
  <si>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</si>
  <si>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</si>
  <si>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</si>
  <si>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</si>
  <si>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</si>
  <si>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</si>
  <si>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</si>
  <si>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</si>
  <si>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</si>
  <si>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</si>
  <si>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</si>
  <si>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</si>
  <si>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</si>
  <si>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</si>
  <si>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</si>
  <si>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</si>
  <si>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</si>
  <si>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</si>
  <si>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</si>
  <si>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</si>
  <si>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</si>
  <si>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</si>
  <si>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</si>
  <si>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</si>
  <si>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</si>
  <si>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</si>
  <si>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</si>
  <si>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</si>
  <si>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</si>
  <si>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</si>
  <si>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</si>
  <si>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</si>
  <si>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</si>
  <si>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</si>
  <si>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</si>
  <si>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</si>
  <si>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</si>
  <si>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</si>
  <si>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</si>
  <si>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</si>
  <si>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</si>
  <si>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</si>
  <si>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</si>
  <si>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</si>
  <si>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</si>
  <si>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</si>
  <si>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</si>
  <si>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</si>
  <si>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</si>
  <si>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</si>
  <si>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</si>
  <si>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</si>
  <si>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</si>
  <si>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</si>
  <si>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</si>
  <si>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</si>
  <si>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</si>
  <si>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</si>
  <si>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</si>
  <si>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</si>
  <si>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</si>
  <si>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</si>
  <si>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</si>
  <si>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</si>
  <si>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</si>
  <si>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</si>
  <si>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</si>
  <si>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</si>
  <si>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</si>
  <si>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</si>
  <si>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</si>
  <si>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</si>
  <si>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</si>
  <si>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</si>
  <si>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</si>
  <si>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</si>
  <si>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</si>
  <si>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</si>
  <si>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</si>
  <si>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</si>
  <si>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</si>
  <si>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</si>
  <si>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</si>
  <si>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</si>
  <si>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</si>
  <si>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</si>
  <si>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</si>
  <si>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</si>
  <si>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</si>
  <si>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</si>
  <si>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</si>
  <si>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</si>
  <si>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</si>
  <si>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</si>
  <si>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</si>
  <si>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</si>
  <si>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</si>
  <si>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</si>
  <si>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</si>
  <si>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</si>
  <si>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</si>
  <si>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</si>
  <si>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</si>
  <si>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</si>
  <si>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</si>
  <si>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</si>
  <si>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</si>
  <si>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</si>
  <si>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</si>
  <si>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</si>
  <si>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</si>
  <si>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</si>
  <si>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</si>
  <si>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</si>
  <si>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</si>
  <si>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</si>
  <si>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</si>
  <si>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</si>
  <si>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</si>
  <si>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</si>
  <si>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</si>
  <si>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</si>
  <si>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</si>
  <si>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</si>
  <si>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</si>
  <si>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</si>
  <si>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</si>
  <si>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</si>
  <si>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</si>
  <si>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</si>
  <si>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</si>
  <si>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</si>
  <si>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</si>
  <si>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</si>
  <si>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</si>
  <si>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</si>
  <si>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</si>
  <si>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</si>
  <si>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</si>
  <si>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</si>
  <si>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</si>
  <si>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</si>
  <si>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</si>
  <si>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</si>
  <si>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</si>
  <si>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</si>
  <si>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</si>
  <si>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</si>
  <si>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</si>
  <si>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</si>
  <si>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</si>
  <si>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</si>
  <si>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</si>
  <si>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</si>
  <si>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</si>
  <si>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</si>
  <si>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</si>
  <si>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</si>
  <si>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</si>
  <si>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</si>
  <si>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</si>
  <si>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</si>
  <si>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</si>
  <si>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</si>
  <si>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</si>
  <si>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</si>
  <si>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</si>
  <si>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</si>
  <si>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</si>
  <si>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</si>
  <si>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</si>
  <si>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</si>
  <si>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</si>
  <si>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</si>
  <si>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</si>
  <si>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</si>
  <si>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</si>
  <si>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</si>
  <si>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</si>
  <si>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</si>
  <si>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</si>
  <si>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</si>
  <si>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</si>
  <si>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</si>
  <si>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</si>
  <si>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</si>
  <si>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</si>
  <si>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</si>
  <si>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</si>
  <si>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</si>
  <si>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</si>
  <si>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</si>
  <si>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</si>
  <si>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</si>
  <si>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</si>
  <si>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</si>
  <si>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</si>
  <si>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</si>
  <si>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</si>
  <si>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</si>
  <si>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</si>
  <si>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</si>
  <si>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</si>
  <si>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</si>
  <si>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</si>
  <si>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</si>
  <si>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</si>
  <si>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</si>
  <si>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</si>
  <si>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</si>
  <si>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</si>
  <si>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</si>
  <si>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</si>
  <si>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</si>
  <si>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</si>
  <si>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</si>
  <si>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</si>
  <si>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</si>
  <si>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</si>
  <si>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</si>
  <si>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</si>
  <si>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</si>
  <si>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</si>
  <si>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</si>
  <si>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</si>
  <si>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</si>
  <si>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</si>
  <si>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</si>
  <si>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</si>
  <si>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</si>
  <si>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</si>
  <si>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</si>
  <si>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</si>
  <si>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</si>
  <si>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</si>
  <si>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</si>
  <si>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</si>
  <si>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</si>
  <si>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</si>
  <si>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</si>
  <si>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</si>
  <si>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</si>
  <si>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</si>
  <si>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</si>
  <si>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</si>
  <si>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</si>
  <si>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</si>
  <si>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</si>
  <si>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</si>
  <si>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</si>
  <si>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</si>
  <si>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</si>
  <si>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</si>
  <si>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</si>
  <si>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</si>
  <si>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</si>
  <si>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</si>
  <si>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</si>
  <si>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</si>
  <si>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</si>
  <si>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</si>
  <si>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</si>
  <si>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</si>
  <si>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</si>
  <si>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</si>
  <si>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</si>
  <si>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</si>
  <si>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</si>
  <si>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</si>
  <si>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</si>
  <si>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</si>
  <si>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</si>
  <si>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</si>
  <si>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</si>
  <si>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</si>
  <si>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</si>
  <si>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</si>
  <si>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</si>
  <si>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</si>
  <si>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</si>
  <si>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</si>
  <si>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</si>
  <si>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</si>
  <si>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</si>
  <si>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</si>
  <si>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</si>
  <si>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</si>
  <si>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</si>
  <si>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</si>
  <si>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</si>
  <si>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</si>
  <si>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</si>
  <si>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</si>
  <si>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</si>
  <si>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</si>
  <si>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</si>
  <si>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</si>
  <si>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</si>
  <si>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</si>
  <si>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</si>
  <si>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</si>
  <si>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</si>
  <si>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</si>
  <si>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</si>
  <si>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</si>
  <si>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</si>
  <si>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</si>
  <si>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</si>
  <si>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</si>
  <si>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</si>
  <si>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</si>
  <si>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</si>
  <si>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</si>
  <si>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</si>
  <si>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</si>
  <si>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</si>
  <si>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</si>
  <si>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</si>
  <si>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</si>
  <si>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</si>
  <si>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</si>
  <si>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</si>
  <si>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</si>
  <si>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</si>
  <si>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</si>
  <si>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</si>
  <si>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</si>
  <si>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</si>
  <si>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</si>
  <si>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</si>
  <si>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</si>
  <si>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</si>
  <si>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</si>
  <si>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</si>
  <si>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</si>
  <si>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</si>
  <si>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</si>
  <si>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</si>
  <si>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</si>
  <si>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</si>
  <si>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</si>
  <si>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</si>
  <si>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</si>
  <si>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</si>
  <si>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</si>
  <si>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</si>
  <si>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</si>
  <si>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</si>
  <si>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</si>
  <si>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</si>
  <si>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</si>
  <si>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</si>
  <si>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</si>
  <si>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</si>
  <si>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</si>
  <si>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</si>
  <si>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</si>
  <si>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</si>
  <si>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</si>
  <si>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</si>
  <si>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</si>
  <si>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</si>
  <si>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</si>
  <si>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</si>
  <si>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</si>
  <si>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</si>
  <si>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</si>
  <si>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</si>
  <si>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</si>
  <si>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</si>
  <si>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</si>
  <si>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</si>
  <si>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</si>
  <si>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</si>
  <si>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</si>
  <si>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</si>
  <si>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</si>
  <si>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</si>
  <si>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</si>
  <si>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</si>
  <si>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</si>
  <si>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</si>
  <si>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</si>
  <si>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</si>
  <si>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</si>
  <si>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</si>
  <si>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</si>
  <si>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</si>
  <si>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</si>
  <si>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</si>
  <si>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</si>
  <si>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</si>
  <si>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</si>
  <si>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</si>
  <si>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</si>
  <si>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</si>
  <si>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</si>
  <si>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</si>
  <si>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</si>
  <si>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</si>
  <si>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</si>
  <si>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</si>
  <si>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</si>
  <si>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</si>
  <si>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</si>
  <si>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</si>
  <si>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</si>
  <si>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</si>
  <si>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</si>
  <si>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</si>
  <si>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</si>
  <si>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</si>
  <si>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</si>
  <si>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</si>
  <si>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</si>
  <si>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</si>
  <si>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</si>
  <si>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</si>
  <si>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</si>
  <si>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</si>
  <si>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</si>
  <si>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</si>
  <si>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</si>
  <si>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</si>
  <si>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</si>
  <si>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</si>
  <si>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</si>
  <si>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</si>
  <si>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</si>
  <si>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</si>
  <si>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</si>
  <si>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</si>
  <si>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</si>
  <si>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</si>
  <si>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</si>
  <si>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</si>
  <si>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</si>
  <si>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</si>
  <si>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</si>
  <si>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</si>
  <si>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</si>
  <si>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</si>
  <si>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</si>
  <si>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</si>
  <si>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</si>
  <si>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</si>
  <si>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</si>
  <si>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</si>
  <si>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</si>
  <si>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</si>
  <si>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</si>
  <si>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</si>
  <si>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</si>
  <si>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</si>
  <si>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</si>
  <si>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</si>
  <si>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</si>
  <si>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</si>
  <si>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</si>
  <si>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</si>
  <si>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</si>
  <si>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</si>
  <si>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</si>
  <si>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</si>
  <si>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</si>
  <si>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</si>
  <si>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</si>
  <si>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</si>
  <si>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</si>
  <si>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</si>
  <si>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</si>
  <si>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</si>
  <si>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</si>
  <si>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</si>
  <si>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</si>
  <si>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</si>
  <si>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</si>
  <si>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</si>
  <si>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</si>
  <si>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</si>
  <si>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</si>
  <si>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</si>
  <si>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</si>
  <si>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</si>
  <si>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</si>
  <si>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</si>
  <si>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</si>
  <si>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</si>
  <si>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</si>
  <si>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</si>
  <si>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</si>
  <si>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</si>
  <si>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</si>
  <si>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</si>
  <si>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</si>
  <si>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</si>
  <si>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</si>
  <si>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</si>
  <si>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</si>
  <si>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</si>
  <si>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</si>
  <si>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</si>
  <si>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</si>
  <si>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</si>
  <si>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</si>
  <si>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</si>
  <si>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</si>
  <si>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</si>
  <si>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</si>
  <si>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</si>
  <si>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</si>
  <si>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</si>
  <si>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</si>
  <si>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</si>
  <si>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</si>
  <si>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</si>
  <si>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</si>
  <si>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</si>
  <si>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</si>
  <si>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</si>
  <si>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</si>
  <si>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</si>
  <si>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</si>
  <si>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</si>
  <si>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</si>
  <si>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</si>
  <si>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</si>
  <si>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</si>
  <si>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</si>
  <si>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</si>
  <si>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</si>
  <si>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</si>
  <si>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</si>
  <si>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</si>
  <si>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</si>
  <si>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</si>
  <si>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</si>
  <si>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</si>
  <si>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</si>
  <si>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</si>
  <si>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</si>
  <si>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</si>
  <si>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</si>
  <si>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</si>
  <si>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</si>
  <si>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</si>
  <si>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</si>
  <si>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</si>
  <si>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</si>
  <si>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</si>
  <si>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</si>
  <si>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</si>
  <si>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</si>
  <si>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</si>
  <si>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</si>
  <si>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</si>
  <si>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</si>
  <si>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</si>
  <si>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</si>
  <si>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</si>
  <si>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</si>
  <si>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</si>
  <si>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</si>
  <si>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</si>
  <si>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</si>
  <si>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</si>
  <si>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</si>
  <si>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</si>
  <si>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</si>
  <si>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</si>
  <si>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</si>
  <si>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</si>
  <si>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</si>
  <si>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</si>
  <si>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</si>
  <si>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</si>
  <si>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</si>
  <si>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</si>
  <si>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</si>
  <si>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</si>
  <si>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</si>
  <si>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</si>
  <si>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</si>
  <si>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</si>
  <si>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</si>
  <si>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</si>
  <si>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</si>
  <si>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</si>
  <si>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</si>
  <si>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</si>
  <si>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</si>
  <si>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</si>
  <si>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</si>
  <si>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</si>
  <si>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</si>
  <si>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</si>
  <si>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</si>
  <si>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</si>
  <si>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</si>
  <si>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</si>
  <si>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</si>
  <si>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</si>
  <si>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</si>
  <si>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</si>
  <si>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</si>
  <si>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</si>
  <si>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</si>
  <si>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</si>
  <si>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</si>
  <si>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</si>
  <si>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</si>
  <si>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</si>
  <si>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</si>
  <si>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</si>
  <si>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</si>
  <si>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</si>
  <si>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</si>
  <si>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</si>
  <si>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</si>
  <si>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</si>
  <si>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</si>
  <si>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</si>
  <si>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</si>
  <si>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</si>
  <si>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</si>
  <si>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</si>
  <si>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</si>
  <si>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</si>
  <si>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</si>
  <si>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</si>
  <si>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</si>
  <si>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</si>
  <si>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</si>
  <si>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</si>
  <si>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</si>
  <si>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</si>
  <si>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</si>
  <si>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</si>
  <si>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</si>
  <si>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</si>
  <si>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</si>
  <si>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</si>
  <si>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</si>
  <si>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</si>
  <si>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</si>
  <si>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</si>
  <si>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</si>
  <si>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</si>
  <si>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</si>
  <si>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</si>
  <si>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</si>
  <si>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</si>
  <si>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</si>
  <si>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</si>
  <si>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</si>
  <si>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</si>
  <si>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</si>
  <si>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</si>
  <si>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</si>
  <si>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</si>
  <si>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</si>
  <si>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</si>
  <si>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</si>
  <si>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</si>
  <si>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</si>
  <si>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</si>
  <si>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</si>
  <si>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</si>
  <si>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</si>
  <si>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</si>
  <si>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</si>
  <si>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</si>
  <si>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</si>
  <si>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</si>
  <si>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</si>
  <si>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</si>
  <si>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</si>
  <si>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</si>
  <si>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</si>
  <si>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</si>
  <si>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</si>
  <si>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</si>
  <si>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</si>
  <si>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</si>
  <si>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</si>
  <si>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</si>
  <si>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</si>
  <si>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</si>
  <si>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</si>
  <si>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</si>
  <si>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</si>
  <si>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</si>
  <si>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</si>
  <si>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</si>
  <si>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</si>
  <si>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</si>
  <si>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</si>
  <si>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</si>
  <si>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</si>
  <si>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</si>
  <si>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</si>
  <si>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</si>
  <si>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</si>
  <si>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</si>
  <si>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</si>
  <si>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</si>
  <si>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</si>
  <si>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</si>
  <si>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</si>
  <si>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</si>
  <si>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</si>
  <si>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</si>
  <si>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</si>
  <si>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</si>
  <si>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</si>
  <si>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</si>
  <si>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</si>
  <si>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</si>
  <si>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</si>
  <si>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</si>
  <si>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</si>
  <si>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</si>
  <si>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</si>
  <si>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</si>
  <si>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</si>
  <si>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</si>
  <si>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</si>
  <si>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</si>
  <si>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</si>
  <si>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</si>
  <si>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</si>
  <si>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</si>
  <si>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</si>
  <si>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</si>
  <si>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</si>
  <si>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</si>
  <si>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</si>
  <si>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</si>
  <si>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</si>
  <si>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</si>
  <si>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</si>
  <si>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</si>
  <si>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</si>
  <si>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</si>
  <si>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</si>
  <si>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</si>
  <si>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</si>
  <si>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</si>
  <si>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</si>
  <si>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</si>
  <si>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</si>
  <si>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</si>
  <si>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</si>
  <si>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</si>
  <si>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</si>
  <si>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</si>
  <si>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</si>
  <si>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</si>
  <si>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</si>
  <si>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</si>
  <si>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</si>
  <si>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</si>
  <si>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</si>
  <si>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</si>
  <si>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</si>
  <si>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</si>
  <si>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</si>
  <si>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</si>
  <si>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</si>
  <si>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</si>
  <si>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</si>
  <si>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</si>
  <si>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</si>
  <si>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</si>
  <si>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</si>
  <si>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</si>
  <si>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</si>
  <si>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</si>
  <si>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</si>
  <si>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</si>
  <si>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</si>
  <si>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</si>
  <si>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</si>
  <si>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</si>
  <si>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</si>
  <si>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</si>
  <si>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</si>
  <si>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</si>
  <si>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</si>
  <si>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</si>
  <si>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</si>
  <si>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</si>
  <si>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</si>
  <si>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</si>
  <si>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</si>
  <si>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</si>
  <si>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</si>
  <si>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</si>
  <si>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</si>
  <si>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</si>
  <si>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</si>
  <si>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</si>
  <si>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</si>
  <si>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</si>
  <si>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</si>
  <si>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</si>
  <si>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</si>
  <si>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</si>
  <si>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</si>
  <si>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</si>
  <si>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</si>
  <si>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</si>
  <si>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</si>
  <si>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</si>
  <si>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</si>
  <si>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</si>
  <si>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</si>
  <si>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</si>
  <si>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</si>
  <si>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</si>
  <si>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</si>
  <si>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</si>
  <si>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</si>
  <si>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</si>
  <si>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</si>
  <si>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</si>
  <si>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</si>
  <si>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</si>
  <si>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</si>
  <si>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</si>
  <si>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</si>
  <si>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</si>
  <si>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</si>
  <si>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</si>
  <si>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</si>
  <si>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</si>
  <si>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</si>
  <si>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</si>
  <si>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</si>
  <si>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</si>
  <si>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</si>
  <si>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</si>
  <si>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</si>
  <si>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</si>
  <si>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</si>
  <si>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</si>
  <si>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</si>
  <si>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</si>
  <si>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</si>
  <si>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</si>
  <si>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</si>
  <si>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</si>
  <si>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</si>
  <si>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</si>
  <si>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</si>
  <si>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</si>
  <si>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</si>
  <si>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</si>
  <si>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</si>
  <si>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</si>
  <si>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</si>
  <si>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</si>
  <si>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</si>
  <si>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</si>
  <si>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</si>
  <si>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</si>
  <si>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</si>
  <si>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</si>
  <si>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</si>
  <si>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</si>
  <si>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</si>
  <si>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</si>
  <si>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</si>
  <si>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</si>
  <si>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</si>
  <si>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</si>
  <si>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</si>
  <si>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</si>
  <si>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</si>
  <si>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</si>
  <si>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</si>
  <si>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</si>
  <si>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</si>
  <si>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</si>
  <si>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</si>
  <si>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</si>
  <si>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</si>
  <si>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</si>
  <si>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</si>
  <si>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</si>
  <si>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</si>
  <si>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</si>
  <si>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</si>
  <si>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</si>
  <si>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</si>
  <si>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</si>
  <si>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</si>
  <si>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</si>
  <si>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</si>
  <si>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</si>
  <si>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</si>
  <si>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</si>
  <si>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</si>
  <si>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</si>
  <si>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</si>
  <si>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</si>
  <si>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</si>
  <si>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</si>
  <si>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</si>
  <si>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</si>
  <si>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</si>
  <si>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</si>
  <si>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</si>
  <si>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</si>
  <si>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</si>
  <si>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</si>
  <si>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</si>
  <si>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</si>
  <si>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</si>
  <si>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</si>
  <si>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</si>
  <si>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</si>
  <si>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</si>
  <si>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</si>
  <si>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</si>
  <si>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</si>
  <si>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</si>
  <si>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</si>
  <si>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</si>
  <si>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</si>
  <si>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</si>
  <si>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</si>
  <si>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</si>
  <si>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</si>
  <si>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</si>
  <si>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</si>
  <si>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</si>
  <si>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</si>
  <si>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</si>
  <si>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</si>
  <si>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</si>
  <si>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</si>
  <si>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</si>
  <si>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</si>
  <si>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</si>
  <si>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</si>
  <si>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</si>
  <si>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</si>
  <si>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</si>
  <si>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</si>
  <si>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</si>
  <si>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</si>
  <si>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</si>
  <si>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</si>
  <si>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</si>
  <si>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</si>
  <si>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</si>
  <si>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</si>
  <si>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</si>
  <si>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</si>
  <si>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</si>
  <si>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</si>
  <si>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</si>
  <si>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</si>
  <si>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</si>
  <si>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</si>
  <si>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</si>
  <si>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</si>
  <si>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</si>
  <si>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</si>
  <si>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</si>
  <si>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</si>
  <si>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</si>
  <si>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</si>
  <si>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</si>
  <si>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</si>
  <si>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</si>
  <si>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</si>
  <si>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</si>
  <si>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</si>
  <si>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</si>
  <si>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</si>
  <si>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</si>
  <si>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</si>
  <si>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</si>
  <si>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</si>
  <si>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</si>
  <si>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</si>
  <si>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</si>
  <si>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</si>
  <si>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</si>
  <si>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</si>
  <si>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</si>
  <si>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</si>
  <si>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</si>
  <si>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</si>
  <si>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</si>
  <si>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</si>
  <si>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</si>
  <si>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</si>
  <si>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</si>
  <si>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</si>
  <si>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</si>
  <si>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</si>
  <si>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</si>
  <si>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</si>
  <si>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</si>
  <si>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</si>
  <si>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</si>
  <si>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</si>
  <si>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</si>
  <si>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</si>
  <si>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</si>
  <si>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</si>
  <si>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</si>
  <si>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</si>
  <si>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</si>
  <si>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</si>
  <si>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</si>
  <si>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</si>
  <si>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</si>
  <si>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</si>
  <si>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</si>
  <si>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</si>
  <si>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</si>
  <si>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</si>
  <si>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</si>
  <si>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</si>
  <si>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</si>
  <si>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</si>
  <si>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</si>
  <si>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</si>
  <si>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</si>
  <si>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</si>
  <si>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</si>
  <si>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</si>
  <si>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</si>
  <si>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</si>
  <si>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</si>
  <si>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</si>
  <si>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</si>
  <si>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</si>
  <si>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</si>
  <si>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</si>
  <si>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</si>
  <si>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</si>
  <si>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</si>
  <si>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</si>
  <si>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</si>
  <si>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</si>
  <si>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</si>
  <si>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</si>
  <si>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</si>
  <si>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</si>
  <si>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</si>
  <si>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</si>
  <si>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</si>
  <si>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</si>
  <si>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</si>
  <si>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</si>
  <si>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</si>
  <si>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</si>
  <si>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</si>
  <si>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</si>
  <si>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</si>
  <si>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</si>
  <si>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</si>
  <si>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</si>
  <si>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</si>
  <si>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</si>
  <si>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</si>
  <si>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</si>
  <si>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</si>
  <si>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</si>
  <si>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</si>
  <si>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</si>
  <si>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</si>
  <si>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</si>
  <si>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</si>
  <si>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</si>
  <si>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</si>
  <si>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</si>
  <si>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</si>
  <si>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</si>
  <si>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</si>
  <si>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</si>
  <si>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</si>
  <si>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</si>
  <si>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</si>
  <si>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</si>
  <si>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</si>
  <si>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</si>
  <si>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</si>
  <si>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</si>
  <si>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</si>
  <si>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</si>
  <si>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</si>
  <si>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</si>
  <si>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</si>
  <si>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</si>
  <si>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</si>
  <si>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</si>
  <si>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</si>
  <si>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</si>
  <si>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</si>
  <si>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</si>
  <si>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</si>
  <si>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</si>
  <si>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</si>
  <si>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</si>
  <si>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</si>
  <si>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</si>
  <si>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</si>
  <si>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</si>
  <si>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</si>
  <si>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</si>
  <si>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</si>
  <si>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</si>
  <si>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</si>
  <si>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</si>
  <si>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</si>
  <si>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</si>
  <si>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</si>
  <si>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</si>
  <si>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</si>
  <si>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</si>
  <si>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</si>
  <si>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</si>
  <si>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</si>
  <si>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</si>
  <si>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</si>
  <si>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</si>
  <si>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</si>
  <si>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</si>
  <si>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</si>
  <si>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</si>
  <si>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</si>
  <si>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</si>
  <si>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</si>
  <si>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</si>
  <si>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</si>
  <si>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</si>
  <si>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</si>
  <si>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</si>
  <si>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</si>
  <si>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</si>
  <si>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</si>
  <si>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</si>
  <si>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</si>
  <si>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</si>
  <si>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</si>
  <si>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</si>
  <si>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</si>
  <si>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</si>
  <si>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</si>
  <si>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</si>
  <si>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</si>
  <si>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</si>
  <si>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</si>
  <si>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</si>
  <si>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</si>
  <si>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</si>
  <si>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</si>
  <si>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</si>
  <si>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</si>
  <si>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</si>
  <si>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</si>
  <si>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</si>
  <si>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</si>
  <si>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</si>
  <si>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</si>
  <si>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</si>
  <si>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</si>
  <si>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</si>
  <si>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</si>
  <si>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</si>
  <si>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</si>
  <si>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</si>
  <si>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</si>
  <si>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</si>
  <si>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</si>
  <si>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</si>
  <si>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</si>
  <si>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</si>
  <si>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</si>
  <si>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</si>
  <si>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</si>
  <si>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</si>
  <si>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</si>
  <si>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</si>
  <si>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</si>
  <si>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</si>
  <si>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</si>
  <si>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</si>
  <si>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</si>
  <si>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</si>
  <si>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</si>
  <si>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</si>
  <si>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</si>
  <si>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</si>
  <si>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</si>
  <si>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</si>
  <si>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</si>
  <si>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</si>
  <si>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</si>
  <si>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</si>
  <si>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</si>
  <si>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</si>
  <si>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</si>
  <si>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</si>
  <si>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</si>
  <si>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</si>
  <si>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</si>
  <si>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</si>
  <si>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</si>
  <si>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</si>
  <si>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</si>
  <si>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</si>
  <si>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</si>
  <si>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</si>
  <si>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</si>
  <si>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</si>
  <si>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</si>
  <si>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</si>
  <si>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</si>
  <si>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</si>
  <si>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</si>
  <si>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</si>
  <si>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</si>
  <si>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</si>
  <si>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</si>
  <si>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</si>
  <si>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</si>
  <si>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</si>
  <si>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</si>
  <si>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</si>
  <si>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</si>
  <si>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</si>
  <si>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</si>
  <si>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</si>
  <si>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</si>
  <si>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</si>
  <si>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</si>
  <si>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</si>
  <si>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</si>
  <si>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</si>
  <si>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</si>
  <si>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</si>
  <si>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</si>
  <si>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</si>
  <si>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</si>
  <si>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</si>
  <si>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</si>
  <si>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</si>
  <si>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</si>
  <si>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</si>
  <si>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</si>
  <si>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</si>
  <si>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</si>
  <si>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</si>
  <si>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</si>
  <si>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</si>
  <si>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</si>
  <si>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</si>
  <si>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</si>
  <si>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</si>
  <si>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</si>
  <si>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</si>
  <si>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</si>
  <si>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</si>
  <si>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</si>
  <si>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</si>
  <si>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</si>
  <si>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</si>
  <si>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</si>
  <si>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</si>
  <si>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</si>
  <si>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</si>
  <si>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</si>
  <si>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</si>
  <si>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</si>
  <si>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</si>
  <si>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</si>
  <si>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</si>
  <si>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</si>
  <si>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</si>
  <si>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</si>
  <si>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</si>
  <si>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</si>
  <si>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</si>
  <si>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</si>
  <si>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</si>
  <si>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</si>
  <si>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</si>
  <si>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</si>
  <si>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</si>
  <si>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</si>
  <si>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</si>
  <si>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</si>
  <si>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</si>
  <si>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</si>
  <si>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</si>
  <si>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</si>
  <si>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</si>
  <si>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</si>
  <si>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</si>
  <si>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</si>
  <si>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</si>
  <si>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</si>
  <si>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</si>
  <si>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</si>
  <si>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</si>
  <si>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</si>
  <si>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</si>
  <si>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</si>
  <si>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</si>
  <si>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</si>
  <si>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</si>
  <si>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</si>
  <si>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</si>
  <si>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</si>
  <si>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</si>
  <si>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</si>
  <si>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</si>
  <si>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</si>
  <si>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</si>
  <si>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</si>
  <si>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</si>
  <si>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</si>
  <si>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</si>
  <si>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</si>
  <si>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</si>
  <si>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</si>
  <si>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</si>
  <si>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</si>
  <si>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</si>
  <si>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</si>
  <si>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</si>
  <si>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</si>
  <si>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</si>
  <si>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</si>
  <si>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</si>
  <si>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</si>
  <si>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</si>
  <si>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</si>
  <si>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</si>
  <si>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</si>
  <si>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</si>
  <si>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</si>
  <si>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</si>
  <si>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</si>
  <si>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</si>
  <si>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</si>
  <si>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</si>
  <si>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</si>
  <si>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</si>
  <si>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</si>
  <si>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</si>
  <si>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</si>
  <si>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</si>
  <si>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</si>
  <si>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</si>
  <si>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</si>
  <si>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</si>
  <si>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</si>
  <si>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</si>
  <si>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</si>
  <si>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</si>
  <si>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</si>
  <si>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</si>
  <si>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</si>
  <si>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</si>
  <si>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</si>
  <si>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</si>
  <si>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</si>
  <si>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</si>
  <si>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</si>
  <si>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</si>
  <si>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</si>
  <si>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</si>
  <si>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</si>
  <si>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</si>
  <si>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</si>
  <si>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</si>
  <si>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</si>
  <si>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</si>
  <si>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</si>
  <si>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</si>
  <si>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</si>
  <si>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</si>
  <si>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</si>
  <si>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</si>
  <si>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</si>
  <si>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</si>
  <si>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</si>
  <si>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</si>
  <si>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</si>
  <si>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</si>
  <si>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</si>
  <si>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</si>
  <si>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</si>
  <si>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</si>
  <si>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</si>
  <si>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</si>
  <si>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</si>
  <si>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</si>
  <si>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</si>
  <si>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</si>
  <si>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</si>
  <si>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</si>
  <si>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</si>
  <si>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</si>
  <si>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</si>
  <si>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</si>
  <si>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</si>
  <si>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</si>
  <si>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</si>
  <si>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</si>
  <si>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</si>
  <si>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</si>
  <si>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</si>
  <si>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</si>
  <si>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</si>
  <si>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</si>
  <si>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</si>
  <si>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</si>
  <si>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</si>
  <si>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</si>
  <si>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</si>
  <si>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</si>
  <si>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</si>
  <si>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</si>
  <si>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</si>
  <si>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</si>
  <si>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</si>
  <si>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</si>
  <si>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</si>
  <si>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</si>
  <si>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</si>
  <si>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</si>
  <si>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</si>
  <si>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</si>
  <si>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</si>
  <si>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</si>
  <si>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</si>
  <si>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</si>
  <si>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</si>
  <si>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</si>
  <si>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</si>
  <si>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</si>
  <si>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</si>
  <si>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</si>
  <si>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</si>
  <si>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</si>
  <si>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</si>
  <si>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</si>
  <si>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</si>
  <si>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</si>
  <si>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</si>
  <si>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</si>
  <si>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</si>
  <si>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</si>
  <si>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</si>
  <si>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</si>
  <si>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</si>
  <si>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</si>
  <si>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</si>
  <si>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</si>
  <si>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</si>
  <si>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</si>
  <si>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</si>
  <si>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</si>
  <si>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</si>
  <si>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</si>
  <si>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</si>
  <si>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</si>
  <si>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</si>
  <si>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</si>
  <si>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</si>
  <si>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</si>
  <si>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</si>
  <si>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</si>
  <si>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</si>
  <si>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</si>
  <si>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</si>
  <si>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</si>
  <si>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</si>
  <si>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</si>
  <si>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</si>
  <si>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</si>
  <si>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</si>
  <si>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</si>
  <si>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</si>
  <si>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</si>
  <si>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</si>
  <si>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</si>
  <si>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</si>
  <si>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</si>
  <si>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</si>
  <si>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</si>
  <si>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</si>
  <si>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</si>
  <si>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</si>
  <si>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</si>
  <si>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</si>
  <si>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</si>
  <si>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</si>
  <si>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</si>
  <si>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</si>
  <si>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</si>
  <si>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</si>
  <si>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</si>
  <si>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</si>
  <si>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</si>
  <si>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</si>
  <si>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</si>
  <si>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</si>
  <si>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</si>
  <si>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</si>
  <si>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</si>
  <si>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</si>
  <si>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</si>
  <si>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</si>
  <si>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</si>
  <si>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</si>
  <si>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</si>
  <si>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</si>
  <si>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</si>
  <si>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</si>
  <si>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</si>
  <si>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</si>
  <si>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</si>
  <si>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</si>
  <si>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</si>
  <si>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</si>
  <si>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</si>
  <si>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</si>
  <si>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</si>
  <si>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</si>
  <si>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</si>
  <si>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</si>
  <si>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</si>
  <si>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</si>
  <si>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</si>
  <si>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</si>
  <si>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</si>
  <si>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</si>
  <si>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</si>
  <si>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</si>
  <si>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</si>
  <si>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</si>
  <si>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</si>
  <si>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</si>
  <si>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</si>
  <si>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</si>
  <si>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</si>
  <si>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</si>
  <si>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</si>
  <si>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</si>
  <si>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</si>
  <si>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</si>
  <si>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</si>
  <si>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</si>
  <si>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</si>
  <si>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</si>
  <si>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</si>
  <si>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</si>
  <si>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</si>
  <si>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</si>
  <si>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</si>
  <si>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</si>
  <si>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</si>
  <si>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</si>
  <si>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</si>
  <si>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</si>
  <si>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</si>
  <si>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</si>
  <si>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</si>
  <si>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</si>
  <si>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</si>
  <si>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</si>
  <si>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</si>
  <si>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</si>
  <si>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</si>
  <si>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</si>
  <si>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</si>
  <si>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</si>
  <si>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</si>
  <si>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</si>
  <si>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</si>
  <si>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</si>
  <si>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</si>
  <si>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</si>
  <si>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</si>
  <si>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</si>
  <si>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</si>
  <si>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</si>
  <si>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</si>
  <si>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</si>
  <si>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</si>
  <si>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</si>
  <si>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</si>
  <si>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</si>
  <si>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</si>
  <si>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</si>
  <si>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</si>
  <si>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</si>
  <si>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</si>
  <si>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</si>
  <si>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</si>
  <si>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</si>
  <si>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</si>
  <si>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</si>
  <si>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</si>
  <si>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</si>
  <si>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</si>
  <si>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</si>
  <si>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</si>
  <si>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</si>
  <si>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</si>
  <si>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</si>
  <si>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</si>
  <si>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</si>
  <si>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</si>
  <si>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</si>
  <si>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</si>
  <si>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</si>
  <si>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</si>
  <si>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</si>
  <si>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</si>
  <si>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</si>
  <si>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</si>
  <si>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</si>
  <si>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</si>
  <si>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</si>
  <si>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</si>
  <si>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</si>
  <si>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</si>
  <si>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</si>
  <si>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</si>
  <si>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</si>
  <si>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</si>
  <si>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</si>
  <si>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</si>
  <si>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</si>
  <si>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</si>
  <si>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</si>
  <si>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</si>
  <si>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</si>
  <si>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</si>
  <si>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</si>
  <si>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</si>
  <si>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</si>
  <si>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</si>
  <si>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</si>
  <si>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</si>
  <si>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</si>
  <si>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</si>
  <si>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</si>
  <si>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</si>
  <si>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</si>
  <si>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</si>
  <si>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</si>
  <si>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</si>
  <si>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</si>
  <si>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</si>
  <si>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</si>
  <si>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</si>
  <si>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</si>
  <si>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</si>
  <si>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</si>
  <si>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</si>
  <si>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</si>
  <si>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</si>
  <si>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</si>
  <si>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</si>
  <si>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</si>
  <si>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</si>
  <si>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</si>
  <si>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</si>
  <si>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</si>
  <si>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</si>
  <si>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</si>
  <si>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</si>
  <si>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</si>
  <si>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</si>
  <si>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</si>
  <si>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</si>
  <si>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</si>
  <si>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</si>
  <si>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</si>
  <si>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</si>
  <si>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</si>
  <si>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</si>
  <si>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</si>
  <si>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</si>
  <si>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</si>
  <si>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</si>
  <si>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</si>
  <si>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</si>
  <si>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</si>
  <si>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</si>
  <si>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</si>
  <si>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</si>
  <si>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</si>
  <si>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</si>
  <si>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</si>
  <si>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</si>
  <si>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</si>
  <si>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</si>
  <si>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</si>
  <si>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</si>
  <si>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</si>
  <si>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</si>
  <si>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</si>
  <si>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</si>
  <si>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</si>
  <si>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</si>
  <si>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</si>
  <si>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</si>
  <si>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</si>
  <si>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</si>
  <si>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</si>
  <si>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</si>
  <si>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</si>
  <si>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</si>
  <si>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</si>
  <si>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</si>
  <si>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</si>
  <si>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</si>
  <si>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</si>
  <si>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</si>
  <si>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</si>
  <si>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</si>
  <si>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</si>
  <si>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</si>
  <si>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</si>
  <si>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</si>
  <si>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</si>
  <si>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</si>
  <si>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</si>
  <si>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</si>
  <si>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</si>
  <si>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</si>
  <si>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</si>
  <si>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</si>
  <si>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</si>
  <si>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</si>
  <si>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</si>
  <si>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</si>
  <si>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</si>
  <si>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</si>
  <si>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</si>
  <si>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</si>
  <si>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</si>
  <si>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</si>
  <si>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</si>
  <si>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</si>
  <si>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</si>
  <si>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</si>
  <si>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</si>
  <si>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</si>
  <si>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</si>
  <si>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</si>
  <si>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</si>
  <si>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</si>
  <si>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</si>
  <si>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</si>
  <si>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</si>
  <si>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</si>
  <si>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</si>
  <si>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</si>
  <si>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</si>
  <si>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</si>
  <si>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</si>
  <si>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</si>
  <si>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</si>
  <si>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</si>
  <si>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</si>
  <si>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</si>
  <si>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</si>
  <si>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</si>
  <si>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</si>
  <si>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</si>
  <si>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</si>
  <si>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</si>
  <si>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</si>
  <si>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</si>
  <si>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</si>
  <si>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</si>
  <si>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</si>
  <si>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</si>
  <si>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</si>
  <si>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</si>
  <si>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</si>
  <si>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</si>
  <si>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</si>
  <si>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</si>
  <si>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</si>
  <si>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</si>
  <si>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</si>
  <si>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</si>
  <si>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</si>
  <si>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</si>
  <si>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</si>
  <si>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</si>
  <si>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</si>
  <si>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</si>
  <si>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</si>
  <si>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</si>
  <si>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</si>
  <si>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</si>
  <si>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</si>
  <si>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</si>
  <si>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</si>
  <si>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</si>
  <si>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</si>
  <si>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</si>
  <si>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</si>
  <si>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</si>
  <si>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</si>
  <si>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</si>
  <si>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</si>
  <si>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</si>
  <si>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</si>
  <si>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</si>
  <si>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</si>
  <si>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</si>
  <si>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</si>
  <si>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</si>
  <si>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</si>
  <si>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</si>
  <si>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</si>
  <si>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</si>
  <si>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</si>
  <si>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</si>
  <si>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</si>
  <si>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</si>
  <si>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</si>
  <si>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</si>
  <si>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</si>
  <si>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</si>
  <si>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</si>
  <si>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</si>
  <si>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</si>
  <si>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</si>
  <si>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</si>
  <si>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</si>
  <si>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</si>
  <si>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</si>
  <si>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</si>
  <si>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</si>
  <si>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</si>
  <si>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</si>
  <si>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</si>
  <si>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</si>
  <si>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</si>
  <si>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</si>
  <si>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</si>
  <si>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</si>
  <si>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</si>
  <si>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</si>
  <si>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</si>
  <si>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</si>
  <si>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</si>
  <si>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</si>
  <si>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</si>
  <si>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</si>
  <si>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</si>
  <si>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</si>
  <si>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</si>
  <si>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</si>
  <si>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</si>
  <si>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</si>
  <si>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</si>
  <si>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</si>
  <si>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</si>
  <si>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</si>
  <si>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</si>
  <si>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</si>
  <si>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</si>
  <si>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</si>
  <si>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</si>
  <si>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</si>
  <si>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</si>
  <si>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</si>
  <si>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</si>
  <si>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</si>
  <si>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</si>
  <si>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</si>
  <si>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</si>
  <si>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</si>
  <si>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</si>
  <si>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</si>
  <si>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</si>
  <si>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</si>
  <si>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</si>
  <si>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</si>
  <si>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</si>
  <si>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</si>
  <si>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</si>
  <si>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</si>
  <si>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</si>
  <si>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</si>
  <si>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</si>
  <si>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</si>
  <si>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</si>
  <si>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</si>
  <si>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</si>
  <si>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</si>
  <si>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</si>
  <si>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</si>
  <si>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</si>
  <si>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</si>
  <si>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</si>
  <si>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</si>
  <si>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</si>
  <si>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</si>
  <si>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</si>
  <si>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</si>
  <si>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</si>
  <si>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</si>
  <si>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</si>
  <si>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</si>
  <si>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</si>
  <si>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</si>
  <si>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</si>
  <si>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</si>
  <si>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</si>
  <si>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</si>
  <si>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</si>
  <si>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</si>
  <si>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</si>
  <si>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</si>
  <si>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</si>
  <si>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</si>
  <si>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</si>
  <si>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</si>
  <si>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</si>
  <si>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</si>
  <si>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</si>
  <si>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</si>
  <si>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</si>
  <si>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</si>
  <si>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</si>
  <si>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</si>
  <si>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</si>
  <si>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</si>
  <si>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</si>
  <si>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</si>
  <si>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</si>
  <si>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</si>
  <si>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</si>
  <si>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</si>
  <si>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</si>
  <si>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</si>
  <si>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</si>
  <si>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</si>
  <si>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</si>
  <si>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</si>
  <si>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</si>
  <si>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</si>
  <si>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</si>
  <si>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</si>
  <si>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</si>
  <si>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</si>
  <si>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</si>
  <si>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</si>
  <si>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</si>
  <si>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</si>
  <si>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</si>
  <si>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</si>
  <si>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</si>
  <si>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</si>
  <si>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</si>
  <si>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</si>
  <si>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</si>
  <si>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</si>
  <si>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</si>
  <si>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</si>
  <si>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</si>
  <si>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</si>
  <si>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</si>
  <si>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</si>
  <si>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</si>
  <si>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</si>
  <si>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</si>
  <si>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</si>
  <si>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</si>
  <si>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</si>
  <si>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</si>
  <si>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</si>
  <si>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</si>
  <si>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</si>
  <si>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</si>
  <si>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</si>
  <si>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</si>
  <si>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</si>
  <si>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</si>
  <si>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</si>
  <si>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</si>
  <si>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</si>
  <si>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</si>
  <si>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</si>
  <si>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</si>
  <si>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</si>
  <si>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</si>
  <si>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</si>
  <si>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</si>
  <si>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</si>
  <si>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</si>
  <si>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</si>
  <si>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</si>
  <si>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</si>
  <si>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</si>
  <si>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</si>
  <si>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</si>
  <si>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</si>
  <si>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</si>
  <si>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</si>
  <si>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</si>
  <si>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</si>
  <si>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</si>
  <si>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</si>
  <si>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</si>
  <si>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</si>
  <si>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</si>
  <si>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</si>
  <si>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</si>
  <si>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</si>
  <si>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</si>
  <si>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</si>
  <si>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</si>
  <si>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</si>
  <si>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</si>
  <si>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</si>
  <si>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</si>
  <si>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</si>
  <si>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</si>
  <si>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</si>
  <si>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</si>
  <si>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</si>
  <si>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</si>
  <si>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</si>
  <si>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</si>
  <si>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</si>
  <si>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</si>
  <si>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</si>
  <si>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</si>
  <si>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</si>
  <si>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</si>
  <si>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</si>
  <si>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</si>
  <si>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</si>
  <si>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</si>
  <si>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</si>
  <si>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</si>
  <si>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</si>
  <si>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</si>
  <si>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</si>
  <si>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</si>
  <si>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</si>
  <si>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</si>
  <si>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</si>
  <si>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</si>
  <si>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</si>
  <si>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</si>
  <si>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</si>
  <si>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</si>
  <si>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</si>
  <si>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</si>
  <si>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</si>
  <si>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</si>
  <si>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</si>
  <si>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</si>
  <si>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</si>
  <si>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</si>
  <si>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</si>
  <si>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</si>
  <si>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</si>
  <si>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</si>
  <si>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</si>
  <si>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</si>
  <si>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</si>
  <si>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</si>
  <si>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</si>
  <si>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</si>
  <si>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</si>
  <si>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</si>
  <si>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</si>
  <si>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</si>
  <si>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</si>
  <si>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</si>
  <si>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</si>
  <si>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</si>
  <si>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</si>
  <si>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</si>
  <si>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</si>
  <si>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</si>
  <si>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</si>
  <si>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</si>
  <si>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</si>
  <si>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</si>
  <si>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</si>
  <si>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</si>
  <si>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</si>
  <si>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</si>
  <si>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</si>
  <si>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</si>
  <si>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</si>
  <si>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</si>
  <si>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</si>
  <si>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</si>
  <si>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</si>
  <si>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</si>
  <si>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</si>
  <si>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</si>
  <si>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</si>
  <si>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</si>
  <si>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</si>
  <si>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</si>
  <si>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</si>
  <si>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</si>
  <si>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</si>
  <si>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</si>
  <si>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</si>
  <si>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</si>
  <si>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</si>
  <si>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</si>
  <si>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</si>
  <si>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</si>
  <si>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</si>
  <si>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</si>
  <si>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</si>
  <si>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</si>
  <si>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</si>
  <si>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</si>
  <si>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</si>
  <si>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</si>
  <si>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</si>
  <si>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</si>
  <si>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</si>
  <si>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</si>
  <si>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</si>
  <si>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</si>
  <si>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</si>
  <si>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</si>
  <si>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</si>
  <si>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</si>
  <si>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</si>
  <si>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</si>
  <si>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</si>
  <si>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</si>
  <si>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</si>
  <si>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</si>
  <si>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</si>
  <si>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</si>
  <si>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</si>
  <si>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</si>
  <si>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</si>
  <si>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</si>
  <si>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</si>
  <si>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</si>
  <si>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</si>
  <si>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</si>
  <si>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</si>
  <si>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</si>
  <si>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</si>
  <si>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</si>
  <si>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</si>
  <si>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</si>
  <si>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</si>
  <si>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</si>
  <si>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</si>
  <si>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</si>
  <si>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</si>
  <si>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</si>
  <si>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</si>
  <si>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</si>
  <si>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</si>
  <si>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</si>
  <si>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</si>
  <si>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</si>
  <si>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</si>
  <si>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</si>
  <si>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</si>
  <si>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</si>
  <si>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</si>
  <si>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</si>
  <si>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</si>
  <si>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</si>
  <si>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</si>
  <si>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</si>
  <si>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</si>
  <si>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</si>
  <si>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</si>
  <si>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</si>
  <si>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</si>
  <si>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</si>
  <si>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</si>
  <si>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</si>
  <si>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</si>
  <si>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</si>
  <si>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</si>
  <si>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</si>
  <si>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</si>
  <si>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</si>
  <si>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</si>
  <si>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</si>
  <si>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</si>
  <si>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</si>
  <si>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</si>
  <si>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</si>
  <si>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</si>
  <si>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</si>
  <si>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</si>
  <si>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</si>
  <si>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</si>
  <si>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</si>
  <si>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</si>
  <si>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</si>
  <si>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</si>
  <si>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</si>
  <si>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</si>
  <si>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</si>
  <si>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</si>
  <si>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</si>
  <si>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</si>
  <si>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</si>
  <si>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</si>
  <si>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</si>
  <si>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</si>
  <si>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</si>
  <si>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</si>
  <si>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</si>
  <si>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</si>
  <si>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</si>
  <si>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</si>
  <si>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</si>
  <si>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</si>
  <si>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</si>
  <si>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</si>
  <si>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</si>
  <si>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</si>
  <si>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</si>
  <si>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</si>
  <si>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</si>
  <si>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</si>
  <si>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</si>
  <si>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</si>
  <si>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</si>
  <si>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</si>
  <si>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</si>
  <si>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</si>
  <si>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</si>
  <si>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</si>
  <si>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</si>
  <si>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</si>
  <si>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</si>
  <si>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</si>
  <si>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</si>
  <si>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</si>
  <si>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</si>
  <si>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</si>
  <si>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</si>
  <si>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</si>
  <si>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</si>
  <si>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</si>
  <si>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</si>
  <si>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</si>
  <si>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</si>
  <si>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</si>
  <si>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</si>
  <si>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</si>
  <si>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</si>
  <si>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</si>
  <si>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</si>
  <si>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</si>
  <si>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</si>
  <si>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</si>
  <si>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</si>
  <si>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</si>
  <si>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</si>
  <si>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</si>
  <si>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</si>
  <si>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</si>
  <si>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</si>
  <si>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</si>
  <si>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</si>
  <si>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</si>
  <si>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</si>
  <si>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</si>
  <si>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</si>
  <si>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</si>
  <si>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</si>
  <si>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</si>
  <si>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</si>
  <si>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</si>
  <si>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</si>
  <si>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</si>
  <si>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</si>
  <si>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</si>
  <si>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</si>
  <si>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</si>
  <si>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</si>
  <si>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</si>
  <si>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</si>
  <si>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</si>
  <si>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</si>
  <si>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</si>
  <si>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</si>
  <si>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</si>
  <si>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</si>
  <si>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</si>
  <si>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</si>
  <si>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</si>
  <si>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</si>
  <si>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</si>
  <si>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</si>
  <si>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</si>
  <si>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</si>
  <si>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</si>
  <si>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</si>
  <si>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</si>
  <si>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</si>
  <si>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</si>
  <si>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</si>
  <si>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</si>
  <si>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</si>
  <si>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</si>
  <si>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</si>
  <si>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</si>
  <si>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</si>
  <si>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</si>
  <si>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</si>
  <si>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</si>
  <si>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</si>
  <si>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</si>
  <si>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</si>
  <si>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</si>
  <si>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</si>
  <si>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</si>
  <si>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</si>
  <si>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</si>
  <si>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</si>
  <si>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</si>
  <si>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</si>
  <si>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</si>
  <si>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</si>
  <si>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</si>
  <si>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</si>
  <si>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</si>
  <si>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</si>
  <si>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</si>
  <si>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</si>
  <si>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</si>
  <si>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</si>
  <si>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</si>
  <si>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</si>
  <si>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</si>
  <si>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</si>
  <si>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</si>
  <si>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</si>
  <si>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</si>
  <si>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</si>
  <si>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</si>
  <si>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</si>
  <si>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</si>
  <si>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</si>
  <si>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</si>
  <si>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</si>
  <si>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</si>
  <si>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</si>
  <si>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</si>
  <si>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</si>
  <si>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</si>
  <si>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</si>
  <si>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</si>
  <si>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</si>
  <si>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</si>
  <si>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</si>
  <si>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</si>
  <si>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</si>
  <si>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</si>
  <si>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</si>
  <si>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</si>
  <si>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</si>
  <si>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</si>
  <si>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</si>
  <si>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</si>
  <si>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</si>
  <si>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</si>
  <si>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</si>
  <si>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</si>
  <si>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</si>
  <si>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</si>
  <si>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</si>
  <si>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</si>
  <si>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</si>
  <si>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</si>
  <si>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</si>
  <si>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</si>
  <si>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</si>
  <si>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</si>
  <si>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</si>
  <si>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</si>
  <si>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</si>
  <si>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</si>
  <si>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</si>
  <si>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</si>
  <si>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</si>
  <si>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</si>
  <si>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</si>
  <si>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</si>
  <si>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</si>
  <si>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</si>
  <si>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</si>
  <si>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</si>
  <si>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</si>
  <si>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</si>
  <si>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</si>
  <si>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</si>
  <si>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</si>
  <si>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</si>
  <si>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</si>
  <si>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</si>
  <si>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</si>
  <si>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</si>
  <si>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</si>
  <si>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</si>
  <si>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</si>
  <si>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</si>
  <si>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</si>
  <si>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</si>
  <si>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</si>
  <si>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</si>
  <si>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</si>
  <si>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</si>
  <si>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</si>
  <si>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</si>
  <si>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</si>
  <si>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</si>
  <si>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</si>
  <si>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</si>
  <si>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</si>
  <si>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</si>
  <si>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</si>
  <si>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</si>
  <si>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</si>
  <si>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</si>
  <si>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</si>
  <si>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</si>
  <si>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</si>
  <si>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</si>
  <si>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</si>
  <si>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</si>
  <si>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</si>
  <si>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</si>
  <si>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</si>
  <si>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</si>
  <si>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</si>
  <si>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</si>
  <si>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</si>
  <si>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</si>
  <si>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</si>
  <si>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</si>
  <si>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</si>
  <si>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</si>
  <si>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</si>
  <si>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</si>
  <si>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</si>
  <si>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</si>
  <si>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</si>
  <si>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</si>
  <si>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</si>
  <si>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</si>
  <si>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</si>
  <si>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</si>
  <si>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</si>
  <si>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</si>
  <si>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</si>
  <si>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</si>
  <si>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</si>
  <si>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</si>
  <si>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</si>
  <si>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</si>
  <si>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</si>
  <si>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</si>
  <si>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</si>
  <si>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</si>
  <si>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</si>
  <si>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</si>
  <si>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</si>
  <si>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</si>
  <si>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</si>
  <si>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</si>
  <si>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</si>
  <si>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</si>
  <si>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</si>
  <si>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</si>
  <si>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</si>
  <si>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</si>
  <si>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</si>
  <si>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</si>
  <si>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</si>
  <si>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</si>
  <si>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</si>
  <si>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</si>
  <si>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</si>
  <si>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</si>
  <si>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</si>
  <si>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</si>
  <si>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</si>
  <si>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</si>
  <si>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</si>
  <si>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</si>
  <si>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</si>
  <si>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</si>
  <si>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</si>
  <si>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</si>
  <si>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</si>
  <si>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</si>
  <si>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</si>
  <si>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</si>
  <si>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</si>
  <si>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</si>
  <si>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</si>
  <si>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</si>
  <si>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</si>
  <si>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</si>
  <si>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</si>
  <si>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</si>
  <si>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</si>
  <si>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</si>
  <si>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</si>
  <si>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</si>
  <si>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</si>
  <si>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</si>
  <si>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</si>
  <si>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</si>
  <si>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</si>
  <si>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</si>
  <si>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</si>
  <si>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</si>
  <si>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</si>
  <si>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</si>
  <si>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</si>
  <si>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</si>
  <si>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</si>
  <si>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</si>
  <si>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</si>
  <si>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</si>
  <si>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</si>
  <si>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</si>
  <si>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</si>
  <si>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</si>
  <si>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</si>
  <si>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</si>
  <si>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</si>
  <si>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</si>
  <si>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</si>
  <si>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</si>
  <si>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Asesoria de Menores Nº 3</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</si>
  <si>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</si>
  <si>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</si>
  <si>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</si>
  <si>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</si>
  <si>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</si>
  <si>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</si>
  <si>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</si>
  <si>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</si>
  <si>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</si>
  <si>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</si>
  <si>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</si>
  <si>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</si>
  <si>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</si>
  <si>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</si>
  <si>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Audiencia realiza Dra. Pedraza - Dra. Albornoz, Laura de los Ángeles como representante legal de la víctima (no es querellante); y Asesorìa de Menores e Incapaces Nº 6</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</si>
  <si>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</si>
  <si>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</si>
  <si>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</si>
  <si>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</si>
  <si>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</si>
  <si>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</si>
  <si>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</si>
  <si>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</si>
  <si>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</si>
  <si>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</si>
  <si>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</si>
  <si>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</si>
  <si>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</si>
  <si>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</si>
  <si>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</si>
  <si>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</si>
  <si>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</si>
  <si>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</si>
  <si>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</si>
  <si>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</si>
  <si>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</si>
  <si>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</si>
  <si>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</si>
  <si>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</si>
  <si>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</si>
  <si>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</si>
  <si>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</si>
  <si>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</si>
  <si>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</si>
  <si>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</si>
  <si>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</si>
  <si>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</si>
  <si>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</si>
  <si>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</si>
  <si>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</si>
  <si>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</si>
  <si>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</si>
  <si>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</si>
  <si>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</si>
  <si>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</si>
  <si>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</si>
  <si>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</si>
  <si>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</si>
  <si>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</si>
  <si>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</si>
  <si>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</si>
  <si>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</si>
  <si>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</si>
  <si>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</si>
  <si>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</si>
  <si>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</si>
  <si>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</si>
  <si>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</si>
  <si>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</si>
  <si>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</si>
  <si>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</si>
  <si>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</si>
  <si>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</si>
  <si>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</si>
  <si>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</si>
  <si>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</si>
  <si>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</si>
  <si>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</si>
  <si>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</si>
  <si>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</si>
  <si>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</si>
  <si>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RAMOS, GUILLERMO MAXIMILIANO POR COACCION, LESIONES LEVES AGRAVADAS POR LA RELACION DE PAREJA PRE</t>
  </si>
</sst>
</file>

<file path=xl/styles.xml><?xml version="1.0" encoding="utf-8"?>
<styleSheet xmlns="http://schemas.openxmlformats.org/spreadsheetml/2006/main">
  <numFmts count="2">
    <numFmt numFmtId="164" formatCode="dd/mm/yyyy;@"/>
    <numFmt numFmtId="165" formatCode="0.0%"/>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4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3" borderId="1" xfId="0" applyNumberFormat="1" applyFont="1" applyFill="1" applyBorder="1" applyAlignment="1">
      <alignment horizontal="left" vertical="center" wrapText="1"/>
    </xf>
    <xf numFmtId="0" fontId="2" fillId="12" borderId="1" xfId="0" applyFont="1" applyFill="1" applyBorder="1" applyAlignment="1">
      <alignment horizontal="center" vertical="center" wrapText="1"/>
    </xf>
    <xf numFmtId="20" fontId="0" fillId="0" borderId="1" xfId="0" applyNumberFormat="1" applyFill="1" applyBorder="1" applyAlignment="1">
      <alignment horizontal="center" vertical="center" wrapText="1"/>
    </xf>
    <xf numFmtId="49" fontId="2" fillId="0" borderId="0" xfId="0" applyNumberFormat="1" applyFont="1" applyAlignment="1">
      <alignment horizontal="center" vertical="center" wrapText="1"/>
    </xf>
    <xf numFmtId="49" fontId="2" fillId="0" borderId="1" xfId="0" applyNumberFormat="1" applyFont="1" applyFill="1" applyBorder="1" applyAlignment="1">
      <alignment horizontal="center" vertical="center"/>
    </xf>
    <xf numFmtId="0" fontId="2" fillId="10" borderId="0" xfId="0" applyFont="1" applyFill="1" applyAlignment="1">
      <alignment horizontal="center" vertical="center" wrapText="1"/>
    </xf>
    <xf numFmtId="49" fontId="0" fillId="0" borderId="31"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0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243529216"/>
        <c:axId val="243530752"/>
      </c:barChart>
      <c:catAx>
        <c:axId val="243529216"/>
        <c:scaling>
          <c:orientation val="minMax"/>
        </c:scaling>
        <c:axPos val="b"/>
        <c:majorTickMark val="none"/>
        <c:tickLblPos val="nextTo"/>
        <c:txPr>
          <a:bodyPr/>
          <a:lstStyle/>
          <a:p>
            <a:pPr>
              <a:defRPr lang="es-ES"/>
            </a:pPr>
            <a:endParaRPr lang="es-ES"/>
          </a:p>
        </c:txPr>
        <c:crossAx val="243530752"/>
        <c:crosses val="autoZero"/>
        <c:auto val="1"/>
        <c:lblAlgn val="ctr"/>
        <c:lblOffset val="100"/>
      </c:catAx>
      <c:valAx>
        <c:axId val="243530752"/>
        <c:scaling>
          <c:orientation val="minMax"/>
        </c:scaling>
        <c:axPos val="l"/>
        <c:majorGridlines/>
        <c:numFmt formatCode="General" sourceLinked="1"/>
        <c:majorTickMark val="none"/>
        <c:tickLblPos val="nextTo"/>
        <c:txPr>
          <a:bodyPr/>
          <a:lstStyle/>
          <a:p>
            <a:pPr>
              <a:defRPr lang="es-ES"/>
            </a:pPr>
            <a:endParaRPr lang="es-ES"/>
          </a:p>
        </c:txPr>
        <c:crossAx val="243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45733888"/>
        <c:axId val="145739776"/>
      </c:barChart>
      <c:catAx>
        <c:axId val="145733888"/>
        <c:scaling>
          <c:orientation val="minMax"/>
        </c:scaling>
        <c:axPos val="b"/>
        <c:majorTickMark val="none"/>
        <c:tickLblPos val="nextTo"/>
        <c:txPr>
          <a:bodyPr/>
          <a:lstStyle/>
          <a:p>
            <a:pPr>
              <a:defRPr lang="es-ES"/>
            </a:pPr>
            <a:endParaRPr lang="es-ES"/>
          </a:p>
        </c:txPr>
        <c:crossAx val="145739776"/>
        <c:crosses val="autoZero"/>
        <c:auto val="1"/>
        <c:lblAlgn val="ctr"/>
        <c:lblOffset val="100"/>
      </c:catAx>
      <c:valAx>
        <c:axId val="145739776"/>
        <c:scaling>
          <c:orientation val="minMax"/>
        </c:scaling>
        <c:axPos val="l"/>
        <c:majorGridlines/>
        <c:numFmt formatCode="General" sourceLinked="1"/>
        <c:majorTickMark val="none"/>
        <c:tickLblPos val="nextTo"/>
        <c:txPr>
          <a:bodyPr/>
          <a:lstStyle/>
          <a:p>
            <a:pPr>
              <a:defRPr lang="es-ES"/>
            </a:pPr>
            <a:endParaRPr lang="es-ES"/>
          </a:p>
        </c:txPr>
        <c:crossAx val="14573388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45783808"/>
        <c:axId val="168755968"/>
      </c:barChart>
      <c:catAx>
        <c:axId val="145783808"/>
        <c:scaling>
          <c:orientation val="minMax"/>
        </c:scaling>
        <c:axPos val="b"/>
        <c:majorTickMark val="none"/>
        <c:tickLblPos val="nextTo"/>
        <c:txPr>
          <a:bodyPr/>
          <a:lstStyle/>
          <a:p>
            <a:pPr>
              <a:defRPr lang="es-ES"/>
            </a:pPr>
            <a:endParaRPr lang="es-ES"/>
          </a:p>
        </c:txPr>
        <c:crossAx val="168755968"/>
        <c:crosses val="autoZero"/>
        <c:auto val="1"/>
        <c:lblAlgn val="ctr"/>
        <c:lblOffset val="100"/>
      </c:catAx>
      <c:valAx>
        <c:axId val="16875596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578380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68779136"/>
        <c:axId val="168785024"/>
      </c:barChart>
      <c:catAx>
        <c:axId val="168779136"/>
        <c:scaling>
          <c:orientation val="minMax"/>
        </c:scaling>
        <c:axPos val="b"/>
        <c:numFmt formatCode="General" sourceLinked="0"/>
        <c:majorTickMark val="none"/>
        <c:tickLblPos val="nextTo"/>
        <c:txPr>
          <a:bodyPr/>
          <a:lstStyle/>
          <a:p>
            <a:pPr>
              <a:defRPr lang="es-ES"/>
            </a:pPr>
            <a:endParaRPr lang="es-ES"/>
          </a:p>
        </c:txPr>
        <c:crossAx val="168785024"/>
        <c:crosses val="autoZero"/>
        <c:auto val="1"/>
        <c:lblAlgn val="ctr"/>
        <c:lblOffset val="100"/>
      </c:catAx>
      <c:valAx>
        <c:axId val="16878502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877913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48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0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443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25"/>
                  <c:y val="0.3511126178195195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148</c:v>
                </c:pt>
                <c:pt idx="1">
                  <c:v>265</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63"/>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0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03"/>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134"/>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25"/>
                  <c:y val="0.1493162344699355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2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148</c:v>
                </c:pt>
                <c:pt idx="3">
                  <c:v>265</c:v>
                </c:pt>
                <c:pt idx="4">
                  <c:v>12</c:v>
                </c:pt>
                <c:pt idx="5">
                  <c:v>102</c:v>
                </c:pt>
                <c:pt idx="6">
                  <c:v>14</c:v>
                </c:pt>
                <c:pt idx="7">
                  <c:v>3</c:v>
                </c:pt>
                <c:pt idx="8">
                  <c:v>318</c:v>
                </c:pt>
                <c:pt idx="9">
                  <c:v>16</c:v>
                </c:pt>
                <c:pt idx="10">
                  <c:v>10</c:v>
                </c:pt>
                <c:pt idx="11">
                  <c:v>20</c:v>
                </c:pt>
                <c:pt idx="12">
                  <c:v>1</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8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0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0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145"/>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19"/>
                  <c:y val="0.1493162344699356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3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txPr>
              <a:bodyPr/>
              <a:lstStyle/>
              <a:p>
                <a:pPr>
                  <a:defRPr sz="1200" b="1"/>
                </a:pPr>
                <a:endParaRPr lang="es-ES"/>
              </a:p>
            </c:txPr>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424</c:v>
                </c:pt>
                <c:pt idx="1">
                  <c:v>318</c:v>
                </c:pt>
                <c:pt idx="2">
                  <c:v>114</c:v>
                </c:pt>
                <c:pt idx="3">
                  <c:v>27</c:v>
                </c:pt>
                <c:pt idx="4">
                  <c:v>17</c:v>
                </c:pt>
                <c:pt idx="5">
                  <c:v>20</c:v>
                </c:pt>
                <c:pt idx="6">
                  <c:v>2</c:v>
                </c:pt>
                <c:pt idx="7">
                  <c:v>2</c:v>
                </c:pt>
                <c:pt idx="8">
                  <c:v>5</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111" l="0.70000000000000062" r="0.70000000000000062" t="0.7500000000000011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2.387074421298"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2.387075347222"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2.387076041668"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2.387076967592"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2.387077893516"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2.387078819447" createdVersion="3" refreshedVersion="3" minRefreshableVersion="3" recordCount="1048">
  <cacheSource type="worksheet">
    <worksheetSource ref="D2:N1035"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5" cacheId="2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2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2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7"/>
    </i>
    <i r="2">
      <x v="7"/>
    </i>
    <i r="1">
      <x v="19"/>
    </i>
    <i r="2">
      <x v="3"/>
    </i>
    <i>
      <x v="2"/>
    </i>
    <i r="1">
      <x v="2"/>
    </i>
    <i r="2">
      <x v="3"/>
    </i>
    <i r="1">
      <x v="18"/>
    </i>
    <i r="2">
      <x v="5"/>
    </i>
    <i>
      <x v="4"/>
    </i>
    <i r="1">
      <x v="8"/>
    </i>
    <i r="2">
      <x v="3"/>
    </i>
    <i>
      <x v="6"/>
    </i>
    <i r="1">
      <x v="17"/>
    </i>
    <i r="2">
      <x v="5"/>
    </i>
    <i>
      <x v="7"/>
    </i>
    <i r="1">
      <x v="13"/>
    </i>
    <i r="2">
      <x v="7"/>
    </i>
    <i>
      <x v="15"/>
    </i>
    <i r="1">
      <x v="6"/>
    </i>
    <i r="2">
      <x v="3"/>
    </i>
    <i t="grand">
      <x/>
    </i>
  </rowItems>
  <colItems count="1">
    <i/>
  </colItems>
  <pageFields count="1">
    <pageField fld="4" item="175"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7">
    <i>
      <x/>
    </i>
    <i r="1">
      <x v="8"/>
    </i>
    <i r="2">
      <x v="5"/>
    </i>
    <i>
      <x v="2"/>
    </i>
    <i r="1">
      <x v="18"/>
    </i>
    <i r="2">
      <x v="3"/>
    </i>
    <i>
      <x v="3"/>
    </i>
    <i r="1">
      <x v="2"/>
    </i>
    <i r="2">
      <x v="3"/>
    </i>
    <i>
      <x v="4"/>
    </i>
    <i r="1">
      <x v="5"/>
    </i>
    <i r="2">
      <x v="7"/>
    </i>
    <i r="1">
      <x v="17"/>
    </i>
    <i r="2">
      <x v="5"/>
    </i>
    <i>
      <x v="6"/>
    </i>
    <i r="1">
      <x v="19"/>
    </i>
    <i r="2">
      <x v="5"/>
    </i>
    <i>
      <x v="7"/>
    </i>
    <i r="1">
      <x v="6"/>
    </i>
    <i r="2">
      <x v="5"/>
    </i>
    <i>
      <x v="10"/>
    </i>
    <i r="1">
      <x v="13"/>
    </i>
    <i r="2">
      <x v="3"/>
    </i>
    <i>
      <x v="16"/>
    </i>
    <i r="1">
      <x v="4"/>
    </i>
    <i r="2">
      <x v="3"/>
    </i>
    <i t="grand">
      <x/>
    </i>
  </rowItems>
  <colItems count="1">
    <i/>
  </colItems>
  <pageFields count="1">
    <pageField fld="4" item="176"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2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i>
    <i r="1">
      <x v="19"/>
    </i>
    <i r="2">
      <x v="3"/>
    </i>
    <i>
      <x v="2"/>
    </i>
    <i r="1">
      <x v="4"/>
    </i>
    <i r="2">
      <x v="3"/>
    </i>
    <i r="1">
      <x v="6"/>
    </i>
    <i r="2">
      <x v="5"/>
    </i>
    <i>
      <x v="3"/>
    </i>
    <i r="1">
      <x v="16"/>
    </i>
    <i r="2">
      <x v="5"/>
    </i>
    <i>
      <x v="4"/>
    </i>
    <i r="1">
      <x v="13"/>
    </i>
    <i r="2">
      <x v="3"/>
    </i>
    <i r="1">
      <x v="18"/>
    </i>
    <i r="2">
      <x v="23"/>
    </i>
    <i>
      <x v="6"/>
    </i>
    <i r="1">
      <x v="7"/>
    </i>
    <i r="2">
      <x v="5"/>
    </i>
    <i>
      <x v="7"/>
    </i>
    <i r="1">
      <x v="17"/>
    </i>
    <i r="2">
      <x v="5"/>
    </i>
    <i t="grand">
      <x/>
    </i>
  </rowItems>
  <colItems count="1">
    <i/>
  </colItems>
  <pageFields count="1">
    <pageField fld="4" item="177"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2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1058"/>
  <sheetViews>
    <sheetView showGridLines="0" tabSelected="1" zoomScale="70" zoomScaleNormal="70" zoomScaleSheetLayoutView="55" workbookViewId="0">
      <pane ySplit="2" topLeftCell="A959" activePane="bottomLeft" state="frozen"/>
      <selection pane="bottomLeft" activeCell="E650" sqref="E650"/>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1055</v>
      </c>
      <c r="B1" s="237" t="str">
        <f ca="1" xml:space="preserve"> COUNTIF(O:O,"NO") &amp;"                                      -                 "                 &amp; COUNTIF(O:O,"LIMBO")</f>
        <v>67                                      -                 52</v>
      </c>
      <c r="C1" s="237">
        <f ca="1" xml:space="preserve"> COUNTIF(O:O,"SI")</f>
        <v>936</v>
      </c>
      <c r="D1" s="235"/>
      <c r="E1" s="275" t="str">
        <f ca="1" xml:space="preserve"> "Cantidad de audiencias de la fecha:   " &amp; COUNTIF(H:H,TODAY())</f>
        <v>Cantidad de audiencias de la fecha:   7</v>
      </c>
      <c r="F1" s="238"/>
      <c r="G1" s="239"/>
      <c r="H1" s="240"/>
      <c r="I1" s="240"/>
      <c r="J1" s="240" t="s">
        <v>1440</v>
      </c>
      <c r="K1" s="239" t="s">
        <v>899</v>
      </c>
      <c r="L1" s="241" t="s">
        <v>3818</v>
      </c>
      <c r="M1" s="103"/>
      <c r="N1" s="104"/>
      <c r="O1" s="104"/>
      <c r="P1" s="105">
        <v>45254</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SI</v>
      </c>
      <c r="U3" s="72">
        <f t="shared" ref="U3:U66" si="3">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59"/>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SI</v>
      </c>
      <c r="U17" s="72">
        <f t="shared" si="3"/>
        <v>3</v>
      </c>
      <c r="V17" s="7"/>
      <c r="W17" s="7"/>
      <c r="X17" s="7"/>
      <c r="Y17" s="7"/>
      <c r="Z17" s="72"/>
      <c r="AA17" s="72"/>
      <c r="AB17" s="72"/>
      <c r="AC17" s="359"/>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59"/>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59"/>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SI</v>
      </c>
      <c r="U21" s="72">
        <f t="shared" si="3"/>
        <v>3</v>
      </c>
      <c r="V21" s="7"/>
      <c r="W21" s="7"/>
      <c r="X21" s="7"/>
      <c r="Y21" s="7"/>
      <c r="Z21" s="72"/>
      <c r="AA21" s="72"/>
      <c r="AB21" s="72"/>
      <c r="AC21" s="359"/>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59"/>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59"/>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59"/>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59"/>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SI</v>
      </c>
      <c r="U38" s="72">
        <f t="shared" si="3"/>
        <v>3</v>
      </c>
      <c r="V38" s="7"/>
      <c r="W38" s="7"/>
      <c r="X38" s="7"/>
      <c r="Y38" s="7"/>
      <c r="Z38" s="72"/>
      <c r="AA38" s="72"/>
      <c r="AB38" s="72"/>
      <c r="AC38" s="359"/>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SI</v>
      </c>
      <c r="U41" s="72">
        <f t="shared" si="3"/>
        <v>3</v>
      </c>
      <c r="V41" s="7"/>
      <c r="W41" s="7"/>
      <c r="X41" s="7"/>
      <c r="Y41" s="7"/>
      <c r="Z41" s="72"/>
      <c r="AA41" s="72"/>
      <c r="AB41" s="72"/>
      <c r="AC41" s="359"/>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59"/>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59"/>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SI</v>
      </c>
      <c r="U46" s="72">
        <f t="shared" si="3"/>
        <v>3</v>
      </c>
      <c r="V46" s="7"/>
      <c r="W46" s="7"/>
      <c r="X46" s="7"/>
      <c r="Y46" s="7"/>
      <c r="Z46" s="72"/>
      <c r="AA46" s="72"/>
      <c r="AB46" s="72"/>
      <c r="AC46" s="359"/>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SI</v>
      </c>
      <c r="U47" s="72">
        <f t="shared" si="3"/>
        <v>3</v>
      </c>
      <c r="V47" s="7"/>
      <c r="W47" s="7"/>
      <c r="X47" s="7"/>
      <c r="Y47" s="7"/>
      <c r="Z47" s="72"/>
      <c r="AA47" s="72"/>
      <c r="AB47" s="72"/>
      <c r="AC47" s="359"/>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59"/>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SI</v>
      </c>
      <c r="U51" s="72">
        <f t="shared" si="3"/>
        <v>3</v>
      </c>
      <c r="V51" s="7"/>
      <c r="W51" s="7"/>
      <c r="X51" s="7"/>
      <c r="Y51" s="7"/>
      <c r="Z51" s="72"/>
      <c r="AA51" s="72"/>
      <c r="AB51" s="72"/>
      <c r="AC51" s="359"/>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59"/>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SI</v>
      </c>
      <c r="U58" s="72">
        <f t="shared" si="3"/>
        <v>3</v>
      </c>
      <c r="V58" s="7"/>
      <c r="W58" s="7"/>
      <c r="X58" s="7"/>
      <c r="Y58" s="7"/>
      <c r="Z58" s="72"/>
      <c r="AA58" s="72"/>
      <c r="AB58" s="72"/>
      <c r="AC58" s="359"/>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SI</v>
      </c>
      <c r="U66" s="72">
        <f t="shared" si="3"/>
        <v>3</v>
      </c>
      <c r="V66" s="7"/>
      <c r="W66" s="7"/>
      <c r="X66" s="7"/>
      <c r="Y66" s="7"/>
      <c r="Z66" s="72"/>
      <c r="AA66" s="72"/>
      <c r="AB66" s="72"/>
      <c r="AC66" s="359"/>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59"/>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SI</v>
      </c>
      <c r="U71" s="72">
        <f t="shared" si="7"/>
        <v>3</v>
      </c>
      <c r="V71" s="7"/>
      <c r="W71" s="7"/>
      <c r="X71" s="7"/>
      <c r="Y71" s="7"/>
      <c r="Z71" s="72"/>
      <c r="AA71" s="72"/>
      <c r="AB71" s="72"/>
      <c r="AC71" s="359"/>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SI</v>
      </c>
      <c r="U73" s="72">
        <f t="shared" si="7"/>
        <v>3</v>
      </c>
      <c r="V73" s="7"/>
      <c r="W73" s="7"/>
      <c r="X73" s="7"/>
      <c r="Y73" s="7"/>
      <c r="Z73" s="72"/>
      <c r="AA73" s="72"/>
      <c r="AB73" s="72"/>
      <c r="AC73" s="359"/>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59"/>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59"/>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SI</v>
      </c>
      <c r="U84" s="72">
        <f t="shared" si="7"/>
        <v>3</v>
      </c>
      <c r="V84" s="7"/>
      <c r="W84" s="7"/>
      <c r="X84" s="7"/>
      <c r="Y84" s="7"/>
      <c r="Z84" s="72"/>
      <c r="AA84" s="72"/>
      <c r="AB84" s="72"/>
      <c r="AC84" s="359"/>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SI</v>
      </c>
      <c r="U86" s="72">
        <f t="shared" si="7"/>
        <v>3</v>
      </c>
      <c r="V86" s="7"/>
      <c r="W86" s="7"/>
      <c r="X86" s="7"/>
      <c r="Y86" s="7"/>
      <c r="Z86" s="72"/>
      <c r="AA86" s="72"/>
      <c r="AB86" s="72"/>
      <c r="AC86" s="359"/>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59"/>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SI</v>
      </c>
      <c r="U92" s="72">
        <f t="shared" si="7"/>
        <v>4</v>
      </c>
      <c r="V92" s="7"/>
      <c r="W92" s="7"/>
      <c r="X92" s="7"/>
      <c r="Y92" s="7"/>
      <c r="Z92" s="72"/>
      <c r="AA92" s="72"/>
      <c r="AB92" s="72"/>
      <c r="AC92" s="359"/>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SI</v>
      </c>
      <c r="U98" s="72">
        <f t="shared" si="7"/>
        <v>4</v>
      </c>
      <c r="V98" s="7"/>
      <c r="W98" s="7"/>
      <c r="X98" s="7"/>
      <c r="Y98" s="7"/>
      <c r="Z98" s="72"/>
      <c r="AA98" s="72"/>
      <c r="AB98" s="72"/>
      <c r="AC98" s="359"/>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SI</v>
      </c>
      <c r="U100" s="72">
        <f t="shared" si="7"/>
        <v>4</v>
      </c>
      <c r="V100" s="7"/>
      <c r="W100" s="7"/>
      <c r="X100" s="7"/>
      <c r="Y100" s="7"/>
      <c r="Z100" s="72"/>
      <c r="AA100" s="72"/>
      <c r="AB100" s="72"/>
      <c r="AC100" s="359"/>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59"/>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SI</v>
      </c>
      <c r="U105" s="72">
        <f t="shared" si="7"/>
        <v>4</v>
      </c>
      <c r="V105" s="7"/>
      <c r="W105" s="7"/>
      <c r="X105" s="7"/>
      <c r="Y105" s="7"/>
      <c r="Z105" s="72"/>
      <c r="AA105" s="72"/>
      <c r="AB105" s="72"/>
      <c r="AC105" s="359"/>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59"/>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SI</v>
      </c>
      <c r="U111" s="72">
        <f t="shared" si="7"/>
        <v>4</v>
      </c>
      <c r="V111" s="7"/>
      <c r="W111" s="7"/>
      <c r="X111" s="7"/>
      <c r="Y111" s="7"/>
      <c r="Z111" s="72"/>
      <c r="AA111" s="72"/>
      <c r="AB111" s="72"/>
      <c r="AC111" s="359"/>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59"/>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59"/>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59"/>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SI</v>
      </c>
      <c r="U127" s="72">
        <f t="shared" si="7"/>
        <v>4</v>
      </c>
      <c r="V127" s="7"/>
      <c r="W127" s="7"/>
      <c r="X127" s="7"/>
      <c r="Y127" s="7"/>
      <c r="Z127" s="72"/>
      <c r="AA127" s="72"/>
      <c r="AB127" s="72"/>
      <c r="AC127" s="359"/>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SI</v>
      </c>
      <c r="U130" s="72">
        <f t="shared" si="7"/>
        <v>4</v>
      </c>
      <c r="V130" s="7"/>
      <c r="W130" s="7"/>
      <c r="X130" s="7"/>
      <c r="Y130" s="7"/>
      <c r="Z130" s="72"/>
      <c r="AA130" s="72"/>
      <c r="AB130" s="72"/>
      <c r="AC130" s="359"/>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59"/>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SI</v>
      </c>
      <c r="U135" s="72">
        <f t="shared" si="11"/>
        <v>4</v>
      </c>
      <c r="V135" s="7"/>
      <c r="W135" s="7"/>
      <c r="X135" s="7"/>
      <c r="Y135" s="7"/>
      <c r="Z135" s="72"/>
      <c r="AA135" s="72"/>
      <c r="AB135" s="72"/>
      <c r="AC135" s="359"/>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SI</v>
      </c>
      <c r="U139" s="72">
        <f t="shared" si="11"/>
        <v>4</v>
      </c>
      <c r="V139" s="7"/>
      <c r="W139" s="7"/>
      <c r="X139" s="7"/>
      <c r="Y139" s="7"/>
      <c r="Z139" s="72"/>
      <c r="AA139" s="72"/>
      <c r="AB139" s="72"/>
      <c r="AC139" s="359"/>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SI</v>
      </c>
      <c r="U140" s="72">
        <f t="shared" si="11"/>
        <v>4</v>
      </c>
      <c r="V140" s="7"/>
      <c r="W140" s="7"/>
      <c r="X140" s="7"/>
      <c r="Y140" s="7"/>
      <c r="Z140" s="72"/>
      <c r="AA140" s="72"/>
      <c r="AB140" s="72"/>
      <c r="AC140" s="359"/>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59"/>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59"/>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SI</v>
      </c>
      <c r="U147" s="72">
        <f t="shared" si="11"/>
        <v>4</v>
      </c>
      <c r="V147" s="7"/>
      <c r="W147" s="7"/>
      <c r="X147" s="7"/>
      <c r="Y147" s="7"/>
      <c r="Z147" s="72"/>
      <c r="AA147" s="72"/>
      <c r="AB147" s="72"/>
      <c r="AC147" s="359"/>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59"/>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59"/>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59"/>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SI</v>
      </c>
      <c r="U157" s="72">
        <f t="shared" si="11"/>
        <v>5</v>
      </c>
      <c r="V157" s="7"/>
      <c r="W157" s="7"/>
      <c r="X157" s="7"/>
      <c r="Y157" s="7"/>
      <c r="Z157" s="72"/>
      <c r="AA157" s="72"/>
      <c r="AB157" s="72"/>
      <c r="AC157" s="359"/>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SI</v>
      </c>
      <c r="U161" s="72">
        <f t="shared" si="11"/>
        <v>5</v>
      </c>
      <c r="V161" s="7"/>
      <c r="W161" s="7"/>
      <c r="X161" s="7"/>
      <c r="Y161" s="7"/>
      <c r="Z161" s="72"/>
      <c r="AA161" s="72"/>
      <c r="AB161" s="72"/>
      <c r="AC161" s="359"/>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59"/>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SI</v>
      </c>
      <c r="U166" s="72">
        <f t="shared" si="11"/>
        <v>5</v>
      </c>
      <c r="V166" s="7"/>
      <c r="W166" s="7"/>
      <c r="X166" s="7"/>
      <c r="Y166" s="7"/>
      <c r="Z166" s="72"/>
      <c r="AA166" s="72"/>
      <c r="AB166" s="72"/>
      <c r="AC166" s="359"/>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59"/>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59"/>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SI</v>
      </c>
      <c r="U174" s="72">
        <f t="shared" si="11"/>
        <v>5</v>
      </c>
      <c r="V174" s="7"/>
      <c r="W174" s="7"/>
      <c r="X174" s="7"/>
      <c r="Y174" s="7"/>
      <c r="Z174" s="72"/>
      <c r="AA174" s="72"/>
      <c r="AB174" s="72"/>
      <c r="AC174" s="359"/>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SI</v>
      </c>
      <c r="U177" s="72">
        <f t="shared" si="11"/>
        <v>5</v>
      </c>
      <c r="V177" s="7"/>
      <c r="W177" s="7"/>
      <c r="X177" s="7"/>
      <c r="Y177" s="7"/>
      <c r="Z177" s="72"/>
      <c r="AA177" s="72"/>
      <c r="AB177" s="72"/>
      <c r="AC177" s="359"/>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59"/>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SI</v>
      </c>
      <c r="U186" s="72">
        <f t="shared" si="11"/>
        <v>5</v>
      </c>
      <c r="V186" s="7"/>
      <c r="W186" s="7"/>
      <c r="X186" s="7"/>
      <c r="Y186" s="7"/>
      <c r="Z186" s="72"/>
      <c r="AA186" s="72"/>
      <c r="AB186" s="72"/>
      <c r="AC186" s="359"/>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SI</v>
      </c>
      <c r="U187" s="72">
        <f t="shared" si="11"/>
        <v>5</v>
      </c>
      <c r="V187" s="7"/>
      <c r="W187" s="7"/>
      <c r="X187" s="7"/>
      <c r="Y187" s="7"/>
      <c r="Z187" s="72"/>
      <c r="AA187" s="72"/>
      <c r="AB187" s="72"/>
      <c r="AC187" s="359"/>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SI</v>
      </c>
      <c r="U190" s="72">
        <f t="shared" si="11"/>
        <v>5</v>
      </c>
      <c r="V190" s="7"/>
      <c r="W190" s="7"/>
      <c r="X190" s="7"/>
      <c r="Y190" s="7"/>
      <c r="Z190" s="72"/>
      <c r="AA190" s="72"/>
      <c r="AB190" s="72"/>
      <c r="AC190" s="359"/>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SI</v>
      </c>
      <c r="U191" s="72">
        <f t="shared" si="11"/>
        <v>5</v>
      </c>
      <c r="V191" s="7"/>
      <c r="W191" s="7"/>
      <c r="X191" s="7"/>
      <c r="Y191" s="7"/>
      <c r="Z191" s="72"/>
      <c r="AA191" s="72"/>
      <c r="AB191" s="72"/>
      <c r="AC191" s="359"/>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59"/>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59"/>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59"/>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SI</v>
      </c>
      <c r="U200" s="72">
        <f t="shared" si="15"/>
        <v>6</v>
      </c>
      <c r="V200" s="7"/>
      <c r="W200" s="7"/>
      <c r="X200" s="7"/>
      <c r="Y200" s="7"/>
      <c r="Z200" s="72"/>
      <c r="AA200" s="72"/>
      <c r="AB200" s="72"/>
      <c r="AC200" s="359"/>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59"/>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SI</v>
      </c>
      <c r="U206" s="72">
        <f t="shared" si="16"/>
        <v>6</v>
      </c>
      <c r="V206" s="7"/>
      <c r="W206" s="7" t="s">
        <v>1015</v>
      </c>
      <c r="X206" s="7"/>
      <c r="Y206" s="7"/>
      <c r="Z206" s="72"/>
      <c r="AA206" s="331"/>
      <c r="AB206" s="72"/>
      <c r="AC206" s="359"/>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SI</v>
      </c>
      <c r="U211" s="72">
        <f t="shared" si="16"/>
        <v>6</v>
      </c>
      <c r="V211" s="7"/>
      <c r="W211" s="15" t="s">
        <v>1018</v>
      </c>
      <c r="X211" s="7" t="s">
        <v>1019</v>
      </c>
      <c r="Y211" s="7"/>
      <c r="Z211" s="72"/>
      <c r="AA211" s="72"/>
      <c r="AB211" s="72"/>
      <c r="AC211" s="359"/>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59"/>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SI</v>
      </c>
      <c r="U219" s="77">
        <f t="shared" si="16"/>
        <v>6</v>
      </c>
      <c r="V219" s="67"/>
      <c r="W219" s="74" t="s">
        <v>1125</v>
      </c>
      <c r="X219" s="67" t="s">
        <v>1069</v>
      </c>
      <c r="Y219" s="67"/>
      <c r="Z219" s="284"/>
      <c r="AA219" s="72"/>
      <c r="AB219" s="72"/>
      <c r="AC219" s="359"/>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SI</v>
      </c>
      <c r="U220" s="77">
        <f t="shared" si="16"/>
        <v>6</v>
      </c>
      <c r="V220" s="67"/>
      <c r="W220" s="74" t="s">
        <v>1125</v>
      </c>
      <c r="X220" s="67"/>
      <c r="Y220" s="67"/>
      <c r="Z220" s="284"/>
      <c r="AA220" s="72"/>
      <c r="AB220" s="72"/>
      <c r="AC220" s="359"/>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SI</v>
      </c>
      <c r="U221" s="77"/>
      <c r="V221" s="67"/>
      <c r="W221" s="74" t="s">
        <v>1127</v>
      </c>
      <c r="X221" s="7"/>
      <c r="Y221" s="67"/>
      <c r="Z221" s="123"/>
      <c r="AA221" s="72"/>
      <c r="AB221" s="72"/>
      <c r="AC221" s="359"/>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59"/>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SI</v>
      </c>
      <c r="U224" s="77"/>
      <c r="V224" s="67"/>
      <c r="W224" s="74" t="s">
        <v>1129</v>
      </c>
      <c r="X224" s="67"/>
      <c r="Y224" s="67"/>
      <c r="Z224" s="123"/>
      <c r="AA224" s="72"/>
      <c r="AB224" s="72"/>
      <c r="AC224" s="359"/>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59"/>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SI</v>
      </c>
      <c r="U234" s="77"/>
      <c r="V234" s="67"/>
      <c r="W234" s="67" t="s">
        <v>1167</v>
      </c>
      <c r="X234" s="67" t="s">
        <v>1177</v>
      </c>
      <c r="Y234" s="67"/>
      <c r="Z234" s="123"/>
      <c r="AA234" s="72"/>
      <c r="AB234" s="72"/>
      <c r="AC234" s="359"/>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2"/>
      <c r="AC237" s="359"/>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SI</v>
      </c>
      <c r="U240" s="75"/>
      <c r="V240" s="57"/>
      <c r="W240" s="67"/>
      <c r="X240" s="67" t="s">
        <v>1207</v>
      </c>
      <c r="Y240" s="67"/>
      <c r="Z240" s="123"/>
      <c r="AA240" s="284"/>
      <c r="AB240" s="332"/>
      <c r="AC240" s="359"/>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SI</v>
      </c>
      <c r="U241" s="86"/>
      <c r="V241" s="57"/>
      <c r="W241" s="67" t="s">
        <v>1206</v>
      </c>
      <c r="X241" s="67"/>
      <c r="Y241" s="67"/>
      <c r="Z241" s="123"/>
      <c r="AA241" s="284"/>
      <c r="AB241" s="332"/>
      <c r="AC241" s="359"/>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SI</v>
      </c>
      <c r="U245" s="86"/>
      <c r="V245" s="83"/>
      <c r="W245" s="67" t="s">
        <v>1229</v>
      </c>
      <c r="X245" s="67" t="s">
        <v>1232</v>
      </c>
      <c r="Y245" s="67"/>
      <c r="Z245" s="123" t="s">
        <v>743</v>
      </c>
      <c r="AA245" s="284"/>
      <c r="AB245" s="332"/>
      <c r="AC245" s="359"/>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2" t="s">
        <v>1174</v>
      </c>
      <c r="AC247" s="359"/>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SI</v>
      </c>
      <c r="U248" s="77"/>
      <c r="V248" s="67"/>
      <c r="W248" s="67" t="s">
        <v>1275</v>
      </c>
      <c r="X248" s="67" t="s">
        <v>1276</v>
      </c>
      <c r="Y248" s="67"/>
      <c r="Z248" s="284" t="s">
        <v>748</v>
      </c>
      <c r="AA248" s="284" t="s">
        <v>1169</v>
      </c>
      <c r="AB248" s="332" t="s">
        <v>1172</v>
      </c>
      <c r="AC248" s="359"/>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59"/>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SI</v>
      </c>
      <c r="U253" s="77"/>
      <c r="V253" s="67"/>
      <c r="W253" s="67" t="s">
        <v>1239</v>
      </c>
      <c r="X253" s="67" t="s">
        <v>1310</v>
      </c>
      <c r="Y253" s="67"/>
      <c r="Z253" s="284" t="s">
        <v>743</v>
      </c>
      <c r="AA253" s="284" t="s">
        <v>743</v>
      </c>
      <c r="AB253" s="284" t="s">
        <v>1176</v>
      </c>
      <c r="AC253" s="359"/>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SI</v>
      </c>
      <c r="U257" s="77"/>
      <c r="V257" s="67"/>
      <c r="W257" s="74">
        <v>0.36388888888888887</v>
      </c>
      <c r="X257" s="67"/>
      <c r="Y257" s="67"/>
      <c r="Z257" s="284" t="s">
        <v>748</v>
      </c>
      <c r="AA257" s="284" t="s">
        <v>1168</v>
      </c>
      <c r="AB257" s="284" t="s">
        <v>1174</v>
      </c>
      <c r="AC257" s="359"/>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SI</v>
      </c>
      <c r="U263" s="77"/>
      <c r="V263" s="67"/>
      <c r="W263" s="67" t="s">
        <v>1377</v>
      </c>
      <c r="X263" s="67" t="s">
        <v>1375</v>
      </c>
      <c r="Y263" s="67"/>
      <c r="Z263" s="284" t="s">
        <v>743</v>
      </c>
      <c r="AA263" s="284" t="s">
        <v>743</v>
      </c>
      <c r="AB263" s="284" t="s">
        <v>1176</v>
      </c>
      <c r="AC263" s="359"/>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59"/>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SI</v>
      </c>
      <c r="U268" s="77"/>
      <c r="V268" s="67"/>
      <c r="W268" s="67" t="s">
        <v>1395</v>
      </c>
      <c r="X268" s="67" t="s">
        <v>1401</v>
      </c>
      <c r="Y268" s="67"/>
      <c r="Z268" s="284" t="s">
        <v>743</v>
      </c>
      <c r="AA268" s="123" t="s">
        <v>743</v>
      </c>
      <c r="AB268" s="284" t="s">
        <v>1176</v>
      </c>
      <c r="AC268" s="359"/>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59"/>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SI</v>
      </c>
      <c r="U272" s="77"/>
      <c r="V272" s="67"/>
      <c r="W272" s="67" t="s">
        <v>1122</v>
      </c>
      <c r="X272" s="67" t="s">
        <v>1389</v>
      </c>
      <c r="Y272" s="67"/>
      <c r="Z272" s="123" t="s">
        <v>748</v>
      </c>
      <c r="AA272" s="123" t="s">
        <v>743</v>
      </c>
      <c r="AB272" s="284" t="s">
        <v>1174</v>
      </c>
      <c r="AC272" s="359"/>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59"/>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59"/>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59"/>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59"/>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SI</v>
      </c>
      <c r="U293" s="77"/>
      <c r="V293" s="67"/>
      <c r="W293" s="67" t="s">
        <v>1008</v>
      </c>
      <c r="X293" s="67" t="s">
        <v>1530</v>
      </c>
      <c r="Y293" s="67"/>
      <c r="Z293" s="123" t="s">
        <v>748</v>
      </c>
      <c r="AA293" s="123" t="s">
        <v>1170</v>
      </c>
      <c r="AB293" s="123" t="s">
        <v>1172</v>
      </c>
      <c r="AC293" s="359"/>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59"/>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59"/>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SI</v>
      </c>
      <c r="U309" s="77"/>
      <c r="V309" s="67"/>
      <c r="W309" s="67" t="s">
        <v>1591</v>
      </c>
      <c r="X309" s="67"/>
      <c r="Y309" s="67"/>
      <c r="Z309" s="123" t="s">
        <v>743</v>
      </c>
      <c r="AA309" s="123" t="s">
        <v>743</v>
      </c>
      <c r="AB309" s="123" t="s">
        <v>1172</v>
      </c>
      <c r="AC309" s="359"/>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SI</v>
      </c>
      <c r="U312" s="77"/>
      <c r="V312" s="67"/>
      <c r="W312" s="74">
        <v>0.36458333333333331</v>
      </c>
      <c r="X312" s="67" t="s">
        <v>1658</v>
      </c>
      <c r="Y312" s="67"/>
      <c r="Z312" s="284" t="s">
        <v>359</v>
      </c>
      <c r="AA312" s="123" t="s">
        <v>743</v>
      </c>
      <c r="AB312" s="123" t="s">
        <v>1175</v>
      </c>
      <c r="AC312" s="359"/>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NO</v>
      </c>
      <c r="U313" s="77"/>
      <c r="V313" s="67"/>
      <c r="W313" s="67" t="s">
        <v>1340</v>
      </c>
      <c r="X313" s="67"/>
      <c r="Y313" s="67"/>
      <c r="Z313" s="123" t="s">
        <v>743</v>
      </c>
      <c r="AA313" s="123" t="s">
        <v>743</v>
      </c>
      <c r="AB313" s="123" t="s">
        <v>1173</v>
      </c>
      <c r="AC313" s="359"/>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SI</v>
      </c>
      <c r="U318" s="77"/>
      <c r="V318" s="67"/>
      <c r="W318" s="67" t="s">
        <v>1298</v>
      </c>
      <c r="X318" s="67" t="s">
        <v>1651</v>
      </c>
      <c r="Y318" s="67"/>
      <c r="Z318" s="123" t="s">
        <v>1042</v>
      </c>
      <c r="AA318" s="123" t="s">
        <v>1170</v>
      </c>
      <c r="AB318" s="123" t="s">
        <v>1173</v>
      </c>
      <c r="AC318" s="359"/>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1737</v>
      </c>
      <c r="X322" s="155" t="s">
        <v>1310</v>
      </c>
      <c r="Y322" s="67"/>
      <c r="Z322" s="123" t="s">
        <v>1042</v>
      </c>
      <c r="AA322" s="77"/>
      <c r="AB322" s="77"/>
      <c r="AC322" s="359"/>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SI</v>
      </c>
      <c r="U324" s="77"/>
      <c r="V324" s="67"/>
      <c r="W324" s="67" t="s">
        <v>1240</v>
      </c>
      <c r="X324" s="67" t="s">
        <v>1718</v>
      </c>
      <c r="Y324" s="67"/>
      <c r="Z324" s="123" t="s">
        <v>743</v>
      </c>
      <c r="AA324" s="77"/>
      <c r="AB324" s="77"/>
      <c r="AC324" s="359"/>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SI</v>
      </c>
      <c r="U331" s="77"/>
      <c r="V331" s="67"/>
      <c r="W331" s="74">
        <v>0.55277777777777781</v>
      </c>
      <c r="X331" s="67"/>
      <c r="Y331" s="67"/>
      <c r="Z331" s="123" t="s">
        <v>743</v>
      </c>
      <c r="AA331" s="77"/>
      <c r="AB331" s="77"/>
      <c r="AC331" s="359"/>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1752</v>
      </c>
      <c r="X332" s="67"/>
      <c r="Y332" s="67"/>
      <c r="Z332" s="123" t="s">
        <v>1042</v>
      </c>
      <c r="AA332" s="77"/>
      <c r="AB332" s="77"/>
      <c r="AC332" s="359"/>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SI</v>
      </c>
      <c r="U336" s="77"/>
      <c r="V336" s="67"/>
      <c r="W336" s="74">
        <v>0.40625</v>
      </c>
      <c r="X336" s="67" t="s">
        <v>1764</v>
      </c>
      <c r="Y336" s="67"/>
      <c r="Z336" s="123" t="s">
        <v>1042</v>
      </c>
      <c r="AA336" s="77"/>
      <c r="AB336" s="123" t="s">
        <v>1747</v>
      </c>
      <c r="AC336" s="359"/>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1777</v>
      </c>
      <c r="Y339" s="67"/>
      <c r="Z339" s="123" t="s">
        <v>1042</v>
      </c>
      <c r="AA339" s="77"/>
      <c r="AB339" s="123" t="s">
        <v>1749</v>
      </c>
      <c r="AC339" s="359"/>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NO</v>
      </c>
      <c r="U341" s="77"/>
      <c r="V341" s="67"/>
      <c r="W341" s="67" t="s">
        <v>1773</v>
      </c>
      <c r="X341" s="67" t="s">
        <v>1775</v>
      </c>
      <c r="Y341" s="67"/>
      <c r="Z341" s="123" t="s">
        <v>743</v>
      </c>
      <c r="AA341" s="77"/>
      <c r="AB341" s="77"/>
      <c r="AC341" s="359"/>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59"/>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59"/>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SI</v>
      </c>
      <c r="U350" s="77"/>
      <c r="V350" s="67"/>
      <c r="W350" s="74">
        <v>0.41597222222222219</v>
      </c>
      <c r="X350" s="182" t="s">
        <v>1830</v>
      </c>
      <c r="Y350" s="67"/>
      <c r="Z350" s="123" t="s">
        <v>743</v>
      </c>
      <c r="AA350" s="77"/>
      <c r="AB350" s="77"/>
      <c r="AC350" s="359"/>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SI</v>
      </c>
      <c r="U357" s="77"/>
      <c r="V357" s="67"/>
      <c r="W357" s="74">
        <v>0.4201388888888889</v>
      </c>
      <c r="X357" s="67" t="s">
        <v>1839</v>
      </c>
      <c r="Y357" s="67"/>
      <c r="Z357" s="123" t="s">
        <v>770</v>
      </c>
      <c r="AA357" s="77"/>
      <c r="AB357" s="77"/>
      <c r="AC357" s="359"/>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SI</v>
      </c>
      <c r="U366" s="77"/>
      <c r="V366" s="67"/>
      <c r="W366" s="67"/>
      <c r="X366" s="67"/>
      <c r="Y366" s="67"/>
      <c r="Z366" s="123" t="s">
        <v>1870</v>
      </c>
      <c r="AA366" s="123"/>
      <c r="AB366" s="77"/>
      <c r="AC366" s="359"/>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SI</v>
      </c>
      <c r="U375" s="77"/>
      <c r="V375" s="67"/>
      <c r="W375" s="74">
        <v>0.53333333333333333</v>
      </c>
      <c r="X375" s="155" t="s">
        <v>1896</v>
      </c>
      <c r="Y375" s="67"/>
      <c r="Z375" s="123" t="s">
        <v>770</v>
      </c>
      <c r="AA375" s="77"/>
      <c r="AB375" s="77"/>
      <c r="AC375" s="359"/>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SI</v>
      </c>
      <c r="U382" s="77"/>
      <c r="V382" s="67"/>
      <c r="W382" s="67" t="s">
        <v>1920</v>
      </c>
      <c r="X382" s="67" t="s">
        <v>1922</v>
      </c>
      <c r="Y382" s="67"/>
      <c r="Z382" s="123" t="s">
        <v>1042</v>
      </c>
      <c r="AA382" s="77"/>
      <c r="AB382" s="77"/>
      <c r="AC382" s="359"/>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59"/>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1973</v>
      </c>
      <c r="Y389" s="67"/>
      <c r="Z389" s="123" t="s">
        <v>743</v>
      </c>
      <c r="AA389" s="123" t="s">
        <v>743</v>
      </c>
      <c r="AB389" s="123" t="s">
        <v>1176</v>
      </c>
      <c r="AC389" s="359"/>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SI</v>
      </c>
      <c r="U394" s="77"/>
      <c r="V394" s="67"/>
      <c r="W394" s="74">
        <v>0.46180555555555558</v>
      </c>
      <c r="X394" s="67" t="s">
        <v>1983</v>
      </c>
      <c r="Y394" s="67"/>
      <c r="Z394" s="123" t="s">
        <v>743</v>
      </c>
      <c r="AA394" s="123" t="s">
        <v>743</v>
      </c>
      <c r="AB394" s="123" t="s">
        <v>1176</v>
      </c>
      <c r="AC394" s="359"/>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SI</v>
      </c>
      <c r="U396" s="77"/>
      <c r="V396" s="67"/>
      <c r="W396" s="74">
        <v>0.38125000000000003</v>
      </c>
      <c r="X396" s="67"/>
      <c r="Y396" s="67"/>
      <c r="Z396" s="123" t="s">
        <v>748</v>
      </c>
      <c r="AA396" s="123" t="s">
        <v>1170</v>
      </c>
      <c r="AB396" s="123" t="s">
        <v>1174</v>
      </c>
      <c r="AC396" s="359"/>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SI</v>
      </c>
      <c r="U400" s="77"/>
      <c r="V400" s="67"/>
      <c r="W400" s="74">
        <v>0.37708333333333338</v>
      </c>
      <c r="X400" s="67" t="s">
        <v>2025</v>
      </c>
      <c r="Y400" s="67"/>
      <c r="Z400" s="123" t="s">
        <v>1042</v>
      </c>
      <c r="AA400" s="123" t="s">
        <v>1170</v>
      </c>
      <c r="AB400" s="123" t="s">
        <v>1172</v>
      </c>
      <c r="AC400" s="359"/>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59"/>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SI</v>
      </c>
      <c r="U406" s="77"/>
      <c r="V406" s="67"/>
      <c r="W406" s="67" t="s">
        <v>1009</v>
      </c>
      <c r="X406" s="368" t="s">
        <v>2060</v>
      </c>
      <c r="Y406" s="67"/>
      <c r="Z406" s="123" t="s">
        <v>748</v>
      </c>
      <c r="AA406" s="123" t="s">
        <v>1170</v>
      </c>
      <c r="AB406" s="123" t="s">
        <v>1174</v>
      </c>
      <c r="AC406" s="359"/>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59"/>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2074</v>
      </c>
      <c r="X413" s="67" t="s">
        <v>2075</v>
      </c>
      <c r="Y413" s="67"/>
      <c r="Z413" s="123" t="s">
        <v>1041</v>
      </c>
      <c r="AA413" s="123" t="s">
        <v>1168</v>
      </c>
      <c r="AB413" s="123" t="s">
        <v>1172</v>
      </c>
      <c r="AC413" s="359"/>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59"/>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2154</v>
      </c>
      <c r="Y433" s="67"/>
      <c r="Z433" s="123" t="s">
        <v>1041</v>
      </c>
      <c r="AA433" s="123" t="s">
        <v>743</v>
      </c>
      <c r="AB433" s="123" t="s">
        <v>1174</v>
      </c>
      <c r="AC433" s="359"/>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SI</v>
      </c>
      <c r="U435" s="77"/>
      <c r="V435" s="67"/>
      <c r="W435" s="74">
        <v>0.41111111111111115</v>
      </c>
      <c r="X435" s="67" t="s">
        <v>2024</v>
      </c>
      <c r="Y435" s="67"/>
      <c r="Z435" s="123" t="s">
        <v>770</v>
      </c>
      <c r="AA435" s="123" t="s">
        <v>1170</v>
      </c>
      <c r="AB435" s="123" t="s">
        <v>1173</v>
      </c>
      <c r="AC435" s="359"/>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59"/>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SI</v>
      </c>
      <c r="U441" s="77"/>
      <c r="V441" s="67"/>
      <c r="W441" s="74">
        <v>0.39513888888888887</v>
      </c>
      <c r="X441" s="67" t="s">
        <v>2168</v>
      </c>
      <c r="Y441" s="155"/>
      <c r="Z441" s="123" t="s">
        <v>1041</v>
      </c>
      <c r="AA441" s="123" t="s">
        <v>1168</v>
      </c>
      <c r="AB441" s="123" t="s">
        <v>1172</v>
      </c>
      <c r="AC441" s="359"/>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SI</v>
      </c>
      <c r="U443" s="77"/>
      <c r="V443" s="67"/>
      <c r="W443" s="74">
        <v>0.54097222222222219</v>
      </c>
      <c r="X443" s="67" t="s">
        <v>2181</v>
      </c>
      <c r="Y443" s="67"/>
      <c r="Z443" s="123" t="s">
        <v>748</v>
      </c>
      <c r="AA443" s="123" t="s">
        <v>1170</v>
      </c>
      <c r="AB443" s="123" t="s">
        <v>1174</v>
      </c>
      <c r="AC443" s="359"/>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59"/>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SI</v>
      </c>
      <c r="U449" s="77"/>
      <c r="V449" s="67"/>
      <c r="W449" s="74">
        <v>0.4375</v>
      </c>
      <c r="X449" s="67" t="s">
        <v>2204</v>
      </c>
      <c r="Y449" s="67"/>
      <c r="Z449" s="123" t="s">
        <v>743</v>
      </c>
      <c r="AA449" s="123" t="s">
        <v>1168</v>
      </c>
      <c r="AB449" s="123" t="s">
        <v>1176</v>
      </c>
      <c r="AC449" s="359"/>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59"/>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SI</v>
      </c>
      <c r="U457" s="77"/>
      <c r="V457" s="67"/>
      <c r="W457" s="67" t="s">
        <v>1537</v>
      </c>
      <c r="X457" s="67"/>
      <c r="Y457" s="67"/>
      <c r="Z457" s="123" t="s">
        <v>748</v>
      </c>
      <c r="AA457" s="123" t="s">
        <v>1170</v>
      </c>
      <c r="AB457" s="123" t="s">
        <v>1174</v>
      </c>
      <c r="AC457" s="359"/>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59"/>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SI</v>
      </c>
      <c r="U466" s="77"/>
      <c r="V466" s="67"/>
      <c r="W466" s="74">
        <v>0.38750000000000001</v>
      </c>
      <c r="X466" s="67"/>
      <c r="Y466" s="67"/>
      <c r="Z466" s="123" t="s">
        <v>1042</v>
      </c>
      <c r="AA466" s="123" t="s">
        <v>1170</v>
      </c>
      <c r="AB466" s="123" t="s">
        <v>1172</v>
      </c>
      <c r="AC466" s="359"/>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SI</v>
      </c>
      <c r="U467" s="77"/>
      <c r="V467" s="67"/>
      <c r="W467" s="74">
        <v>0.35902777777777778</v>
      </c>
      <c r="X467" s="67"/>
      <c r="Y467" s="67"/>
      <c r="Z467" s="123" t="s">
        <v>748</v>
      </c>
      <c r="AA467" s="123" t="s">
        <v>743</v>
      </c>
      <c r="AB467" s="123" t="s">
        <v>1174</v>
      </c>
      <c r="AC467" s="359"/>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2294</v>
      </c>
      <c r="Y471" s="67"/>
      <c r="Z471" s="123" t="s">
        <v>1042</v>
      </c>
      <c r="AA471" s="123" t="s">
        <v>743</v>
      </c>
      <c r="AB471" s="123" t="s">
        <v>1172</v>
      </c>
      <c r="AC471" s="359"/>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59"/>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SI</v>
      </c>
      <c r="U483" s="77"/>
      <c r="V483" s="67"/>
      <c r="W483" s="74">
        <v>0.42777777777777781</v>
      </c>
      <c r="X483" s="67" t="s">
        <v>2341</v>
      </c>
      <c r="Y483" s="67"/>
      <c r="Z483" s="123" t="s">
        <v>1041</v>
      </c>
      <c r="AA483" s="123" t="s">
        <v>743</v>
      </c>
      <c r="AB483" s="123" t="s">
        <v>1172</v>
      </c>
      <c r="AC483" s="359"/>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SI</v>
      </c>
      <c r="U484" s="77"/>
      <c r="V484" s="67"/>
      <c r="W484" s="74">
        <v>0.4777777777777778</v>
      </c>
      <c r="X484" s="67" t="s">
        <v>2257</v>
      </c>
      <c r="Y484" s="67"/>
      <c r="Z484" s="123" t="s">
        <v>1042</v>
      </c>
      <c r="AA484" s="123" t="s">
        <v>743</v>
      </c>
      <c r="AB484" s="123" t="s">
        <v>1174</v>
      </c>
      <c r="AC484" s="359"/>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SI</v>
      </c>
      <c r="U486" s="77"/>
      <c r="V486" s="67"/>
      <c r="W486" s="74">
        <v>0.36249999999999999</v>
      </c>
      <c r="X486" s="67" t="s">
        <v>2361</v>
      </c>
      <c r="Y486" s="67"/>
      <c r="Z486" s="123" t="s">
        <v>743</v>
      </c>
      <c r="AA486" s="123" t="s">
        <v>2364</v>
      </c>
      <c r="AB486" s="123" t="s">
        <v>1175</v>
      </c>
      <c r="AC486" s="359"/>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59"/>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SI</v>
      </c>
      <c r="U492" s="77"/>
      <c r="V492" s="67"/>
      <c r="W492" s="67" t="s">
        <v>1608</v>
      </c>
      <c r="X492" s="67" t="s">
        <v>2383</v>
      </c>
      <c r="Y492" s="67"/>
      <c r="Z492" s="123" t="s">
        <v>770</v>
      </c>
      <c r="AA492" s="123" t="s">
        <v>1170</v>
      </c>
      <c r="AB492" s="123" t="s">
        <v>1172</v>
      </c>
      <c r="AC492" s="359"/>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2380</v>
      </c>
      <c r="Y493" s="67"/>
      <c r="Z493" s="123" t="s">
        <v>1041</v>
      </c>
      <c r="AA493" s="123" t="s">
        <v>743</v>
      </c>
      <c r="AB493" s="123" t="s">
        <v>1175</v>
      </c>
      <c r="AC493" s="359"/>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SI</v>
      </c>
      <c r="U501" s="77"/>
      <c r="V501" s="67"/>
      <c r="W501" s="67" t="s">
        <v>1291</v>
      </c>
      <c r="X501" s="228" t="s">
        <v>2409</v>
      </c>
      <c r="Y501" s="67"/>
      <c r="Z501" s="123" t="s">
        <v>770</v>
      </c>
      <c r="AA501" s="123" t="s">
        <v>1168</v>
      </c>
      <c r="AB501" s="123" t="s">
        <v>1173</v>
      </c>
      <c r="AC501" s="359"/>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59"/>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59"/>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SI</v>
      </c>
      <c r="U514" s="77"/>
      <c r="V514" s="67"/>
      <c r="W514" s="74">
        <v>0.46527777777777773</v>
      </c>
      <c r="X514" s="68" t="s">
        <v>2692</v>
      </c>
      <c r="Y514" s="67"/>
      <c r="Z514" s="123" t="s">
        <v>1041</v>
      </c>
      <c r="AA514" s="123" t="s">
        <v>1170</v>
      </c>
      <c r="AB514" s="123" t="s">
        <v>1174</v>
      </c>
      <c r="AC514" s="359"/>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59"/>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59"/>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SI</v>
      </c>
      <c r="U526" s="77"/>
      <c r="V526" s="67"/>
      <c r="W526" s="74">
        <v>0.3666666666666667</v>
      </c>
      <c r="X526" s="67" t="s">
        <v>2512</v>
      </c>
      <c r="Y526" s="67"/>
      <c r="Z526" s="123" t="s">
        <v>743</v>
      </c>
      <c r="AA526" s="123" t="s">
        <v>1168</v>
      </c>
      <c r="AB526" s="123" t="s">
        <v>1173</v>
      </c>
      <c r="AC526" s="359"/>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2519</v>
      </c>
      <c r="Y532" s="67"/>
      <c r="Z532" s="123" t="s">
        <v>1042</v>
      </c>
      <c r="AA532" s="123" t="s">
        <v>1170</v>
      </c>
      <c r="AB532" s="123" t="s">
        <v>1173</v>
      </c>
      <c r="AC532" s="359"/>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SI</v>
      </c>
      <c r="U533" s="77"/>
      <c r="V533" s="67"/>
      <c r="W533" s="74">
        <v>0.51041666666666663</v>
      </c>
      <c r="X533" s="67"/>
      <c r="Y533" s="67"/>
      <c r="Z533" s="123" t="s">
        <v>1041</v>
      </c>
      <c r="AA533" s="123" t="s">
        <v>743</v>
      </c>
      <c r="AB533" s="123" t="s">
        <v>1176</v>
      </c>
      <c r="AC533" s="359"/>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2554</v>
      </c>
      <c r="Y536" s="67"/>
      <c r="Z536" s="123" t="s">
        <v>770</v>
      </c>
      <c r="AA536" s="123" t="s">
        <v>743</v>
      </c>
      <c r="AB536" s="123" t="s">
        <v>1173</v>
      </c>
      <c r="AC536" s="359"/>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SI</v>
      </c>
      <c r="U537" s="77"/>
      <c r="V537" s="67"/>
      <c r="W537" s="74">
        <v>0.40416666666666662</v>
      </c>
      <c r="X537" s="67"/>
      <c r="Y537" s="67"/>
      <c r="Z537" s="123" t="s">
        <v>1041</v>
      </c>
      <c r="AA537" s="123" t="s">
        <v>1170</v>
      </c>
      <c r="AB537" s="123" t="s">
        <v>1172</v>
      </c>
      <c r="AC537" s="359"/>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SI</v>
      </c>
      <c r="U541" s="77"/>
      <c r="V541" s="67"/>
      <c r="W541" s="74">
        <v>0.36736111111111108</v>
      </c>
      <c r="X541" s="67" t="s">
        <v>2567</v>
      </c>
      <c r="Y541" s="67"/>
      <c r="Z541" s="123" t="s">
        <v>1041</v>
      </c>
      <c r="AA541" s="123" t="s">
        <v>1168</v>
      </c>
      <c r="AB541" s="123" t="s">
        <v>1173</v>
      </c>
      <c r="AC541" s="359"/>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59"/>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NO</v>
      </c>
      <c r="U550" s="77"/>
      <c r="V550" s="67"/>
      <c r="W550" s="67" t="s">
        <v>1744</v>
      </c>
      <c r="X550" s="67" t="s">
        <v>2568</v>
      </c>
      <c r="Y550" s="67"/>
      <c r="Z550" s="123" t="s">
        <v>1042</v>
      </c>
      <c r="AA550" s="123" t="s">
        <v>743</v>
      </c>
      <c r="AB550" s="123" t="s">
        <v>1173</v>
      </c>
      <c r="AC550" s="359"/>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SI</v>
      </c>
      <c r="U557" s="77"/>
      <c r="V557" s="67"/>
      <c r="W557" s="67" t="s">
        <v>1371</v>
      </c>
      <c r="X557" s="67"/>
      <c r="Y557" s="67"/>
      <c r="Z557" s="123" t="s">
        <v>743</v>
      </c>
      <c r="AA557" s="123" t="s">
        <v>1168</v>
      </c>
      <c r="AB557" s="123" t="s">
        <v>1174</v>
      </c>
      <c r="AC557" s="359"/>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SI</v>
      </c>
      <c r="U560" s="77"/>
      <c r="V560" s="67"/>
      <c r="W560" s="74">
        <v>0.40625</v>
      </c>
      <c r="X560" s="67" t="s">
        <v>2650</v>
      </c>
      <c r="Y560" s="67"/>
      <c r="Z560" s="123" t="s">
        <v>1042</v>
      </c>
      <c r="AA560" s="123" t="s">
        <v>743</v>
      </c>
      <c r="AB560" s="123" t="s">
        <v>1174</v>
      </c>
      <c r="AC560" s="359"/>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59"/>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2660</v>
      </c>
      <c r="Y564" s="67"/>
      <c r="Z564" s="123" t="s">
        <v>1041</v>
      </c>
      <c r="AA564" s="123" t="s">
        <v>1170</v>
      </c>
      <c r="AB564" s="123" t="s">
        <v>1174</v>
      </c>
      <c r="AC564" s="359"/>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NO</v>
      </c>
      <c r="U571" s="77"/>
      <c r="V571" s="67"/>
      <c r="W571" s="67" t="s">
        <v>1498</v>
      </c>
      <c r="X571" s="67" t="s">
        <v>2379</v>
      </c>
      <c r="Y571" s="67"/>
      <c r="Z571" s="123" t="s">
        <v>1041</v>
      </c>
      <c r="AA571" s="123" t="s">
        <v>1170</v>
      </c>
      <c r="AB571" s="123" t="s">
        <v>1172</v>
      </c>
      <c r="AC571" s="359"/>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SI</v>
      </c>
      <c r="U577" s="77"/>
      <c r="V577" s="67"/>
      <c r="W577" s="67" t="s">
        <v>2707</v>
      </c>
      <c r="X577" s="67"/>
      <c r="Y577" s="67"/>
      <c r="Z577" s="123" t="s">
        <v>770</v>
      </c>
      <c r="AA577" s="123" t="s">
        <v>743</v>
      </c>
      <c r="AB577" s="123" t="s">
        <v>1175</v>
      </c>
      <c r="AC577" s="359"/>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2614</v>
      </c>
      <c r="X581" s="67"/>
      <c r="Y581" s="67"/>
      <c r="Z581" s="123" t="s">
        <v>748</v>
      </c>
      <c r="AA581" s="123" t="s">
        <v>1168</v>
      </c>
      <c r="AB581" s="123" t="s">
        <v>1176</v>
      </c>
      <c r="AC581" s="359"/>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59"/>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SI</v>
      </c>
      <c r="U586" s="77"/>
      <c r="V586" s="67"/>
      <c r="W586" s="74">
        <v>0.38958333333333334</v>
      </c>
      <c r="X586" s="273" t="s">
        <v>2744</v>
      </c>
      <c r="Y586" s="67"/>
      <c r="Z586" s="123" t="s">
        <v>748</v>
      </c>
      <c r="AA586" s="123" t="s">
        <v>1170</v>
      </c>
      <c r="AB586" s="123" t="s">
        <v>1172</v>
      </c>
      <c r="AC586" s="359"/>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2789</v>
      </c>
      <c r="Y589" s="67"/>
      <c r="Z589" s="123" t="s">
        <v>770</v>
      </c>
      <c r="AA589" s="123" t="s">
        <v>1170</v>
      </c>
      <c r="AB589" s="123" t="s">
        <v>1175</v>
      </c>
      <c r="AC589" s="359"/>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SI</v>
      </c>
      <c r="U594" s="77"/>
      <c r="V594" s="67"/>
      <c r="W594" s="67" t="s">
        <v>1009</v>
      </c>
      <c r="X594" s="67" t="s">
        <v>2379</v>
      </c>
      <c r="Y594" s="67"/>
      <c r="Z594" s="123" t="s">
        <v>770</v>
      </c>
      <c r="AA594" s="123" t="s">
        <v>1168</v>
      </c>
      <c r="AB594" s="123" t="s">
        <v>1173</v>
      </c>
      <c r="AC594" s="359"/>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NO</v>
      </c>
      <c r="U595" s="77"/>
      <c r="V595" s="67"/>
      <c r="W595" s="67" t="s">
        <v>1125</v>
      </c>
      <c r="X595" s="67"/>
      <c r="Y595" s="67"/>
      <c r="Z595" s="123" t="s">
        <v>1041</v>
      </c>
      <c r="AA595" s="123" t="s">
        <v>1170</v>
      </c>
      <c r="AB595" s="123" t="s">
        <v>1172</v>
      </c>
      <c r="AC595" s="359"/>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SI</v>
      </c>
      <c r="U601" s="77"/>
      <c r="V601" s="67"/>
      <c r="W601" s="74">
        <v>0.37916666666666665</v>
      </c>
      <c r="X601" s="229" t="s">
        <v>2860</v>
      </c>
      <c r="Y601" s="67"/>
      <c r="Z601" s="123" t="s">
        <v>1042</v>
      </c>
      <c r="AA601" s="123" t="s">
        <v>1168</v>
      </c>
      <c r="AB601" s="123" t="s">
        <v>1176</v>
      </c>
      <c r="AC601" s="359"/>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2849</v>
      </c>
      <c r="AB605" s="123" t="s">
        <v>1176</v>
      </c>
      <c r="AC605" s="359"/>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SI</v>
      </c>
      <c r="U607" s="86"/>
      <c r="V607" s="83"/>
      <c r="W607" s="74">
        <v>0.35972222222222222</v>
      </c>
      <c r="X607" s="67"/>
      <c r="Y607" s="67"/>
      <c r="Z607" s="123" t="s">
        <v>1042</v>
      </c>
      <c r="AA607" s="123" t="s">
        <v>1168</v>
      </c>
      <c r="AB607" s="123" t="s">
        <v>1172</v>
      </c>
      <c r="AC607" s="359"/>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59"/>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SI</v>
      </c>
      <c r="U617" s="77"/>
      <c r="V617" s="67"/>
      <c r="W617" s="67" t="s">
        <v>1230</v>
      </c>
      <c r="X617" s="67" t="s">
        <v>2893</v>
      </c>
      <c r="Y617" s="67"/>
      <c r="Z617" s="123" t="s">
        <v>748</v>
      </c>
      <c r="AA617" s="123" t="s">
        <v>2849</v>
      </c>
      <c r="AB617" s="123" t="s">
        <v>1176</v>
      </c>
      <c r="AC617" s="359"/>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NO</v>
      </c>
      <c r="U620" s="77"/>
      <c r="V620" s="67"/>
      <c r="W620" s="67" t="s">
        <v>2955</v>
      </c>
      <c r="X620" s="67" t="s">
        <v>2379</v>
      </c>
      <c r="Y620" s="67"/>
      <c r="Z620" s="123" t="s">
        <v>1041</v>
      </c>
      <c r="AA620" s="123" t="s">
        <v>1170</v>
      </c>
      <c r="AB620" s="123" t="s">
        <v>1174</v>
      </c>
      <c r="AC620" s="359"/>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SI</v>
      </c>
      <c r="U622" s="77"/>
      <c r="V622" s="67"/>
      <c r="W622" s="67" t="s">
        <v>1209</v>
      </c>
      <c r="X622" s="67" t="s">
        <v>2957</v>
      </c>
      <c r="Y622" s="67"/>
      <c r="Z622" s="284" t="s">
        <v>2892</v>
      </c>
      <c r="AA622" s="123" t="s">
        <v>1168</v>
      </c>
      <c r="AB622" s="123" t="s">
        <v>1173</v>
      </c>
      <c r="AC622" s="359"/>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SI</v>
      </c>
      <c r="U629" s="77"/>
      <c r="V629" s="67"/>
      <c r="W629" s="67" t="s">
        <v>1498</v>
      </c>
      <c r="X629" s="67" t="s">
        <v>2978</v>
      </c>
      <c r="Y629" s="67"/>
      <c r="Z629" s="284" t="s">
        <v>1042</v>
      </c>
      <c r="AA629" s="123" t="s">
        <v>1168</v>
      </c>
      <c r="AB629" s="123" t="s">
        <v>1173</v>
      </c>
      <c r="AC629" s="359"/>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NO</v>
      </c>
      <c r="U631" s="77"/>
      <c r="V631" s="67"/>
      <c r="W631" s="67" t="s">
        <v>686</v>
      </c>
      <c r="X631" s="67" t="s">
        <v>2985</v>
      </c>
      <c r="Y631" s="67"/>
      <c r="Z631" s="123" t="s">
        <v>743</v>
      </c>
      <c r="AA631" s="123" t="s">
        <v>2849</v>
      </c>
      <c r="AB631" s="123" t="s">
        <v>1174</v>
      </c>
      <c r="AC631" s="359"/>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SI</v>
      </c>
      <c r="U636" s="77"/>
      <c r="V636" s="67"/>
      <c r="W636" s="67" t="s">
        <v>1017</v>
      </c>
      <c r="X636" s="67"/>
      <c r="Y636" s="67"/>
      <c r="Z636" s="123" t="s">
        <v>1041</v>
      </c>
      <c r="AA636" s="123" t="s">
        <v>1170</v>
      </c>
      <c r="AB636" s="123" t="s">
        <v>1176</v>
      </c>
      <c r="AC636" s="359"/>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2849</v>
      </c>
      <c r="AB638" s="123" t="s">
        <v>1172</v>
      </c>
      <c r="AC638" s="359"/>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SI</v>
      </c>
      <c r="U645" s="86"/>
      <c r="V645" s="83"/>
      <c r="W645" s="74">
        <v>0.40138888888888885</v>
      </c>
      <c r="X645" s="67" t="s">
        <v>3071</v>
      </c>
      <c r="Y645" s="67"/>
      <c r="Z645" s="123" t="s">
        <v>2864</v>
      </c>
      <c r="AA645" s="123" t="s">
        <v>2849</v>
      </c>
      <c r="AB645" s="123" t="s">
        <v>1174</v>
      </c>
      <c r="AC645" s="359"/>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3070</v>
      </c>
      <c r="Y646" s="67"/>
      <c r="Z646" s="123" t="s">
        <v>748</v>
      </c>
      <c r="AA646" s="123" t="s">
        <v>1168</v>
      </c>
      <c r="AB646" s="123" t="s">
        <v>1176</v>
      </c>
      <c r="AC646" s="359"/>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39" t="s">
        <v>2864</v>
      </c>
      <c r="AA654" s="123" t="s">
        <v>1170</v>
      </c>
      <c r="AB654" s="123" t="s">
        <v>1176</v>
      </c>
      <c r="AC654" s="359"/>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39" t="s">
        <v>748</v>
      </c>
      <c r="AA661" s="123" t="s">
        <v>1170</v>
      </c>
      <c r="AB661" s="123" t="s">
        <v>1176</v>
      </c>
      <c r="AC661" s="359"/>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SI</v>
      </c>
      <c r="U672" s="77"/>
      <c r="V672" s="67"/>
      <c r="W672" s="67" t="s">
        <v>1040</v>
      </c>
      <c r="X672" s="67" t="s">
        <v>2981</v>
      </c>
      <c r="Y672" s="67"/>
      <c r="Z672" s="348" t="s">
        <v>743</v>
      </c>
      <c r="AA672" s="348" t="s">
        <v>2849</v>
      </c>
      <c r="AB672" s="339" t="s">
        <v>3110</v>
      </c>
      <c r="AC672" s="359"/>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2568</v>
      </c>
      <c r="Y675" s="67"/>
      <c r="Z675" s="348" t="s">
        <v>743</v>
      </c>
      <c r="AA675" s="123" t="s">
        <v>1170</v>
      </c>
      <c r="AB675" s="123" t="s">
        <v>1176</v>
      </c>
      <c r="AC675" s="359"/>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SI</v>
      </c>
      <c r="U677" s="77"/>
      <c r="V677" s="67"/>
      <c r="W677" s="67" t="s">
        <v>1535</v>
      </c>
      <c r="X677" s="67" t="s">
        <v>2981</v>
      </c>
      <c r="Y677" s="67"/>
      <c r="Z677" s="348" t="s">
        <v>1042</v>
      </c>
      <c r="AA677" s="123" t="s">
        <v>2849</v>
      </c>
      <c r="AB677" s="123" t="s">
        <v>1173</v>
      </c>
      <c r="AC677" s="359"/>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SI</v>
      </c>
      <c r="U684" s="77"/>
      <c r="V684" s="67"/>
      <c r="W684" s="67" t="s">
        <v>1586</v>
      </c>
      <c r="X684" s="67"/>
      <c r="Y684" s="67"/>
      <c r="Z684" s="123" t="s">
        <v>770</v>
      </c>
      <c r="AA684" s="123" t="s">
        <v>2849</v>
      </c>
      <c r="AB684" s="123" t="s">
        <v>1172</v>
      </c>
      <c r="AC684" s="359"/>
    </row>
    <row r="685" spans="1:29" ht="39.950000000000003" customHeight="1">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2892</v>
      </c>
      <c r="AA685" s="123" t="s">
        <v>2849</v>
      </c>
      <c r="AB685" s="123" t="s">
        <v>1174</v>
      </c>
      <c r="AC685" s="359"/>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SI</v>
      </c>
      <c r="U693" s="77"/>
      <c r="V693" s="67"/>
      <c r="W693" s="67" t="s">
        <v>2901</v>
      </c>
      <c r="X693" s="67"/>
      <c r="Y693" s="67"/>
      <c r="Z693" s="123" t="s">
        <v>2892</v>
      </c>
      <c r="AA693" s="123" t="s">
        <v>1168</v>
      </c>
      <c r="AB693" s="339" t="s">
        <v>1172</v>
      </c>
      <c r="AC693" s="359"/>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2901</v>
      </c>
      <c r="X694" s="67" t="s">
        <v>2945</v>
      </c>
      <c r="Y694" s="67"/>
      <c r="Z694" s="123" t="s">
        <v>770</v>
      </c>
      <c r="AA694" s="123" t="s">
        <v>2849</v>
      </c>
      <c r="AB694" s="339" t="s">
        <v>1174</v>
      </c>
      <c r="AC694" s="359"/>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3258</v>
      </c>
      <c r="Y698" s="67"/>
      <c r="Z698" s="123" t="s">
        <v>2864</v>
      </c>
      <c r="AA698" s="123" t="s">
        <v>2849</v>
      </c>
      <c r="AB698" s="123" t="s">
        <v>1174</v>
      </c>
      <c r="AC698" s="359"/>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3287</v>
      </c>
      <c r="Y709" s="67"/>
      <c r="Z709" s="123" t="s">
        <v>748</v>
      </c>
      <c r="AA709" s="123" t="s">
        <v>1170</v>
      </c>
      <c r="AB709" s="123" t="s">
        <v>1172</v>
      </c>
      <c r="AC709" s="359"/>
    </row>
    <row r="710" spans="1:29" ht="76.5">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76.5">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2564</v>
      </c>
      <c r="X726" s="67" t="s">
        <v>3406</v>
      </c>
      <c r="Y726" s="67"/>
      <c r="Z726" s="339" t="s">
        <v>3358</v>
      </c>
      <c r="AA726" s="123" t="s">
        <v>1168</v>
      </c>
      <c r="AB726" s="123" t="s">
        <v>1172</v>
      </c>
      <c r="AC726" s="359"/>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SI</v>
      </c>
      <c r="U729" s="77"/>
      <c r="V729" s="67"/>
      <c r="W729" s="67" t="s">
        <v>1132</v>
      </c>
      <c r="X729" s="67" t="s">
        <v>2153</v>
      </c>
      <c r="Y729" s="67"/>
      <c r="Z729" s="339" t="s">
        <v>2864</v>
      </c>
      <c r="AA729" s="123" t="s">
        <v>1170</v>
      </c>
      <c r="AB729" s="123" t="s">
        <v>3360</v>
      </c>
      <c r="AC729" s="359"/>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SI</v>
      </c>
      <c r="U735" s="77"/>
      <c r="V735" s="67"/>
      <c r="W735" s="67" t="s">
        <v>1391</v>
      </c>
      <c r="X735" s="67" t="s">
        <v>3425</v>
      </c>
      <c r="Y735" s="67"/>
      <c r="Z735" s="339" t="s">
        <v>2892</v>
      </c>
      <c r="AA735" s="339" t="s">
        <v>1168</v>
      </c>
      <c r="AB735" s="339" t="s">
        <v>1172</v>
      </c>
      <c r="AC735" s="359"/>
    </row>
    <row r="736" spans="1:29" ht="39.950000000000003" customHeight="1">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SI</v>
      </c>
      <c r="U740" s="77"/>
      <c r="V740" s="67"/>
      <c r="W740" s="67" t="s">
        <v>679</v>
      </c>
      <c r="X740" s="67" t="s">
        <v>3470</v>
      </c>
      <c r="Y740" s="67"/>
      <c r="Z740" s="362" t="s">
        <v>3407</v>
      </c>
      <c r="AA740" s="362" t="s">
        <v>1168</v>
      </c>
      <c r="AB740" s="362" t="s">
        <v>1173</v>
      </c>
      <c r="AC740" s="363"/>
    </row>
    <row r="741" spans="1:29" ht="39.950000000000003" customHeight="1">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c r="A748" s="67">
        <v>746</v>
      </c>
      <c r="B748" s="69">
        <v>45202</v>
      </c>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SI</v>
      </c>
      <c r="U748" s="77"/>
      <c r="V748" s="67"/>
      <c r="W748" s="67" t="s">
        <v>1498</v>
      </c>
      <c r="X748" s="67" t="s">
        <v>3498</v>
      </c>
      <c r="Y748" s="67"/>
      <c r="Z748" s="123" t="s">
        <v>1041</v>
      </c>
      <c r="AA748" s="339" t="s">
        <v>1170</v>
      </c>
      <c r="AB748" s="123" t="s">
        <v>3296</v>
      </c>
      <c r="AC748" s="363"/>
    </row>
    <row r="749" spans="1:29" ht="39.950000000000003" customHeight="1">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3500</v>
      </c>
      <c r="Y751" s="67"/>
      <c r="Z751" s="123" t="s">
        <v>3407</v>
      </c>
      <c r="AA751" s="339" t="s">
        <v>2849</v>
      </c>
      <c r="AB751" s="123" t="s">
        <v>1176</v>
      </c>
      <c r="AC751" s="363"/>
    </row>
    <row r="752" spans="1:29" ht="39.950000000000003" customHeight="1">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SI</v>
      </c>
      <c r="U754" s="77"/>
      <c r="V754" s="67"/>
      <c r="W754" s="67" t="s">
        <v>3505</v>
      </c>
      <c r="X754" s="67" t="s">
        <v>3192</v>
      </c>
      <c r="Y754" s="67"/>
      <c r="Z754" s="123" t="s">
        <v>3407</v>
      </c>
      <c r="AA754" s="123" t="s">
        <v>1168</v>
      </c>
      <c r="AB754" s="123" t="s">
        <v>3296</v>
      </c>
      <c r="AC754" s="363"/>
    </row>
    <row r="755" spans="1:29" ht="39.950000000000003" customHeight="1">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3520</v>
      </c>
      <c r="Y755" s="67"/>
      <c r="Z755" s="123" t="s">
        <v>2864</v>
      </c>
      <c r="AA755" s="339" t="s">
        <v>1168</v>
      </c>
      <c r="AB755" s="123" t="s">
        <v>1176</v>
      </c>
      <c r="AC755" s="363"/>
    </row>
    <row r="756" spans="1:29" ht="39.950000000000003" customHeight="1">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3521</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3522</v>
      </c>
      <c r="Y756" s="67"/>
      <c r="Z756" s="123" t="s">
        <v>3407</v>
      </c>
      <c r="AA756" s="339" t="s">
        <v>2849</v>
      </c>
      <c r="AB756" s="123" t="s">
        <v>3360</v>
      </c>
      <c r="AC756" s="363"/>
    </row>
    <row r="757" spans="1:29" ht="39.950000000000003" customHeight="1">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3526</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3527</v>
      </c>
      <c r="Y757" s="67"/>
      <c r="Z757" s="123" t="s">
        <v>3467</v>
      </c>
      <c r="AA757" s="339" t="s">
        <v>1170</v>
      </c>
      <c r="AB757" s="123" t="s">
        <v>1174</v>
      </c>
      <c r="AC757" s="363"/>
    </row>
    <row r="758" spans="1:29" ht="39.950000000000003" customHeight="1">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3523</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3524</v>
      </c>
      <c r="Y758" s="67"/>
      <c r="Z758" s="123" t="s">
        <v>2864</v>
      </c>
      <c r="AA758" s="339" t="s">
        <v>1168</v>
      </c>
      <c r="AB758" s="123" t="s">
        <v>1173</v>
      </c>
      <c r="AC758" s="363"/>
    </row>
    <row r="759" spans="1:29" ht="39.950000000000003" customHeight="1">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3519</v>
      </c>
      <c r="O759" s="83" t="str">
        <f t="shared" ca="1" si="45"/>
        <v>SI</v>
      </c>
      <c r="P759" s="83" t="str">
        <f t="shared" si="44"/>
        <v>DIANOSOL</v>
      </c>
      <c r="Q759" s="67" t="s">
        <v>911</v>
      </c>
      <c r="R759" s="67" t="str">
        <f>VLOOKUP($Q759,Resultados!$A$1:$B$49,2,FALSE)</f>
        <v>Suspendida</v>
      </c>
      <c r="S759" s="67" t="s">
        <v>1008</v>
      </c>
      <c r="T759" s="86" t="str">
        <f t="shared" si="46"/>
        <v>SI</v>
      </c>
      <c r="U759" s="86"/>
      <c r="V759" s="83"/>
      <c r="W759" s="67" t="s">
        <v>2074</v>
      </c>
      <c r="X759" s="67"/>
      <c r="Y759" s="67"/>
      <c r="Z759" s="123" t="s">
        <v>748</v>
      </c>
      <c r="AA759" s="339" t="s">
        <v>1170</v>
      </c>
      <c r="AB759" s="123" t="s">
        <v>1172</v>
      </c>
      <c r="AC759" s="363"/>
    </row>
    <row r="760" spans="1:29" ht="39.950000000000003" customHeight="1">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3528</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3529</v>
      </c>
      <c r="Y761" s="67"/>
      <c r="Z761" s="123" t="s">
        <v>3407</v>
      </c>
      <c r="AA761" s="123" t="s">
        <v>3343</v>
      </c>
      <c r="AB761" s="123" t="s">
        <v>1174</v>
      </c>
      <c r="AC761" s="363" t="s">
        <v>1799</v>
      </c>
    </row>
    <row r="762" spans="1:29" ht="39.950000000000003" customHeight="1">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3525</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3550</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3551</v>
      </c>
      <c r="Y763" s="67"/>
      <c r="Z763" s="123" t="s">
        <v>748</v>
      </c>
      <c r="AA763" s="339" t="s">
        <v>1170</v>
      </c>
      <c r="AB763" s="123" t="s">
        <v>1176</v>
      </c>
      <c r="AC763" s="363"/>
    </row>
    <row r="764" spans="1:29" ht="39.950000000000003" customHeight="1">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3558</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3559</v>
      </c>
      <c r="Y764" s="67"/>
      <c r="Z764" s="123" t="s">
        <v>3467</v>
      </c>
      <c r="AA764" s="123"/>
      <c r="AB764" s="123" t="s">
        <v>1173</v>
      </c>
      <c r="AC764" s="363" t="s">
        <v>1799</v>
      </c>
    </row>
    <row r="765" spans="1:29" ht="39.950000000000003" customHeight="1">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3556</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3557</v>
      </c>
      <c r="Y765" s="67"/>
      <c r="Z765" s="123" t="s">
        <v>2864</v>
      </c>
      <c r="AA765" s="339" t="s">
        <v>2849</v>
      </c>
      <c r="AB765" s="123" t="s">
        <v>1172</v>
      </c>
      <c r="AC765" s="363"/>
    </row>
    <row r="766" spans="1:29" ht="39.950000000000003" customHeight="1">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3552</v>
      </c>
      <c r="O766" s="67" t="str">
        <f t="shared" ca="1" si="45"/>
        <v>SI</v>
      </c>
      <c r="P766" s="67" t="str">
        <f t="shared" si="44"/>
        <v>DIANOSOL</v>
      </c>
      <c r="Q766" s="67" t="s">
        <v>904</v>
      </c>
      <c r="R766" s="67" t="str">
        <f>VLOOKUP($Q766,Resultados!$A$1:$B$49,2,FALSE)</f>
        <v>Juicio Abreviado</v>
      </c>
      <c r="S766" s="67" t="s">
        <v>3553</v>
      </c>
      <c r="T766" s="77" t="str">
        <f t="shared" si="46"/>
        <v>NO</v>
      </c>
      <c r="U766" s="77"/>
      <c r="V766" s="67"/>
      <c r="W766" s="67" t="s">
        <v>3554</v>
      </c>
      <c r="X766" s="67" t="s">
        <v>3555</v>
      </c>
      <c r="Y766" s="67"/>
      <c r="Z766" s="123" t="s">
        <v>3407</v>
      </c>
      <c r="AA766" s="123" t="s">
        <v>3417</v>
      </c>
      <c r="AB766" s="123" t="s">
        <v>3296</v>
      </c>
      <c r="AC766" s="363"/>
    </row>
    <row r="767" spans="1:29" ht="39.950000000000003" customHeight="1">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3568</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3567</v>
      </c>
      <c r="X767" s="229" t="s">
        <v>3569</v>
      </c>
      <c r="Y767" s="67"/>
      <c r="Z767" s="123" t="s">
        <v>748</v>
      </c>
      <c r="AA767" s="123" t="s">
        <v>1170</v>
      </c>
      <c r="AB767" s="123" t="s">
        <v>3360</v>
      </c>
      <c r="AC767" s="363"/>
    </row>
    <row r="768" spans="1:29" ht="39.950000000000003" customHeight="1">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3560</v>
      </c>
      <c r="O768" s="67" t="str">
        <f t="shared" ca="1" si="45"/>
        <v>SI</v>
      </c>
      <c r="P768" s="67" t="str">
        <f t="shared" si="44"/>
        <v>DIANOSOL</v>
      </c>
      <c r="Q768" s="67" t="s">
        <v>904</v>
      </c>
      <c r="R768" s="67" t="str">
        <f>VLOOKUP($Q768,Resultados!$A$1:$B$49,2,FALSE)</f>
        <v>Juicio Abreviado</v>
      </c>
      <c r="S768" s="67" t="s">
        <v>3561</v>
      </c>
      <c r="T768" s="77" t="str">
        <f t="shared" si="46"/>
        <v>NO</v>
      </c>
      <c r="U768" s="77"/>
      <c r="V768" s="67"/>
      <c r="W768" s="67" t="s">
        <v>77</v>
      </c>
      <c r="X768" s="67" t="s">
        <v>3562</v>
      </c>
      <c r="Y768" s="67"/>
      <c r="Z768" s="123" t="s">
        <v>3467</v>
      </c>
      <c r="AA768" s="339" t="s">
        <v>1168</v>
      </c>
      <c r="AB768" s="123" t="s">
        <v>1176</v>
      </c>
      <c r="AC768" s="363"/>
    </row>
    <row r="769" spans="1:29" ht="39.950000000000003" customHeight="1">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3584</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3585</v>
      </c>
      <c r="Y769" s="67"/>
      <c r="Z769" s="123" t="s">
        <v>3467</v>
      </c>
      <c r="AA769" s="339" t="s">
        <v>1168</v>
      </c>
      <c r="AB769" s="123" t="s">
        <v>1173</v>
      </c>
      <c r="AC769" s="363"/>
    </row>
    <row r="770" spans="1:29" ht="39.950000000000003" customHeight="1">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3578</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SI</v>
      </c>
      <c r="U771" s="86"/>
      <c r="V771" s="83"/>
      <c r="W771" s="67" t="s">
        <v>1230</v>
      </c>
      <c r="X771" s="67" t="s">
        <v>2568</v>
      </c>
      <c r="Y771" s="67"/>
      <c r="Z771" s="123" t="s">
        <v>2864</v>
      </c>
      <c r="AA771" s="123" t="s">
        <v>3417</v>
      </c>
      <c r="AB771" s="123" t="s">
        <v>3296</v>
      </c>
      <c r="AC771" s="363"/>
    </row>
    <row r="772" spans="1:29" ht="39.950000000000003" customHeight="1">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3579</v>
      </c>
      <c r="X772" s="67" t="s">
        <v>3580</v>
      </c>
      <c r="Y772" s="67"/>
      <c r="Z772" s="123" t="s">
        <v>3407</v>
      </c>
      <c r="AA772" s="339" t="s">
        <v>2849</v>
      </c>
      <c r="AB772" s="123" t="s">
        <v>2888</v>
      </c>
      <c r="AC772" s="363"/>
    </row>
    <row r="773" spans="1:29" ht="39.950000000000003" customHeight="1">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3581</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3582</v>
      </c>
      <c r="X776" s="67" t="s">
        <v>2568</v>
      </c>
      <c r="Y776" s="67"/>
      <c r="Z776" s="123" t="s">
        <v>2864</v>
      </c>
      <c r="AA776" s="123" t="s">
        <v>1170</v>
      </c>
      <c r="AB776" s="123" t="s">
        <v>1172</v>
      </c>
      <c r="AC776" s="363"/>
    </row>
    <row r="777" spans="1:29" ht="39.950000000000003" customHeight="1">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3601</v>
      </c>
      <c r="O777" s="83" t="str">
        <f t="shared" ca="1" si="45"/>
        <v>SI</v>
      </c>
      <c r="P777" s="83" t="str">
        <f t="shared" si="47"/>
        <v>DIANOSOL</v>
      </c>
      <c r="Q777" s="67" t="s">
        <v>905</v>
      </c>
      <c r="R777" s="67" t="str">
        <f>VLOOKUP($Q777,Resultados!$A$1:$B$49,2,FALSE)</f>
        <v>Juicio Abreviado</v>
      </c>
      <c r="S777" s="67" t="s">
        <v>1008</v>
      </c>
      <c r="T777" s="86" t="str">
        <f t="shared" si="46"/>
        <v>SI</v>
      </c>
      <c r="U777" s="86"/>
      <c r="V777" s="83"/>
      <c r="W777" s="67" t="s">
        <v>1395</v>
      </c>
      <c r="X777" s="67" t="s">
        <v>2568</v>
      </c>
      <c r="Y777" s="67"/>
      <c r="Z777" s="123" t="s">
        <v>3407</v>
      </c>
      <c r="AA777" s="123" t="s">
        <v>1168</v>
      </c>
      <c r="AB777" s="123" t="s">
        <v>3296</v>
      </c>
      <c r="AC777" s="363"/>
    </row>
    <row r="778" spans="1:29" ht="39.950000000000003" customHeight="1">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3599</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3600</v>
      </c>
      <c r="Y778" s="67"/>
      <c r="Z778" s="123" t="s">
        <v>3467</v>
      </c>
      <c r="AA778" s="123" t="s">
        <v>2849</v>
      </c>
      <c r="AB778" s="123" t="s">
        <v>1174</v>
      </c>
      <c r="AC778" s="363"/>
    </row>
    <row r="779" spans="1:29" ht="39.950000000000003" customHeight="1">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3604</v>
      </c>
      <c r="O779" s="83" t="str">
        <f t="shared" ca="1" si="45"/>
        <v>SI</v>
      </c>
      <c r="P779" s="83" t="str">
        <f t="shared" si="47"/>
        <v>DIANOSOL</v>
      </c>
      <c r="Q779" s="67" t="s">
        <v>911</v>
      </c>
      <c r="R779" s="67" t="str">
        <f>VLOOKUP($Q779,Resultados!$A$1:$B$49,2,FALSE)</f>
        <v>Suspendida</v>
      </c>
      <c r="S779" s="67" t="s">
        <v>3605</v>
      </c>
      <c r="T779" s="86" t="str">
        <f t="shared" si="46"/>
        <v>NO</v>
      </c>
      <c r="U779" s="86"/>
      <c r="V779" s="83"/>
      <c r="W779" s="67" t="s">
        <v>989</v>
      </c>
      <c r="X779" s="67" t="s">
        <v>2153</v>
      </c>
      <c r="Y779" s="67"/>
      <c r="Z779" s="123" t="s">
        <v>748</v>
      </c>
      <c r="AA779" s="123" t="s">
        <v>3417</v>
      </c>
      <c r="AB779" s="123" t="s">
        <v>3360</v>
      </c>
      <c r="AC779" s="363"/>
    </row>
    <row r="780" spans="1:29" ht="39.950000000000003" customHeight="1">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3591</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3592</v>
      </c>
      <c r="Y780" s="67"/>
      <c r="Z780" s="123" t="s">
        <v>2864</v>
      </c>
      <c r="AA780" s="123" t="s">
        <v>3577</v>
      </c>
      <c r="AB780" s="123" t="s">
        <v>1173</v>
      </c>
      <c r="AC780" s="363"/>
    </row>
    <row r="781" spans="1:29" ht="39.950000000000003" customHeight="1">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3602</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3603</v>
      </c>
      <c r="X781" s="67"/>
      <c r="Y781" s="67"/>
      <c r="Z781" s="123" t="s">
        <v>3586</v>
      </c>
      <c r="AA781" s="123" t="s">
        <v>1170</v>
      </c>
      <c r="AB781" s="123" t="s">
        <v>1172</v>
      </c>
      <c r="AC781" s="363"/>
    </row>
    <row r="782" spans="1:29" ht="39.950000000000003" customHeight="1">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3641</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SI</v>
      </c>
      <c r="U784" s="86"/>
      <c r="V784" s="83"/>
      <c r="W784" s="67" t="s">
        <v>1122</v>
      </c>
      <c r="X784" s="67"/>
      <c r="Y784" s="67"/>
      <c r="Z784" s="123" t="s">
        <v>770</v>
      </c>
      <c r="AA784" s="123"/>
      <c r="AB784" s="123" t="s">
        <v>3360</v>
      </c>
      <c r="AC784" s="363" t="s">
        <v>1799</v>
      </c>
    </row>
    <row r="785" spans="1:29" ht="39.950000000000003" customHeight="1">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3643</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3642</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3644</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3645</v>
      </c>
      <c r="X787" s="67" t="s">
        <v>3253</v>
      </c>
      <c r="Y787" s="67"/>
      <c r="Z787" s="123" t="s">
        <v>2864</v>
      </c>
      <c r="AA787" s="123"/>
      <c r="AB787" s="123" t="s">
        <v>3296</v>
      </c>
      <c r="AC787" s="363" t="s">
        <v>1799</v>
      </c>
    </row>
    <row r="788" spans="1:29" ht="39.950000000000003" customHeight="1">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3663</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3662</v>
      </c>
      <c r="O789" s="67" t="str">
        <f t="shared" ca="1" si="48"/>
        <v>SI</v>
      </c>
      <c r="P789" s="67" t="str">
        <f t="shared" si="47"/>
        <v>DIANOSOL</v>
      </c>
      <c r="Q789" s="67" t="s">
        <v>904</v>
      </c>
      <c r="R789" s="67" t="str">
        <f>VLOOKUP($Q789,Resultados!$A$1:$B$49,2,FALSE)</f>
        <v>Juicio Abreviado</v>
      </c>
      <c r="S789" s="67" t="s">
        <v>1583</v>
      </c>
      <c r="T789" s="77" t="str">
        <f t="shared" ref="T789:T852" si="49">IF(G789=$J$1,"SI","NO")</f>
        <v>SI</v>
      </c>
      <c r="U789" s="77"/>
      <c r="V789" s="67"/>
      <c r="W789" s="67" t="s">
        <v>3131</v>
      </c>
      <c r="X789" s="67"/>
      <c r="Y789" s="67"/>
      <c r="Z789" s="123" t="s">
        <v>748</v>
      </c>
      <c r="AA789" s="123"/>
      <c r="AB789" s="123" t="s">
        <v>3360</v>
      </c>
      <c r="AC789" s="363"/>
    </row>
    <row r="790" spans="1:29" ht="39.950000000000003" customHeight="1">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3668</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3669</v>
      </c>
      <c r="X791" s="67" t="s">
        <v>3192</v>
      </c>
      <c r="Y791" s="67"/>
      <c r="Z791" s="123" t="s">
        <v>2864</v>
      </c>
      <c r="AA791" s="123" t="s">
        <v>2849</v>
      </c>
      <c r="AB791" s="123" t="s">
        <v>1173</v>
      </c>
      <c r="AC791" s="363"/>
    </row>
    <row r="792" spans="1:29" ht="39.950000000000003" customHeight="1">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3664</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3665</v>
      </c>
      <c r="Y792" s="67"/>
      <c r="Z792" s="123" t="s">
        <v>748</v>
      </c>
      <c r="AA792" s="123"/>
      <c r="AB792" s="123" t="s">
        <v>1172</v>
      </c>
      <c r="AC792" s="363"/>
    </row>
    <row r="793" spans="1:29" ht="39.950000000000003" customHeight="1">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c r="A794" s="67">
        <v>869</v>
      </c>
      <c r="B794" s="69">
        <v>45222</v>
      </c>
      <c r="C794" s="74">
        <v>0.50555555555555554</v>
      </c>
      <c r="D794" s="67" t="s">
        <v>3570</v>
      </c>
      <c r="E794" s="68" t="s">
        <v>3572</v>
      </c>
      <c r="F794" s="67">
        <v>2</v>
      </c>
      <c r="G794" s="67" t="s">
        <v>2771</v>
      </c>
      <c r="H794" s="69">
        <v>45226</v>
      </c>
      <c r="I794" s="69" t="s">
        <v>75</v>
      </c>
      <c r="J794" s="69" t="s">
        <v>31</v>
      </c>
      <c r="K794" s="67">
        <f>IFERROR(VLOOKUP(J794,Jueces!$A$1:$B$11,2,FALSE),"")</f>
        <v>2</v>
      </c>
      <c r="L794" s="67" t="s">
        <v>813</v>
      </c>
      <c r="M794" s="67" t="s">
        <v>692</v>
      </c>
      <c r="N794" s="67" t="s">
        <v>3671</v>
      </c>
      <c r="O794" s="67" t="str">
        <f t="shared" ca="1" si="48"/>
        <v>SI</v>
      </c>
      <c r="P794" s="67" t="str">
        <f t="shared" si="47"/>
        <v>DIANOSOL</v>
      </c>
      <c r="Q794" s="67" t="s">
        <v>909</v>
      </c>
      <c r="R794" s="67" t="s">
        <v>909</v>
      </c>
      <c r="S794" s="67" t="s">
        <v>3670</v>
      </c>
      <c r="T794" s="77" t="str">
        <f t="shared" si="49"/>
        <v>NO</v>
      </c>
      <c r="U794" s="77"/>
      <c r="V794" s="67"/>
      <c r="W794" s="67" t="s">
        <v>2343</v>
      </c>
      <c r="X794" s="67" t="s">
        <v>2568</v>
      </c>
      <c r="Y794" s="67"/>
      <c r="Z794" s="123" t="s">
        <v>770</v>
      </c>
      <c r="AA794" s="123" t="s">
        <v>1170</v>
      </c>
      <c r="AB794" s="123" t="s">
        <v>1174</v>
      </c>
      <c r="AC794" s="363"/>
    </row>
    <row r="795" spans="1:29" ht="39.950000000000003" customHeight="1">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3666</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3667</v>
      </c>
      <c r="X795" s="67" t="s">
        <v>2568</v>
      </c>
      <c r="Y795" s="67"/>
      <c r="Z795" s="123" t="s">
        <v>2864</v>
      </c>
      <c r="AA795" s="123" t="s">
        <v>3418</v>
      </c>
      <c r="AB795" s="123" t="s">
        <v>3360</v>
      </c>
      <c r="AC795" s="363"/>
    </row>
    <row r="796" spans="1:29" ht="39.950000000000003" customHeight="1">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3676</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3695</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3675</v>
      </c>
      <c r="Y797" s="67"/>
      <c r="Z797" s="123" t="s">
        <v>2864</v>
      </c>
      <c r="AA797" s="123" t="s">
        <v>1170</v>
      </c>
      <c r="AB797" s="123" t="s">
        <v>1172</v>
      </c>
      <c r="AC797" s="363" t="s">
        <v>1799</v>
      </c>
    </row>
    <row r="798" spans="1:29" ht="39.950000000000003" customHeight="1">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c r="A799" s="67">
        <v>851</v>
      </c>
      <c r="B799" s="69">
        <v>45219</v>
      </c>
      <c r="C799" s="74">
        <v>0.53055555555555556</v>
      </c>
      <c r="D799" s="67" t="s">
        <v>3515</v>
      </c>
      <c r="E799" s="68" t="s">
        <v>3517</v>
      </c>
      <c r="F799" s="67">
        <v>2</v>
      </c>
      <c r="G799" s="67" t="s">
        <v>1441</v>
      </c>
      <c r="H799" s="69">
        <v>45229</v>
      </c>
      <c r="I799" s="69" t="s">
        <v>73</v>
      </c>
      <c r="J799" s="69" t="s">
        <v>31</v>
      </c>
      <c r="K799" s="67">
        <f>IFERROR(VLOOKUP(J799,Jueces!$A$1:$B$11,2,FALSE),"")</f>
        <v>2</v>
      </c>
      <c r="L799" s="67" t="s">
        <v>3679</v>
      </c>
      <c r="M799" s="67" t="s">
        <v>692</v>
      </c>
      <c r="N799" s="67" t="s">
        <v>3682</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3681</v>
      </c>
      <c r="Y799" s="67"/>
      <c r="Z799" s="123" t="s">
        <v>3407</v>
      </c>
      <c r="AA799" s="123" t="s">
        <v>3417</v>
      </c>
      <c r="AB799" s="123" t="s">
        <v>1174</v>
      </c>
      <c r="AC799" s="363"/>
    </row>
    <row r="800" spans="1:29" ht="39.950000000000003" customHeight="1">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3678</v>
      </c>
      <c r="T800" s="86" t="str">
        <f t="shared" si="49"/>
        <v>SI</v>
      </c>
      <c r="U800" s="86"/>
      <c r="V800" s="83"/>
      <c r="W800" s="67" t="s">
        <v>1233</v>
      </c>
      <c r="X800" s="67"/>
      <c r="Y800" s="67"/>
      <c r="Z800" s="123" t="s">
        <v>743</v>
      </c>
      <c r="AA800" s="339" t="s">
        <v>1168</v>
      </c>
      <c r="AB800" s="123" t="s">
        <v>3360</v>
      </c>
      <c r="AC800" s="363"/>
    </row>
    <row r="801" spans="1:29" ht="39.950000000000003" customHeight="1">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3706</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3707</v>
      </c>
      <c r="Y801" s="67"/>
      <c r="Z801" s="123" t="s">
        <v>3407</v>
      </c>
      <c r="AA801" s="123" t="s">
        <v>3343</v>
      </c>
      <c r="AB801" s="123" t="s">
        <v>1176</v>
      </c>
      <c r="AC801" s="363"/>
    </row>
    <row r="802" spans="1:29" ht="39.950000000000003" customHeight="1">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3704</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3705</v>
      </c>
      <c r="Y802" s="67"/>
      <c r="Z802" s="123" t="s">
        <v>2864</v>
      </c>
      <c r="AA802" s="123" t="s">
        <v>2892</v>
      </c>
      <c r="AB802" s="123" t="s">
        <v>1173</v>
      </c>
      <c r="AC802" s="363" t="s">
        <v>1799</v>
      </c>
    </row>
    <row r="803" spans="1:29" ht="39.950000000000003" customHeight="1">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3677</v>
      </c>
      <c r="Y803" s="67"/>
      <c r="Z803" s="123" t="s">
        <v>770</v>
      </c>
      <c r="AA803" s="123" t="s">
        <v>2849</v>
      </c>
      <c r="AB803" s="123" t="s">
        <v>1172</v>
      </c>
      <c r="AC803" s="363"/>
    </row>
    <row r="804" spans="1:29" ht="39.950000000000003" customHeight="1">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3709</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3703</v>
      </c>
      <c r="Y804" s="67"/>
      <c r="Z804" s="123" t="s">
        <v>748</v>
      </c>
      <c r="AA804" s="123" t="s">
        <v>3417</v>
      </c>
      <c r="AB804" s="123" t="s">
        <v>3296</v>
      </c>
      <c r="AC804" s="363"/>
    </row>
    <row r="805" spans="1:29" ht="39.950000000000003" customHeight="1">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3701</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3700</v>
      </c>
      <c r="X805" s="273" t="s">
        <v>3702</v>
      </c>
      <c r="Y805" s="67"/>
      <c r="Z805" s="339" t="s">
        <v>2864</v>
      </c>
      <c r="AA805" s="123" t="s">
        <v>1168</v>
      </c>
      <c r="AB805" s="123" t="s">
        <v>1174</v>
      </c>
      <c r="AC805" s="363"/>
    </row>
    <row r="806" spans="1:29" ht="39.950000000000003" customHeight="1">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3715</v>
      </c>
      <c r="Y807" s="67"/>
      <c r="Z807" s="123" t="s">
        <v>1042</v>
      </c>
      <c r="AA807" s="123" t="s">
        <v>2892</v>
      </c>
      <c r="AB807" s="123" t="s">
        <v>1176</v>
      </c>
      <c r="AC807" s="363"/>
    </row>
    <row r="808" spans="1:29" ht="39.950000000000003" customHeight="1">
      <c r="A808" s="67">
        <v>815</v>
      </c>
      <c r="B808" s="69">
        <v>45211</v>
      </c>
      <c r="C808" s="74">
        <v>0.53472222222222221</v>
      </c>
      <c r="D808" s="360" t="s">
        <v>3409</v>
      </c>
      <c r="E808" s="68" t="s">
        <v>3697</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3716</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3732</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c r="A811" s="67">
        <v>830</v>
      </c>
      <c r="B811" s="69">
        <v>45217</v>
      </c>
      <c r="C811" s="74">
        <v>0.3520833333333333</v>
      </c>
      <c r="D811" s="67" t="s">
        <v>3452</v>
      </c>
      <c r="E811" s="68" t="s">
        <v>3696</v>
      </c>
      <c r="F811" s="67">
        <v>2</v>
      </c>
      <c r="G811" s="67" t="s">
        <v>3361</v>
      </c>
      <c r="H811" s="69">
        <v>45230</v>
      </c>
      <c r="I811" s="69" t="s">
        <v>1086</v>
      </c>
      <c r="J811" s="69" t="s">
        <v>1219</v>
      </c>
      <c r="K811" s="67">
        <f>IFERROR(VLOOKUP(J811,Jueces!$A$1:$B$11,2,FALSE),"")</f>
        <v>1</v>
      </c>
      <c r="L811" s="67" t="s">
        <v>798</v>
      </c>
      <c r="M811" s="67" t="s">
        <v>692</v>
      </c>
      <c r="N811" s="67" t="s">
        <v>3730</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3717</v>
      </c>
      <c r="O812" s="83" t="str">
        <f t="shared" ca="1" si="48"/>
        <v>SI</v>
      </c>
      <c r="P812" s="83" t="str">
        <f t="shared" si="47"/>
        <v>DIANOSOL</v>
      </c>
      <c r="Q812" s="67" t="s">
        <v>905</v>
      </c>
      <c r="R812" s="67" t="str">
        <f>VLOOKUP($Q812,Resultados!$A$1:$B$49,2,FALSE)</f>
        <v>Juicio Abreviado</v>
      </c>
      <c r="S812" s="67" t="s">
        <v>1034</v>
      </c>
      <c r="T812" s="86" t="str">
        <f t="shared" si="49"/>
        <v>SI</v>
      </c>
      <c r="U812" s="86"/>
      <c r="V812" s="83"/>
      <c r="W812" s="67" t="s">
        <v>2901</v>
      </c>
      <c r="X812" s="67" t="s">
        <v>3718</v>
      </c>
      <c r="Y812" s="67"/>
      <c r="Z812" s="123" t="s">
        <v>770</v>
      </c>
      <c r="AA812" s="123" t="s">
        <v>2849</v>
      </c>
      <c r="AB812" s="123" t="s">
        <v>3360</v>
      </c>
      <c r="AC812" s="363"/>
    </row>
    <row r="813" spans="1:29" ht="39.950000000000003" customHeight="1">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3729</v>
      </c>
      <c r="O813" s="67" t="str">
        <f t="shared" ca="1" si="48"/>
        <v>SI</v>
      </c>
      <c r="P813" s="67" t="str">
        <f t="shared" si="47"/>
        <v>DIANOSOL</v>
      </c>
      <c r="Q813" s="67" t="s">
        <v>905</v>
      </c>
      <c r="R813" s="67" t="str">
        <f>VLOOKUP($Q813,Resultados!$A$1:$B$49,2,FALSE)</f>
        <v>Juicio Abreviado</v>
      </c>
      <c r="S813" s="67" t="s">
        <v>3727</v>
      </c>
      <c r="T813" s="77" t="str">
        <f t="shared" si="49"/>
        <v>NO</v>
      </c>
      <c r="U813" s="77"/>
      <c r="V813" s="67"/>
      <c r="W813" s="67" t="s">
        <v>3728</v>
      </c>
      <c r="X813" s="67"/>
      <c r="Y813" s="67"/>
      <c r="Z813" s="123" t="s">
        <v>770</v>
      </c>
      <c r="AA813" s="123" t="s">
        <v>2849</v>
      </c>
      <c r="AB813" s="123" t="s">
        <v>1176</v>
      </c>
      <c r="AC813" s="363"/>
    </row>
    <row r="814" spans="1:29" ht="39.950000000000003" customHeight="1">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3726</v>
      </c>
      <c r="O814" s="67" t="str">
        <f t="shared" ca="1" si="48"/>
        <v>SI</v>
      </c>
      <c r="P814" s="67" t="str">
        <f t="shared" si="47"/>
        <v>DIANOSOL</v>
      </c>
      <c r="Q814" s="67" t="s">
        <v>905</v>
      </c>
      <c r="R814" s="67" t="str">
        <f>VLOOKUP($Q814,Resultados!$A$1:$B$49,2,FALSE)</f>
        <v>Juicio Abreviado</v>
      </c>
      <c r="S814" s="67" t="s">
        <v>3725</v>
      </c>
      <c r="T814" s="77" t="str">
        <f t="shared" si="49"/>
        <v>NO</v>
      </c>
      <c r="U814" s="77"/>
      <c r="V814" s="67"/>
      <c r="W814" s="67" t="s">
        <v>3347</v>
      </c>
      <c r="X814" s="67" t="s">
        <v>3718</v>
      </c>
      <c r="Y814" s="67"/>
      <c r="Z814" s="123" t="s">
        <v>1041</v>
      </c>
      <c r="AA814" s="123" t="s">
        <v>3418</v>
      </c>
      <c r="AB814" s="123" t="s">
        <v>1173</v>
      </c>
      <c r="AC814" s="363"/>
    </row>
    <row r="815" spans="1:29" ht="39.950000000000003" customHeight="1">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3745</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3746</v>
      </c>
      <c r="Y815" s="67"/>
      <c r="Z815" s="339" t="s">
        <v>2864</v>
      </c>
      <c r="AA815" s="123" t="s">
        <v>3417</v>
      </c>
      <c r="AB815" s="339" t="s">
        <v>1172</v>
      </c>
      <c r="AC815" s="363"/>
    </row>
    <row r="816" spans="1:29" ht="39.950000000000003" customHeight="1">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3742</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3743</v>
      </c>
      <c r="Y816" s="67"/>
      <c r="Z816" s="339" t="s">
        <v>3407</v>
      </c>
      <c r="AA816" s="123" t="s">
        <v>3417</v>
      </c>
      <c r="AB816" s="339" t="s">
        <v>3296</v>
      </c>
      <c r="AC816" s="363"/>
    </row>
    <row r="817" spans="1:29" ht="39.950000000000003" customHeight="1">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3744</v>
      </c>
      <c r="Y817" s="67"/>
      <c r="Z817" s="339" t="s">
        <v>1041</v>
      </c>
      <c r="AA817" s="123" t="s">
        <v>3418</v>
      </c>
      <c r="AB817" s="339" t="s">
        <v>1174</v>
      </c>
      <c r="AC817" s="363"/>
    </row>
    <row r="818" spans="1:29" ht="39.950000000000003" customHeight="1">
      <c r="A818" s="67">
        <v>860</v>
      </c>
      <c r="B818" s="69">
        <v>45222</v>
      </c>
      <c r="C818" s="74">
        <v>0.42083333333333334</v>
      </c>
      <c r="D818" s="67" t="s">
        <v>3543</v>
      </c>
      <c r="E818" s="68" t="s">
        <v>3544</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3747</v>
      </c>
      <c r="N819" s="67" t="s">
        <v>3748</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c r="A820" s="67">
        <v>862</v>
      </c>
      <c r="B820" s="69">
        <v>45222</v>
      </c>
      <c r="C820" s="74">
        <v>0.42152777777777778</v>
      </c>
      <c r="D820" s="67" t="s">
        <v>3546</v>
      </c>
      <c r="E820" s="68" t="s">
        <v>3547</v>
      </c>
      <c r="F820" s="67">
        <v>2</v>
      </c>
      <c r="G820" s="67" t="s">
        <v>1442</v>
      </c>
      <c r="H820" s="69">
        <v>45231</v>
      </c>
      <c r="I820" s="69" t="s">
        <v>1086</v>
      </c>
      <c r="J820" s="69" t="s">
        <v>78</v>
      </c>
      <c r="K820" s="67">
        <f>IFERROR(VLOOKUP(J820,Jueces!$A$1:$B$11,2,FALSE),"")</f>
        <v>8</v>
      </c>
      <c r="L820" s="67" t="s">
        <v>799</v>
      </c>
      <c r="M820" s="67" t="s">
        <v>693</v>
      </c>
      <c r="N820" s="67" t="s">
        <v>3780</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3707</v>
      </c>
      <c r="Y820" s="67"/>
      <c r="Z820" s="339" t="s">
        <v>3407</v>
      </c>
      <c r="AA820" s="123" t="s">
        <v>3418</v>
      </c>
      <c r="AB820" s="339" t="s">
        <v>1173</v>
      </c>
      <c r="AC820" s="363"/>
    </row>
    <row r="821" spans="1:29" ht="39.950000000000003" customHeight="1">
      <c r="A821" s="67">
        <v>840</v>
      </c>
      <c r="B821" s="69">
        <v>45218</v>
      </c>
      <c r="C821" s="74">
        <v>0.34375</v>
      </c>
      <c r="D821" s="67" t="s">
        <v>3509</v>
      </c>
      <c r="E821" s="68" t="s">
        <v>3481</v>
      </c>
      <c r="F821" s="67">
        <v>2</v>
      </c>
      <c r="G821" s="67" t="s">
        <v>283</v>
      </c>
      <c r="H821" s="69">
        <v>45231</v>
      </c>
      <c r="I821" s="69" t="s">
        <v>1209</v>
      </c>
      <c r="J821" s="69" t="s">
        <v>1220</v>
      </c>
      <c r="K821" s="67" t="s">
        <v>2301</v>
      </c>
      <c r="L821" s="67" t="s">
        <v>811</v>
      </c>
      <c r="M821" s="67" t="s">
        <v>693</v>
      </c>
      <c r="N821" s="67" t="s">
        <v>3778</v>
      </c>
      <c r="O821" s="83" t="str">
        <f t="shared" ca="1" si="48"/>
        <v>SI</v>
      </c>
      <c r="P821" s="83" t="str">
        <f t="shared" si="47"/>
        <v>DIANOSOL</v>
      </c>
      <c r="Q821" s="67" t="s">
        <v>904</v>
      </c>
      <c r="R821" s="67" t="str">
        <f>VLOOKUP($Q821,Resultados!$A$1:$B$49,2,FALSE)</f>
        <v>Juicio Abreviado</v>
      </c>
      <c r="S821" s="67" t="s">
        <v>3776</v>
      </c>
      <c r="T821" s="86" t="str">
        <f t="shared" si="49"/>
        <v>NO</v>
      </c>
      <c r="U821" s="86"/>
      <c r="V821" s="83"/>
      <c r="W821" s="67" t="s">
        <v>3208</v>
      </c>
      <c r="X821" s="229" t="s">
        <v>3779</v>
      </c>
      <c r="Y821" s="67"/>
      <c r="Z821" s="339" t="s">
        <v>770</v>
      </c>
      <c r="AA821" s="123" t="s">
        <v>2849</v>
      </c>
      <c r="AB821" s="339" t="s">
        <v>1172</v>
      </c>
      <c r="AC821" s="363"/>
    </row>
    <row r="822" spans="1:29" ht="39.950000000000003" customHeight="1">
      <c r="A822" s="67">
        <v>836</v>
      </c>
      <c r="B822" s="69">
        <v>45217</v>
      </c>
      <c r="C822" s="74">
        <v>0.4861111111111111</v>
      </c>
      <c r="D822" s="67" t="s">
        <v>3460</v>
      </c>
      <c r="E822" s="68" t="s">
        <v>3720</v>
      </c>
      <c r="F822" s="67">
        <v>8</v>
      </c>
      <c r="G822" s="67" t="s">
        <v>2771</v>
      </c>
      <c r="H822" s="69">
        <v>45231</v>
      </c>
      <c r="I822" s="69" t="s">
        <v>3208</v>
      </c>
      <c r="J822" s="69" t="s">
        <v>1219</v>
      </c>
      <c r="K822" s="67" t="s">
        <v>1924</v>
      </c>
      <c r="L822" s="67" t="s">
        <v>3679</v>
      </c>
      <c r="M822" s="67" t="s">
        <v>3482</v>
      </c>
      <c r="N822" s="67" t="s">
        <v>3777</v>
      </c>
      <c r="O822" s="83" t="str">
        <f t="shared" ca="1" si="48"/>
        <v>SI</v>
      </c>
      <c r="P822" s="83" t="str">
        <f t="shared" si="47"/>
        <v>DIANOSOL</v>
      </c>
      <c r="Q822" s="67" t="s">
        <v>905</v>
      </c>
      <c r="R822" s="67" t="str">
        <f>VLOOKUP($Q822,Resultados!$A$1:$B$49,2,FALSE)</f>
        <v>Juicio Abreviado</v>
      </c>
      <c r="S822" s="67" t="s">
        <v>3670</v>
      </c>
      <c r="T822" s="86" t="str">
        <f t="shared" si="49"/>
        <v>NO</v>
      </c>
      <c r="U822" s="86"/>
      <c r="V822" s="83"/>
      <c r="W822" s="67" t="s">
        <v>3274</v>
      </c>
      <c r="X822" s="67"/>
      <c r="Y822" s="67"/>
      <c r="Z822" s="339" t="s">
        <v>3407</v>
      </c>
      <c r="AA822" s="123" t="s">
        <v>2892</v>
      </c>
      <c r="AB822" s="339" t="s">
        <v>3296</v>
      </c>
      <c r="AC822" s="363"/>
    </row>
    <row r="823" spans="1:29" ht="39.950000000000003" customHeight="1">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3774</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3775</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1784</v>
      </c>
      <c r="X824" s="67"/>
      <c r="Y824" s="67"/>
      <c r="Z824" s="339" t="s">
        <v>2864</v>
      </c>
      <c r="AA824" s="123" t="s">
        <v>2892</v>
      </c>
      <c r="AB824" s="339" t="s">
        <v>3360</v>
      </c>
      <c r="AC824" s="363" t="s">
        <v>1799</v>
      </c>
    </row>
    <row r="825" spans="1:29" ht="39.950000000000003" customHeight="1">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3812</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c r="A826" s="67">
        <v>855</v>
      </c>
      <c r="B826" s="69">
        <v>45222</v>
      </c>
      <c r="C826" s="74">
        <v>0.4236111111111111</v>
      </c>
      <c r="D826" s="67" t="s">
        <v>3533</v>
      </c>
      <c r="E826" s="68" t="s">
        <v>3534</v>
      </c>
      <c r="F826" s="67">
        <v>3</v>
      </c>
      <c r="G826" s="67" t="s">
        <v>568</v>
      </c>
      <c r="H826" s="69">
        <v>45232</v>
      </c>
      <c r="I826" s="69" t="s">
        <v>73</v>
      </c>
      <c r="J826" s="69" t="s">
        <v>35</v>
      </c>
      <c r="K826" s="67">
        <f>IFERROR(VLOOKUP(J826,Jueces!$A$1:$B$11,2,FALSE),"")</f>
        <v>3</v>
      </c>
      <c r="L826" s="67" t="s">
        <v>811</v>
      </c>
      <c r="M826" s="67" t="s">
        <v>694</v>
      </c>
      <c r="N826" s="229" t="s">
        <v>3816</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3817</v>
      </c>
      <c r="Y826" s="67"/>
      <c r="Z826" s="362" t="s">
        <v>743</v>
      </c>
      <c r="AA826" s="362" t="s">
        <v>1170</v>
      </c>
      <c r="AB826" s="362" t="s">
        <v>1173</v>
      </c>
      <c r="AC826" s="363"/>
    </row>
    <row r="827" spans="1:29" ht="39.950000000000003" customHeight="1">
      <c r="A827" s="67">
        <v>852</v>
      </c>
      <c r="B827" s="69">
        <v>45219</v>
      </c>
      <c r="C827" s="67" t="s">
        <v>1015</v>
      </c>
      <c r="D827" s="67" t="s">
        <v>3513</v>
      </c>
      <c r="E827" s="68" t="s">
        <v>3514</v>
      </c>
      <c r="F827" s="67">
        <v>2</v>
      </c>
      <c r="G827" s="67" t="s">
        <v>1440</v>
      </c>
      <c r="H827" s="69">
        <v>45232</v>
      </c>
      <c r="I827" s="69" t="s">
        <v>1086</v>
      </c>
      <c r="J827" s="69" t="s">
        <v>31</v>
      </c>
      <c r="K827" s="67">
        <f>IFERROR(VLOOKUP(J827,Jueces!$A$1:$B$11,2,FALSE),"")</f>
        <v>2</v>
      </c>
      <c r="L827" s="67" t="s">
        <v>1700</v>
      </c>
      <c r="M827" s="67" t="s">
        <v>692</v>
      </c>
      <c r="N827" s="67" t="s">
        <v>3814</v>
      </c>
      <c r="O827" s="83" t="str">
        <f t="shared" ca="1" si="48"/>
        <v>SI</v>
      </c>
      <c r="P827" s="83" t="str">
        <f t="shared" si="47"/>
        <v>DIANOSOL</v>
      </c>
      <c r="Q827" s="67" t="s">
        <v>151</v>
      </c>
      <c r="R827" s="67" t="str">
        <f>VLOOKUP($Q827,Resultados!$A$1:$B$49,2,FALSE)</f>
        <v>Prisión Preventiva</v>
      </c>
      <c r="S827" s="67" t="s">
        <v>1391</v>
      </c>
      <c r="T827" s="86" t="str">
        <f t="shared" si="49"/>
        <v>SI</v>
      </c>
      <c r="U827" s="86"/>
      <c r="V827" s="83"/>
      <c r="W827" s="67" t="s">
        <v>1298</v>
      </c>
      <c r="X827" s="67" t="s">
        <v>3707</v>
      </c>
      <c r="Y827" s="67"/>
      <c r="Z827" s="362" t="s">
        <v>3407</v>
      </c>
      <c r="AA827" s="362" t="s">
        <v>3418</v>
      </c>
      <c r="AB827" s="362" t="s">
        <v>1172</v>
      </c>
      <c r="AC827" s="363"/>
    </row>
    <row r="828" spans="1:29" ht="39.950000000000003" customHeight="1">
      <c r="A828" s="67">
        <v>859</v>
      </c>
      <c r="B828" s="69">
        <v>45222</v>
      </c>
      <c r="C828" s="74">
        <v>0.42083333333333334</v>
      </c>
      <c r="D828" s="67" t="s">
        <v>3541</v>
      </c>
      <c r="E828" s="68" t="s">
        <v>3542</v>
      </c>
      <c r="F828" s="67">
        <v>2</v>
      </c>
      <c r="G828" s="67" t="s">
        <v>1442</v>
      </c>
      <c r="H828" s="69">
        <v>45232</v>
      </c>
      <c r="I828" s="69" t="s">
        <v>1086</v>
      </c>
      <c r="J828" s="69" t="s">
        <v>1224</v>
      </c>
      <c r="K828" s="67">
        <f>IFERROR(VLOOKUP(J828,Jueces!$A$1:$B$11,2,FALSE),"")</f>
        <v>6</v>
      </c>
      <c r="L828" s="67" t="s">
        <v>811</v>
      </c>
      <c r="M828" s="67" t="s">
        <v>693</v>
      </c>
      <c r="N828" s="67" t="s">
        <v>3815</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c r="A829" s="67">
        <v>861</v>
      </c>
      <c r="B829" s="69">
        <v>45222</v>
      </c>
      <c r="C829" s="74">
        <v>0.42152777777777778</v>
      </c>
      <c r="D829" s="67" t="s">
        <v>3545</v>
      </c>
      <c r="E829" s="68" t="s">
        <v>3721</v>
      </c>
      <c r="F829" s="67">
        <v>2</v>
      </c>
      <c r="G829" s="67" t="s">
        <v>2835</v>
      </c>
      <c r="H829" s="69">
        <v>45232</v>
      </c>
      <c r="I829" s="69" t="s">
        <v>1086</v>
      </c>
      <c r="J829" s="69" t="s">
        <v>78</v>
      </c>
      <c r="K829" s="67">
        <f>IFERROR(VLOOKUP(J829,Jueces!$A$1:$B$11,2,FALSE),"")</f>
        <v>8</v>
      </c>
      <c r="L829" s="67" t="s">
        <v>791</v>
      </c>
      <c r="M829" s="67" t="s">
        <v>2691</v>
      </c>
      <c r="N829" s="67" t="s">
        <v>3813</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3810</v>
      </c>
      <c r="O830" s="83" t="str">
        <f t="shared" ca="1" si="48"/>
        <v>SI</v>
      </c>
      <c r="P830" s="83" t="str">
        <f t="shared" si="47"/>
        <v>DIANOSOL</v>
      </c>
      <c r="Q830" s="67" t="s">
        <v>902</v>
      </c>
      <c r="R830" s="67" t="str">
        <f>VLOOKUP($Q830,Resultados!$A$1:$B$49,2,FALSE)</f>
        <v>Libertad</v>
      </c>
      <c r="S830" s="67" t="s">
        <v>3809</v>
      </c>
      <c r="T830" s="86" t="str">
        <f t="shared" si="49"/>
        <v>NO</v>
      </c>
      <c r="U830" s="86"/>
      <c r="V830" s="83"/>
      <c r="W830" s="67" t="s">
        <v>3667</v>
      </c>
      <c r="X830" s="67" t="s">
        <v>3811</v>
      </c>
      <c r="Y830" s="67"/>
      <c r="Z830" s="362" t="s">
        <v>3359</v>
      </c>
      <c r="AA830" s="362" t="s">
        <v>2892</v>
      </c>
      <c r="AB830" s="362" t="s">
        <v>3360</v>
      </c>
      <c r="AC830" s="375"/>
    </row>
    <row r="831" spans="1:29" ht="39.950000000000003" customHeight="1">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3808</v>
      </c>
      <c r="O831" s="83" t="str">
        <f t="shared" ca="1" si="48"/>
        <v>SI</v>
      </c>
      <c r="P831" s="83" t="str">
        <f t="shared" si="47"/>
        <v>DIANOSOL</v>
      </c>
      <c r="Q831" s="67" t="s">
        <v>904</v>
      </c>
      <c r="R831" s="67" t="str">
        <f>VLOOKUP($Q831,Resultados!$A$1:$B$49,2,FALSE)</f>
        <v>Juicio Abreviado</v>
      </c>
      <c r="S831" s="67" t="s">
        <v>3807</v>
      </c>
      <c r="T831" s="86" t="str">
        <f t="shared" si="49"/>
        <v>NO</v>
      </c>
      <c r="U831" s="86"/>
      <c r="V831" s="83"/>
      <c r="W831" s="67" t="s">
        <v>3157</v>
      </c>
      <c r="X831" s="67"/>
      <c r="Y831" s="67"/>
      <c r="Z831" s="362" t="s">
        <v>770</v>
      </c>
      <c r="AA831" s="362" t="s">
        <v>3417</v>
      </c>
      <c r="AB831" s="362" t="s">
        <v>1176</v>
      </c>
      <c r="AC831" s="375"/>
    </row>
    <row r="832" spans="1:29" ht="39.950000000000003" customHeight="1">
      <c r="A832" s="67">
        <v>760</v>
      </c>
      <c r="B832" s="69">
        <v>45206</v>
      </c>
      <c r="C832" s="74">
        <v>0.47013888888888888</v>
      </c>
      <c r="D832" s="216" t="s">
        <v>2492</v>
      </c>
      <c r="E832" s="68" t="s">
        <v>3804</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3838</v>
      </c>
      <c r="Y832" s="67"/>
      <c r="Z832" s="348" t="s">
        <v>3407</v>
      </c>
      <c r="AA832" s="348" t="s">
        <v>1168</v>
      </c>
      <c r="AB832" s="348" t="s">
        <v>1173</v>
      </c>
      <c r="AC832" s="375"/>
    </row>
    <row r="833" spans="1:29" ht="39.950000000000003" customHeight="1">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3844</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c r="A834" s="67">
        <v>853</v>
      </c>
      <c r="B834" s="69">
        <v>45219</v>
      </c>
      <c r="C834" s="74">
        <v>0.52916666666666667</v>
      </c>
      <c r="D834" s="67" t="s">
        <v>3516</v>
      </c>
      <c r="E834" s="68" t="s">
        <v>3518</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3678</v>
      </c>
      <c r="T834" s="86" t="str">
        <f t="shared" si="49"/>
        <v>SI</v>
      </c>
      <c r="U834" s="86"/>
      <c r="V834" s="83"/>
      <c r="W834" s="67" t="s">
        <v>3131</v>
      </c>
      <c r="X834" s="67"/>
      <c r="Y834" s="67"/>
      <c r="Z834" s="348" t="s">
        <v>1042</v>
      </c>
      <c r="AA834" s="348" t="s">
        <v>2849</v>
      </c>
      <c r="AB834" s="348" t="s">
        <v>3296</v>
      </c>
      <c r="AC834" s="375"/>
    </row>
    <row r="835" spans="1:29" ht="39.950000000000003" customHeight="1">
      <c r="A835" s="67">
        <v>856</v>
      </c>
      <c r="B835" s="69">
        <v>45219</v>
      </c>
      <c r="C835" s="74">
        <v>0.46180555555555558</v>
      </c>
      <c r="D835" s="67" t="s">
        <v>3535</v>
      </c>
      <c r="E835" s="68" t="s">
        <v>3536</v>
      </c>
      <c r="F835" s="67">
        <v>3</v>
      </c>
      <c r="G835" s="67" t="s">
        <v>3362</v>
      </c>
      <c r="H835" s="69">
        <v>45233</v>
      </c>
      <c r="I835" s="69" t="s">
        <v>73</v>
      </c>
      <c r="J835" s="69" t="s">
        <v>78</v>
      </c>
      <c r="K835" s="67">
        <f>IFERROR(VLOOKUP(J835,Jueces!$A$1:$B$11,2,FALSE),"")</f>
        <v>8</v>
      </c>
      <c r="L835" s="67" t="s">
        <v>811</v>
      </c>
      <c r="M835" s="67" t="s">
        <v>694</v>
      </c>
      <c r="N835" s="67" t="s">
        <v>3835</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3836</v>
      </c>
      <c r="Y836" s="67"/>
      <c r="Z836" s="348" t="s">
        <v>1041</v>
      </c>
      <c r="AA836" s="348" t="s">
        <v>3417</v>
      </c>
      <c r="AB836" s="348" t="s">
        <v>1176</v>
      </c>
      <c r="AC836" s="375"/>
    </row>
    <row r="837" spans="1:29" ht="39.950000000000003" customHeight="1">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3837</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3843</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3839</v>
      </c>
      <c r="Y838" s="67"/>
      <c r="Z838" s="348" t="s">
        <v>3407</v>
      </c>
      <c r="AA838" s="348" t="s">
        <v>1170</v>
      </c>
      <c r="AB838" s="348" t="s">
        <v>1173</v>
      </c>
      <c r="AC838" s="375" t="s">
        <v>1799</v>
      </c>
    </row>
    <row r="839" spans="1:29" ht="39.950000000000003" customHeight="1">
      <c r="A839" s="67">
        <v>839</v>
      </c>
      <c r="B839" s="69">
        <v>45217</v>
      </c>
      <c r="C839" s="74">
        <v>0.4909722222222222</v>
      </c>
      <c r="D839" s="67" t="s">
        <v>3463</v>
      </c>
      <c r="E839" s="68" t="s">
        <v>3767</v>
      </c>
      <c r="F839" s="67">
        <v>2</v>
      </c>
      <c r="G839" s="67" t="s">
        <v>2835</v>
      </c>
      <c r="H839" s="69">
        <v>45233</v>
      </c>
      <c r="I839" s="69" t="s">
        <v>1209</v>
      </c>
      <c r="J839" s="69" t="s">
        <v>1220</v>
      </c>
      <c r="K839" s="67" t="s">
        <v>1924</v>
      </c>
      <c r="L839" s="67" t="s">
        <v>791</v>
      </c>
      <c r="M839" s="67" t="s">
        <v>692</v>
      </c>
      <c r="N839" s="67" t="s">
        <v>3845</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c r="A840" s="67">
        <v>824</v>
      </c>
      <c r="B840" s="69">
        <v>45216</v>
      </c>
      <c r="C840" s="74">
        <v>0.40416666666666662</v>
      </c>
      <c r="D840" s="67" t="s">
        <v>3441</v>
      </c>
      <c r="E840" s="68" t="s">
        <v>3440</v>
      </c>
      <c r="F840" s="67">
        <v>2</v>
      </c>
      <c r="G840" s="67" t="s">
        <v>3680</v>
      </c>
      <c r="H840" s="69">
        <v>45233</v>
      </c>
      <c r="I840" s="69" t="s">
        <v>3208</v>
      </c>
      <c r="J840" s="69" t="s">
        <v>31</v>
      </c>
      <c r="K840" s="67" t="s">
        <v>1345</v>
      </c>
      <c r="L840" s="67" t="s">
        <v>809</v>
      </c>
      <c r="M840" s="7" t="s">
        <v>692</v>
      </c>
      <c r="N840" s="67" t="s">
        <v>3840</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3841</v>
      </c>
      <c r="Y840" s="67"/>
      <c r="Z840" s="348" t="s">
        <v>3407</v>
      </c>
      <c r="AA840" s="348" t="s">
        <v>1170</v>
      </c>
      <c r="AB840" s="348" t="s">
        <v>3296</v>
      </c>
      <c r="AC840" s="375"/>
    </row>
    <row r="841" spans="1:29" ht="39.950000000000003" customHeight="1">
      <c r="A841" s="67">
        <v>789</v>
      </c>
      <c r="B841" s="69">
        <v>45209</v>
      </c>
      <c r="C841" s="74">
        <v>0.4465277777777778</v>
      </c>
      <c r="D841" s="67" t="s">
        <v>3315</v>
      </c>
      <c r="E841" s="68" t="s">
        <v>3571</v>
      </c>
      <c r="F841" s="67">
        <v>1</v>
      </c>
      <c r="G841" s="67" t="s">
        <v>568</v>
      </c>
      <c r="H841" s="69">
        <v>45236</v>
      </c>
      <c r="I841" s="69" t="s">
        <v>73</v>
      </c>
      <c r="J841" s="69" t="s">
        <v>78</v>
      </c>
      <c r="K841" s="67">
        <f>IFERROR(VLOOKUP(J841,Jueces!$A$1:$B$11,2,FALSE),"")</f>
        <v>8</v>
      </c>
      <c r="L841" s="67" t="s">
        <v>806</v>
      </c>
      <c r="M841" s="155" t="s">
        <v>1289</v>
      </c>
      <c r="N841" s="67" t="s">
        <v>3877</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3878</v>
      </c>
      <c r="Y841" s="67"/>
      <c r="Z841" s="67"/>
      <c r="AA841" s="123" t="s">
        <v>3418</v>
      </c>
      <c r="AB841" s="123" t="s">
        <v>1174</v>
      </c>
      <c r="AC841" s="375"/>
    </row>
    <row r="842" spans="1:29" ht="39.950000000000003" customHeight="1">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3876</v>
      </c>
      <c r="Y842" s="67"/>
      <c r="Z842" s="67"/>
      <c r="AA842" s="123" t="s">
        <v>2892</v>
      </c>
      <c r="AB842" s="123" t="s">
        <v>3360</v>
      </c>
      <c r="AC842" s="375"/>
    </row>
    <row r="843" spans="1:29" ht="39.950000000000003" customHeight="1">
      <c r="A843" s="67">
        <v>858</v>
      </c>
      <c r="B843" s="69">
        <v>45222</v>
      </c>
      <c r="C843" s="74">
        <v>0.4201388888888889</v>
      </c>
      <c r="D843" s="67" t="s">
        <v>3539</v>
      </c>
      <c r="E843" s="68" t="s">
        <v>3540</v>
      </c>
      <c r="F843" s="67">
        <v>2</v>
      </c>
      <c r="G843" s="67" t="s">
        <v>1440</v>
      </c>
      <c r="H843" s="69">
        <v>45236</v>
      </c>
      <c r="I843" s="69" t="s">
        <v>73</v>
      </c>
      <c r="J843" s="69" t="s">
        <v>31</v>
      </c>
      <c r="K843" s="67">
        <f>IFERROR(VLOOKUP(J843,Jueces!$A$1:$B$11,2,FALSE),"")</f>
        <v>2</v>
      </c>
      <c r="L843" s="67" t="s">
        <v>1700</v>
      </c>
      <c r="M843" s="377" t="s">
        <v>2140</v>
      </c>
      <c r="N843" s="67" t="s">
        <v>3882</v>
      </c>
      <c r="O843" s="83" t="str">
        <f t="shared" ca="1" si="48"/>
        <v>SI</v>
      </c>
      <c r="P843" s="83" t="str">
        <f t="shared" si="50"/>
        <v>DIANOSOL</v>
      </c>
      <c r="Q843" s="67" t="s">
        <v>899</v>
      </c>
      <c r="R843" s="67" t="str">
        <f>VLOOKUP($Q843,Resultados!$A$1:$B$49,2,FALSE)</f>
        <v>Libertad</v>
      </c>
      <c r="S843" s="67" t="s">
        <v>2678</v>
      </c>
      <c r="T843" s="86" t="str">
        <f t="shared" si="49"/>
        <v>SI</v>
      </c>
      <c r="U843" s="86"/>
      <c r="V843" s="83"/>
      <c r="W843" s="67" t="s">
        <v>679</v>
      </c>
      <c r="X843" s="67" t="s">
        <v>3883</v>
      </c>
      <c r="Y843" s="67"/>
      <c r="Z843" s="67"/>
      <c r="AA843" s="123" t="s">
        <v>2849</v>
      </c>
      <c r="AB843" s="123" t="s">
        <v>1176</v>
      </c>
      <c r="AC843" s="375"/>
    </row>
    <row r="844" spans="1:29" ht="39.950000000000003" customHeight="1">
      <c r="A844" s="67">
        <v>867</v>
      </c>
      <c r="B844" s="69">
        <v>45222</v>
      </c>
      <c r="C844" s="74">
        <v>0.40763888888888888</v>
      </c>
      <c r="D844" s="67" t="s">
        <v>3575</v>
      </c>
      <c r="E844" s="68" t="s">
        <v>3698</v>
      </c>
      <c r="F844" s="67">
        <v>2</v>
      </c>
      <c r="G844" s="67" t="s">
        <v>2785</v>
      </c>
      <c r="H844" s="69">
        <v>45236</v>
      </c>
      <c r="I844" s="69" t="s">
        <v>73</v>
      </c>
      <c r="J844" s="69" t="s">
        <v>35</v>
      </c>
      <c r="K844" s="67">
        <f>IFERROR(VLOOKUP(J844,Jueces!$A$1:$B$11,2,FALSE),"")</f>
        <v>3</v>
      </c>
      <c r="L844" s="67" t="s">
        <v>791</v>
      </c>
      <c r="M844" s="67" t="s">
        <v>3879</v>
      </c>
      <c r="N844" s="67" t="s">
        <v>3881</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3880</v>
      </c>
      <c r="Y844" s="67"/>
      <c r="Z844" s="67"/>
      <c r="AA844" s="123" t="s">
        <v>1170</v>
      </c>
      <c r="AB844" s="123" t="s">
        <v>1173</v>
      </c>
      <c r="AC844" s="375"/>
    </row>
    <row r="845" spans="1:29" ht="39.950000000000003" customHeight="1">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3873</v>
      </c>
      <c r="Y845" s="67"/>
      <c r="Z845" s="67"/>
      <c r="AA845" s="123" t="s">
        <v>3417</v>
      </c>
      <c r="AB845" s="123" t="s">
        <v>3296</v>
      </c>
      <c r="AC845" s="375" t="s">
        <v>1799</v>
      </c>
    </row>
    <row r="846" spans="1:29" ht="39.950000000000003" customHeight="1">
      <c r="A846" s="67">
        <v>875</v>
      </c>
      <c r="B846" s="69">
        <v>45224</v>
      </c>
      <c r="C846" s="74">
        <v>0.49444444444444446</v>
      </c>
      <c r="D846" s="67" t="s">
        <v>3597</v>
      </c>
      <c r="E846" s="68" t="s">
        <v>3598</v>
      </c>
      <c r="F846" s="67">
        <v>2</v>
      </c>
      <c r="G846" s="67" t="s">
        <v>283</v>
      </c>
      <c r="H846" s="69">
        <v>45236</v>
      </c>
      <c r="I846" s="69" t="s">
        <v>1086</v>
      </c>
      <c r="J846" s="69" t="s">
        <v>1220</v>
      </c>
      <c r="K846" s="67" t="s">
        <v>1924</v>
      </c>
      <c r="L846" s="67" t="s">
        <v>2734</v>
      </c>
      <c r="M846" s="7" t="s">
        <v>2002</v>
      </c>
      <c r="N846" s="67" t="s">
        <v>3869</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3870</v>
      </c>
      <c r="Y846" s="67"/>
      <c r="Z846" s="67"/>
      <c r="AA846" s="123" t="s">
        <v>2892</v>
      </c>
      <c r="AB846" s="123" t="s">
        <v>1174</v>
      </c>
      <c r="AC846" s="375"/>
    </row>
    <row r="847" spans="1:29" ht="39.950000000000003" customHeight="1">
      <c r="A847" s="67">
        <v>877</v>
      </c>
      <c r="B847" s="69">
        <v>45224</v>
      </c>
      <c r="C847" s="74">
        <v>0.55138888888888882</v>
      </c>
      <c r="D847" s="67" t="s">
        <v>3607</v>
      </c>
      <c r="E847" s="68" t="s">
        <v>3609</v>
      </c>
      <c r="F847" s="67">
        <v>6</v>
      </c>
      <c r="G847" s="67" t="s">
        <v>1441</v>
      </c>
      <c r="H847" s="69">
        <v>45236</v>
      </c>
      <c r="I847" s="69" t="s">
        <v>1086</v>
      </c>
      <c r="J847" s="69" t="s">
        <v>1224</v>
      </c>
      <c r="K847" s="67">
        <f>IFERROR(VLOOKUP(J847,Jueces!$A$1:$B$11,2,FALSE),"")</f>
        <v>6</v>
      </c>
      <c r="L847" s="67" t="s">
        <v>2086</v>
      </c>
      <c r="M847" s="155" t="s">
        <v>3608</v>
      </c>
      <c r="N847" s="67" t="s">
        <v>3871</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3872</v>
      </c>
      <c r="Y847" s="67"/>
      <c r="Z847" s="67"/>
      <c r="AA847" s="123" t="s">
        <v>3417</v>
      </c>
      <c r="AB847" s="123" t="s">
        <v>1172</v>
      </c>
      <c r="AC847" s="375"/>
    </row>
    <row r="848" spans="1:29" ht="39.950000000000003" customHeight="1">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3874</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3875</v>
      </c>
      <c r="Y848" s="67"/>
      <c r="Z848" s="67"/>
      <c r="AA848" s="123" t="s">
        <v>3418</v>
      </c>
      <c r="AB848" s="123" t="s">
        <v>3360</v>
      </c>
      <c r="AC848" s="375"/>
    </row>
    <row r="849" spans="1:29" ht="39.950000000000003" customHeight="1">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c r="A850" s="67">
        <v>863</v>
      </c>
      <c r="B850" s="69">
        <v>45222</v>
      </c>
      <c r="C850" s="74">
        <v>0.42222222222222222</v>
      </c>
      <c r="D850" s="67" t="s">
        <v>3548</v>
      </c>
      <c r="E850" s="68" t="s">
        <v>3549</v>
      </c>
      <c r="F850" s="67">
        <v>2</v>
      </c>
      <c r="G850" s="67" t="s">
        <v>1441</v>
      </c>
      <c r="H850" s="69">
        <v>45237</v>
      </c>
      <c r="I850" s="69" t="s">
        <v>73</v>
      </c>
      <c r="J850" s="69" t="s">
        <v>31</v>
      </c>
      <c r="K850" s="67">
        <f>IFERROR(VLOOKUP(J850,Jueces!$A$1:$B$11,2,FALSE),"")</f>
        <v>2</v>
      </c>
      <c r="L850" s="67" t="s">
        <v>800</v>
      </c>
      <c r="M850" s="67" t="s">
        <v>693</v>
      </c>
      <c r="N850" s="67" t="s">
        <v>3922</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3923</v>
      </c>
      <c r="Y850" s="123" t="s">
        <v>748</v>
      </c>
      <c r="Z850" s="123" t="s">
        <v>1173</v>
      </c>
      <c r="AA850" s="123" t="s">
        <v>2892</v>
      </c>
      <c r="AB850" s="67"/>
      <c r="AC850" s="375"/>
    </row>
    <row r="851" spans="1:29" ht="39.950000000000003" customHeight="1">
      <c r="A851" s="67">
        <v>871</v>
      </c>
      <c r="B851" s="69">
        <v>45224</v>
      </c>
      <c r="C851" s="74">
        <v>0.34861111111111115</v>
      </c>
      <c r="D851" s="67" t="s">
        <v>3589</v>
      </c>
      <c r="E851" s="68" t="s">
        <v>3590</v>
      </c>
      <c r="F851" s="67">
        <v>2</v>
      </c>
      <c r="G851" s="67" t="s">
        <v>3361</v>
      </c>
      <c r="H851" s="69">
        <v>45237</v>
      </c>
      <c r="I851" s="69" t="s">
        <v>73</v>
      </c>
      <c r="J851" s="69" t="s">
        <v>35</v>
      </c>
      <c r="K851" s="67">
        <f>IFERROR(VLOOKUP(J851,Jueces!$A$1:$B$11,2,FALSE),"")</f>
        <v>3</v>
      </c>
      <c r="L851" s="67" t="s">
        <v>1700</v>
      </c>
      <c r="M851" s="380" t="s">
        <v>697</v>
      </c>
      <c r="N851" s="67" t="s">
        <v>3924</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3925</v>
      </c>
      <c r="Y851" s="123" t="s">
        <v>1041</v>
      </c>
      <c r="Z851" s="123" t="s">
        <v>3296</v>
      </c>
      <c r="AA851" s="123" t="s">
        <v>2849</v>
      </c>
      <c r="AB851" s="67"/>
      <c r="AC851" s="375"/>
    </row>
    <row r="852" spans="1:29" ht="39.950000000000003" customHeight="1">
      <c r="A852" s="67">
        <v>873</v>
      </c>
      <c r="B852" s="69">
        <v>45224</v>
      </c>
      <c r="C852" s="74">
        <v>0.43194444444444446</v>
      </c>
      <c r="D852" s="67" t="s">
        <v>3595</v>
      </c>
      <c r="E852" s="68" t="s">
        <v>3631</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SI</v>
      </c>
      <c r="U852" s="86"/>
      <c r="V852" s="83"/>
      <c r="W852" s="67" t="s">
        <v>1457</v>
      </c>
      <c r="X852" s="67" t="s">
        <v>3931</v>
      </c>
      <c r="Y852" s="123" t="s">
        <v>770</v>
      </c>
      <c r="Z852" s="123" t="s">
        <v>1172</v>
      </c>
      <c r="AA852" s="123" t="s">
        <v>3683</v>
      </c>
      <c r="AB852" s="67"/>
      <c r="AC852" s="375"/>
    </row>
    <row r="853" spans="1:29" ht="39.950000000000003" customHeight="1">
      <c r="A853" s="67">
        <v>849</v>
      </c>
      <c r="B853" s="69">
        <v>45219</v>
      </c>
      <c r="C853" s="74">
        <v>0.3923611111111111</v>
      </c>
      <c r="D853" s="67" t="s">
        <v>3510</v>
      </c>
      <c r="E853" s="68" t="s">
        <v>3842</v>
      </c>
      <c r="F853" s="67">
        <v>2</v>
      </c>
      <c r="G853" s="67" t="s">
        <v>568</v>
      </c>
      <c r="H853" s="69">
        <v>45237</v>
      </c>
      <c r="I853" s="69" t="s">
        <v>1086</v>
      </c>
      <c r="J853" s="69" t="s">
        <v>1220</v>
      </c>
      <c r="K853" s="67" t="s">
        <v>1924</v>
      </c>
      <c r="L853" s="67" t="s">
        <v>798</v>
      </c>
      <c r="M853" s="67" t="s">
        <v>1289</v>
      </c>
      <c r="N853" s="67" t="s">
        <v>3926</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c r="A854" s="67">
        <v>850</v>
      </c>
      <c r="B854" s="69">
        <v>45219</v>
      </c>
      <c r="C854" s="74">
        <v>0.38819444444444445</v>
      </c>
      <c r="D854" s="67" t="s">
        <v>3512</v>
      </c>
      <c r="E854" s="68" t="s">
        <v>3511</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c r="A855" s="67">
        <v>879</v>
      </c>
      <c r="B855" s="69">
        <v>45222</v>
      </c>
      <c r="C855" s="74">
        <v>0.5229166666666667</v>
      </c>
      <c r="D855" s="67" t="s">
        <v>3612</v>
      </c>
      <c r="E855" s="68" t="s">
        <v>3613</v>
      </c>
      <c r="F855" s="67">
        <v>1</v>
      </c>
      <c r="G855" s="67" t="s">
        <v>2835</v>
      </c>
      <c r="H855" s="69">
        <v>45237</v>
      </c>
      <c r="I855" s="69" t="s">
        <v>1086</v>
      </c>
      <c r="J855" s="69" t="s">
        <v>1219</v>
      </c>
      <c r="K855" s="67">
        <f>IFERROR(VLOOKUP(J855,Jueces!$A$1:$B$11,2,FALSE),"")</f>
        <v>1</v>
      </c>
      <c r="L855" s="67" t="s">
        <v>813</v>
      </c>
      <c r="M855" s="67" t="s">
        <v>712</v>
      </c>
      <c r="N855" s="67" t="s">
        <v>3927</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3561</v>
      </c>
      <c r="X855" s="67" t="s">
        <v>3928</v>
      </c>
      <c r="Y855" s="123" t="s">
        <v>743</v>
      </c>
      <c r="Z855" s="123" t="s">
        <v>1176</v>
      </c>
      <c r="AA855" s="123" t="s">
        <v>3417</v>
      </c>
      <c r="AB855" s="67"/>
      <c r="AC855" s="375"/>
    </row>
    <row r="856" spans="1:29" ht="39.950000000000003" customHeight="1">
      <c r="A856" s="67">
        <v>880</v>
      </c>
      <c r="B856" s="69">
        <v>45225</v>
      </c>
      <c r="C856" s="74">
        <v>0.37708333333333338</v>
      </c>
      <c r="D856" s="67" t="s">
        <v>3614</v>
      </c>
      <c r="E856" s="68" t="s">
        <v>3615</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c r="A857" s="67">
        <v>854</v>
      </c>
      <c r="B857" s="69">
        <v>45217</v>
      </c>
      <c r="C857" s="74">
        <v>0.34930555555555554</v>
      </c>
      <c r="D857" s="67" t="s">
        <v>3531</v>
      </c>
      <c r="E857" s="68" t="s">
        <v>3532</v>
      </c>
      <c r="F857" s="67">
        <v>1</v>
      </c>
      <c r="G857" s="67" t="s">
        <v>1441</v>
      </c>
      <c r="H857" s="69">
        <v>45238</v>
      </c>
      <c r="I857" s="69" t="s">
        <v>73</v>
      </c>
      <c r="J857" s="69" t="s">
        <v>1220</v>
      </c>
      <c r="K857" s="67">
        <v>2</v>
      </c>
      <c r="L857" s="67" t="s">
        <v>2428</v>
      </c>
      <c r="M857" s="67" t="s">
        <v>1289</v>
      </c>
      <c r="N857" s="67" t="s">
        <v>3956</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c r="A858" s="67">
        <v>868</v>
      </c>
      <c r="B858" s="69">
        <v>45222</v>
      </c>
      <c r="C858" s="74">
        <v>0.47916666666666669</v>
      </c>
      <c r="D858" s="67" t="s">
        <v>3565</v>
      </c>
      <c r="E858" s="68" t="s">
        <v>3566</v>
      </c>
      <c r="F858" s="67">
        <v>2</v>
      </c>
      <c r="G858" s="67" t="s">
        <v>2785</v>
      </c>
      <c r="H858" s="69">
        <v>45238</v>
      </c>
      <c r="I858" s="69" t="s">
        <v>73</v>
      </c>
      <c r="J858" s="69" t="s">
        <v>78</v>
      </c>
      <c r="K858" s="67">
        <f>IFERROR(VLOOKUP(J858,Jueces!$A$1:$B$11,2,FALSE),"")</f>
        <v>8</v>
      </c>
      <c r="L858" s="67" t="s">
        <v>806</v>
      </c>
      <c r="M858" s="67" t="s">
        <v>2047</v>
      </c>
      <c r="N858" s="67" t="s">
        <v>3953</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3954</v>
      </c>
      <c r="Y858" s="67"/>
      <c r="Z858" s="339" t="s">
        <v>748</v>
      </c>
      <c r="AA858" s="339" t="s">
        <v>2892</v>
      </c>
      <c r="AB858" s="339" t="s">
        <v>3917</v>
      </c>
      <c r="AC858" s="375"/>
    </row>
    <row r="859" spans="1:29" ht="39.950000000000003" customHeight="1">
      <c r="A859" s="67">
        <v>870</v>
      </c>
      <c r="B859" s="69">
        <v>45223</v>
      </c>
      <c r="C859" s="74">
        <v>0.33333333333333331</v>
      </c>
      <c r="D859" s="67" t="s">
        <v>3576</v>
      </c>
      <c r="E859" s="68" t="s">
        <v>3620</v>
      </c>
      <c r="F859" s="67">
        <v>3</v>
      </c>
      <c r="G859" s="67" t="s">
        <v>1440</v>
      </c>
      <c r="H859" s="69">
        <v>45238</v>
      </c>
      <c r="I859" s="69" t="s">
        <v>73</v>
      </c>
      <c r="J859" s="69" t="s">
        <v>1730</v>
      </c>
      <c r="K859" s="67" t="s">
        <v>1924</v>
      </c>
      <c r="L859" s="67" t="s">
        <v>791</v>
      </c>
      <c r="M859" s="67" t="s">
        <v>694</v>
      </c>
      <c r="N859" s="67" t="s">
        <v>3960</v>
      </c>
      <c r="O859" s="83" t="str">
        <f t="shared" ca="1" si="51"/>
        <v>SI</v>
      </c>
      <c r="P859" s="83" t="str">
        <f t="shared" si="50"/>
        <v>DIANOSOL</v>
      </c>
      <c r="Q859" s="67" t="s">
        <v>905</v>
      </c>
      <c r="R859" s="67" t="str">
        <f>VLOOKUP($Q859,Resultados!$A$1:$B$49,2,FALSE)</f>
        <v>Juicio Abreviado</v>
      </c>
      <c r="S859" s="67" t="s">
        <v>1014</v>
      </c>
      <c r="T859" s="86" t="str">
        <f t="shared" si="52"/>
        <v>SI</v>
      </c>
      <c r="U859" s="86"/>
      <c r="V859" s="83"/>
      <c r="W859" s="67" t="s">
        <v>1128</v>
      </c>
      <c r="X859" s="67"/>
      <c r="Y859" s="67"/>
      <c r="Z859" s="339" t="s">
        <v>770</v>
      </c>
      <c r="AA859" s="339" t="s">
        <v>1170</v>
      </c>
      <c r="AB859" s="339" t="s">
        <v>3360</v>
      </c>
      <c r="AC859" s="375"/>
    </row>
    <row r="860" spans="1:29" ht="39.950000000000003" customHeight="1">
      <c r="A860" s="67">
        <v>904</v>
      </c>
      <c r="B860" s="69"/>
      <c r="C860" s="74">
        <v>0.51250000000000007</v>
      </c>
      <c r="D860" s="67" t="s">
        <v>3673</v>
      </c>
      <c r="E860" s="68" t="s">
        <v>3674</v>
      </c>
      <c r="F860" s="67">
        <v>8</v>
      </c>
      <c r="G860" s="67" t="s">
        <v>2835</v>
      </c>
      <c r="H860" s="69">
        <v>45238</v>
      </c>
      <c r="I860" s="69" t="s">
        <v>73</v>
      </c>
      <c r="J860" s="69" t="s">
        <v>35</v>
      </c>
      <c r="K860" s="67">
        <f>IFERROR(VLOOKUP(J860,Jueces!$A$1:$B$11,2,FALSE),"")</f>
        <v>3</v>
      </c>
      <c r="L860" s="67" t="s">
        <v>798</v>
      </c>
      <c r="M860" s="67" t="s">
        <v>3016</v>
      </c>
      <c r="N860" s="67" t="s">
        <v>3952</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3957</v>
      </c>
      <c r="Y860" s="67"/>
      <c r="Z860" s="339" t="s">
        <v>3933</v>
      </c>
      <c r="AA860" s="339" t="s">
        <v>3417</v>
      </c>
      <c r="AB860" s="339" t="s">
        <v>1176</v>
      </c>
      <c r="AC860" s="375"/>
    </row>
    <row r="861" spans="1:29" ht="39.950000000000003" customHeight="1">
      <c r="A861" s="67">
        <v>923</v>
      </c>
      <c r="B861" s="69">
        <v>45231</v>
      </c>
      <c r="C861" s="74">
        <v>0.4381944444444445</v>
      </c>
      <c r="D861" s="67" t="s">
        <v>3759</v>
      </c>
      <c r="E861" s="68" t="s">
        <v>3760</v>
      </c>
      <c r="F861" s="67">
        <v>3</v>
      </c>
      <c r="G861" s="67" t="s">
        <v>3362</v>
      </c>
      <c r="H861" s="69">
        <v>45238</v>
      </c>
      <c r="I861" s="69" t="s">
        <v>73</v>
      </c>
      <c r="J861" s="69" t="s">
        <v>2948</v>
      </c>
      <c r="K861" s="67">
        <v>1</v>
      </c>
      <c r="L861" s="67" t="s">
        <v>812</v>
      </c>
      <c r="M861" s="67" t="s">
        <v>695</v>
      </c>
      <c r="N861" s="67" t="s">
        <v>3950</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3951</v>
      </c>
      <c r="Y861" s="67"/>
      <c r="Z861" s="339" t="s">
        <v>3407</v>
      </c>
      <c r="AA861" s="339" t="s">
        <v>2849</v>
      </c>
      <c r="AB861" s="339" t="s">
        <v>1173</v>
      </c>
      <c r="AC861" s="375"/>
    </row>
    <row r="862" spans="1:29" ht="39.950000000000003" customHeight="1">
      <c r="A862" s="67">
        <v>872</v>
      </c>
      <c r="B862" s="69">
        <v>45223</v>
      </c>
      <c r="C862" s="74">
        <v>0.49513888888888885</v>
      </c>
      <c r="D862" s="67" t="s">
        <v>3583</v>
      </c>
      <c r="E862" s="68" t="s">
        <v>3628</v>
      </c>
      <c r="F862" s="67">
        <v>3</v>
      </c>
      <c r="G862" s="67" t="s">
        <v>3361</v>
      </c>
      <c r="H862" s="69">
        <v>45238</v>
      </c>
      <c r="I862" s="69" t="s">
        <v>1086</v>
      </c>
      <c r="J862" s="69" t="s">
        <v>78</v>
      </c>
      <c r="K862" s="67">
        <f>IFERROR(VLOOKUP(J862,Jueces!$A$1:$B$11,2,FALSE),"")</f>
        <v>8</v>
      </c>
      <c r="L862" s="67" t="s">
        <v>799</v>
      </c>
      <c r="M862" s="67" t="s">
        <v>694</v>
      </c>
      <c r="N862" s="67" t="s">
        <v>3948</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3949</v>
      </c>
      <c r="Y862" s="67"/>
      <c r="Z862" s="339" t="s">
        <v>748</v>
      </c>
      <c r="AA862" s="339" t="s">
        <v>3417</v>
      </c>
      <c r="AB862" s="339" t="s">
        <v>3296</v>
      </c>
      <c r="AC862" s="375"/>
    </row>
    <row r="863" spans="1:29" ht="39.950000000000003" customHeight="1">
      <c r="A863" s="67">
        <v>884</v>
      </c>
      <c r="B863" s="69">
        <v>45225</v>
      </c>
      <c r="C863" s="74">
        <v>0.40486111111111112</v>
      </c>
      <c r="D863" s="67" t="s">
        <v>3624</v>
      </c>
      <c r="E863" s="68" t="s">
        <v>3625</v>
      </c>
      <c r="F863" s="67">
        <v>3</v>
      </c>
      <c r="G863" s="67" t="s">
        <v>1442</v>
      </c>
      <c r="H863" s="69">
        <v>45238</v>
      </c>
      <c r="I863" s="69" t="s">
        <v>1086</v>
      </c>
      <c r="J863" s="69" t="s">
        <v>1224</v>
      </c>
      <c r="K863" s="67">
        <f>IFERROR(VLOOKUP(J863,Jueces!$A$1:$B$11,2,FALSE),"")</f>
        <v>6</v>
      </c>
      <c r="L863" s="67" t="s">
        <v>3958</v>
      </c>
      <c r="M863" s="7" t="s">
        <v>695</v>
      </c>
      <c r="N863" s="67" t="s">
        <v>3959</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3917</v>
      </c>
      <c r="AC863" s="375"/>
    </row>
    <row r="864" spans="1:29" ht="39.950000000000003" customHeight="1">
      <c r="A864" s="67">
        <v>886</v>
      </c>
      <c r="B864" s="69">
        <v>45223</v>
      </c>
      <c r="C864" s="74">
        <v>0.52847222222222223</v>
      </c>
      <c r="D864" s="67" t="s">
        <v>3629</v>
      </c>
      <c r="E864" s="68" t="s">
        <v>3898</v>
      </c>
      <c r="F864" s="67">
        <v>3</v>
      </c>
      <c r="G864" s="67" t="s">
        <v>283</v>
      </c>
      <c r="H864" s="69">
        <v>45238</v>
      </c>
      <c r="I864" s="69" t="s">
        <v>1209</v>
      </c>
      <c r="J864" s="69" t="s">
        <v>1220</v>
      </c>
      <c r="K864" s="67">
        <v>8</v>
      </c>
      <c r="L864" s="67" t="s">
        <v>789</v>
      </c>
      <c r="M864" s="67" t="s">
        <v>694</v>
      </c>
      <c r="N864" s="67" t="s">
        <v>3947</v>
      </c>
      <c r="O864" s="83" t="str">
        <f t="shared" ca="1" si="51"/>
        <v>SI</v>
      </c>
      <c r="P864" s="83" t="str">
        <f t="shared" si="50"/>
        <v>DIANOSOL</v>
      </c>
      <c r="Q864" s="67" t="s">
        <v>905</v>
      </c>
      <c r="R864" s="67" t="str">
        <f>VLOOKUP($Q864,Resultados!$A$1:$B$49,2,FALSE)</f>
        <v>Juicio Abreviado</v>
      </c>
      <c r="S864" s="67" t="s">
        <v>3579</v>
      </c>
      <c r="T864" s="86" t="str">
        <f t="shared" si="52"/>
        <v>NO</v>
      </c>
      <c r="U864" s="86"/>
      <c r="V864" s="83"/>
      <c r="W864" s="67" t="s">
        <v>1694</v>
      </c>
      <c r="X864" s="229" t="s">
        <v>3955</v>
      </c>
      <c r="Y864" s="67"/>
      <c r="Z864" s="339" t="s">
        <v>748</v>
      </c>
      <c r="AA864" s="339" t="s">
        <v>1170</v>
      </c>
      <c r="AB864" s="339" t="s">
        <v>3360</v>
      </c>
      <c r="AC864" s="375"/>
    </row>
    <row r="865" spans="1:29" ht="39.950000000000003" customHeight="1">
      <c r="A865" s="67">
        <v>919</v>
      </c>
      <c r="B865" s="69">
        <v>45231</v>
      </c>
      <c r="C865" s="74">
        <v>0.40972222222222227</v>
      </c>
      <c r="D865" s="67" t="s">
        <v>3754</v>
      </c>
      <c r="E865" s="68" t="s">
        <v>3908</v>
      </c>
      <c r="F865" s="67">
        <v>3</v>
      </c>
      <c r="G865" s="67" t="s">
        <v>2835</v>
      </c>
      <c r="H865" s="69">
        <v>45238</v>
      </c>
      <c r="I865" s="69" t="s">
        <v>547</v>
      </c>
      <c r="J865" s="69" t="s">
        <v>78</v>
      </c>
      <c r="K865" s="67">
        <v>8</v>
      </c>
      <c r="L865" s="67" t="s">
        <v>791</v>
      </c>
      <c r="M865" s="67" t="s">
        <v>694</v>
      </c>
      <c r="N865" s="67" t="s">
        <v>3946</v>
      </c>
      <c r="O865" s="214" t="str">
        <f t="shared" ca="1" si="51"/>
        <v>SI</v>
      </c>
      <c r="P865" s="214" t="str">
        <f t="shared" si="50"/>
        <v>DIANOSOL</v>
      </c>
      <c r="Q865" s="67" t="s">
        <v>905</v>
      </c>
      <c r="R865" s="67" t="str">
        <f>VLOOKUP($Q865,Resultados!$A$1:$B$49,2,FALSE)</f>
        <v>Juicio Abreviado</v>
      </c>
      <c r="S865" s="67" t="s">
        <v>3605</v>
      </c>
      <c r="T865" s="281" t="str">
        <f t="shared" si="52"/>
        <v>NO</v>
      </c>
      <c r="U865" s="281"/>
      <c r="V865" s="214"/>
      <c r="W865" s="67" t="s">
        <v>3478</v>
      </c>
      <c r="X865" s="229" t="s">
        <v>3945</v>
      </c>
      <c r="Y865" s="67"/>
      <c r="Z865" s="339" t="s">
        <v>748</v>
      </c>
      <c r="AA865" s="339" t="s">
        <v>2849</v>
      </c>
      <c r="AB865" s="339" t="s">
        <v>1176</v>
      </c>
      <c r="AC865" s="375"/>
    </row>
    <row r="866" spans="1:29" ht="39.950000000000003" customHeight="1">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3986</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c r="A867" s="67">
        <v>857</v>
      </c>
      <c r="B867" s="69">
        <v>45222</v>
      </c>
      <c r="C867" s="74">
        <v>0.39166666666666666</v>
      </c>
      <c r="D867" s="67" t="s">
        <v>3537</v>
      </c>
      <c r="E867" s="68" t="s">
        <v>3538</v>
      </c>
      <c r="F867" s="67">
        <v>2</v>
      </c>
      <c r="G867" s="67" t="s">
        <v>283</v>
      </c>
      <c r="H867" s="69">
        <v>45239</v>
      </c>
      <c r="I867" s="69" t="s">
        <v>73</v>
      </c>
      <c r="J867" s="69" t="s">
        <v>1730</v>
      </c>
      <c r="K867" s="67">
        <v>2</v>
      </c>
      <c r="L867" s="67" t="s">
        <v>688</v>
      </c>
      <c r="M867" s="67" t="s">
        <v>3773</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3981</v>
      </c>
      <c r="Y867" s="67"/>
      <c r="Z867" s="123" t="s">
        <v>743</v>
      </c>
      <c r="AA867" s="123" t="s">
        <v>2849</v>
      </c>
      <c r="AB867" s="67" t="s">
        <v>3296</v>
      </c>
      <c r="AC867" s="375"/>
    </row>
    <row r="868" spans="1:29" ht="39.950000000000003" customHeight="1">
      <c r="A868" s="67">
        <v>870</v>
      </c>
      <c r="B868" s="69">
        <v>45224</v>
      </c>
      <c r="C868" s="74">
        <v>0.33333333333333331</v>
      </c>
      <c r="D868" s="67" t="s">
        <v>3588</v>
      </c>
      <c r="E868" s="68" t="s">
        <v>3623</v>
      </c>
      <c r="F868" s="67">
        <v>3</v>
      </c>
      <c r="G868" s="67" t="s">
        <v>3361</v>
      </c>
      <c r="H868" s="69">
        <v>45239</v>
      </c>
      <c r="I868" s="69" t="s">
        <v>73</v>
      </c>
      <c r="J868" s="69" t="s">
        <v>2951</v>
      </c>
      <c r="K868" s="67">
        <v>5</v>
      </c>
      <c r="L868" s="67" t="s">
        <v>813</v>
      </c>
      <c r="M868" s="67" t="s">
        <v>694</v>
      </c>
      <c r="N868" s="67" t="s">
        <v>3983</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3984</v>
      </c>
      <c r="Y868" s="67"/>
      <c r="Z868" s="123" t="s">
        <v>748</v>
      </c>
      <c r="AA868" s="123" t="s">
        <v>3417</v>
      </c>
      <c r="AB868" s="67" t="s">
        <v>3917</v>
      </c>
      <c r="AC868" s="375"/>
    </row>
    <row r="869" spans="1:29" ht="39.950000000000003" customHeight="1">
      <c r="A869" s="67">
        <v>896</v>
      </c>
      <c r="B869" s="69">
        <v>45226</v>
      </c>
      <c r="C869" s="74">
        <v>0.39444444444444443</v>
      </c>
      <c r="D869" s="67" t="s">
        <v>3652</v>
      </c>
      <c r="E869" s="68" t="s">
        <v>3653</v>
      </c>
      <c r="F869" s="67">
        <v>1</v>
      </c>
      <c r="G869" s="67" t="s">
        <v>2785</v>
      </c>
      <c r="H869" s="69">
        <v>45239</v>
      </c>
      <c r="I869" s="69" t="s">
        <v>73</v>
      </c>
      <c r="J869" s="69" t="s">
        <v>35</v>
      </c>
      <c r="K869" s="67">
        <f>IFERROR(VLOOKUP(J869,Jueces!$A$1:$B$11,2,FALSE),"")</f>
        <v>3</v>
      </c>
      <c r="L869" s="67" t="s">
        <v>814</v>
      </c>
      <c r="M869" s="67" t="s">
        <v>2054</v>
      </c>
      <c r="N869" s="67" t="s">
        <v>3985</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3933</v>
      </c>
      <c r="AA869" s="123" t="s">
        <v>3418</v>
      </c>
      <c r="AB869" s="67" t="s">
        <v>1176</v>
      </c>
      <c r="AC869" s="375"/>
    </row>
    <row r="870" spans="1:29" ht="39.950000000000003" customHeight="1">
      <c r="A870" s="67">
        <v>912</v>
      </c>
      <c r="B870" s="69">
        <v>45230</v>
      </c>
      <c r="C870" s="74">
        <v>0.53472222222222221</v>
      </c>
      <c r="D870" s="67" t="s">
        <v>3380</v>
      </c>
      <c r="E870" s="68" t="s">
        <v>3735</v>
      </c>
      <c r="F870" s="67">
        <v>1</v>
      </c>
      <c r="G870" s="67" t="s">
        <v>43</v>
      </c>
      <c r="H870" s="69">
        <v>45239</v>
      </c>
      <c r="I870" s="69" t="s">
        <v>73</v>
      </c>
      <c r="J870" s="69" t="s">
        <v>2948</v>
      </c>
      <c r="K870" s="67" t="s">
        <v>3915</v>
      </c>
      <c r="L870" s="67" t="s">
        <v>582</v>
      </c>
      <c r="M870" s="365" t="s">
        <v>3806</v>
      </c>
      <c r="N870" s="213" t="s">
        <v>3982</v>
      </c>
      <c r="O870" s="83" t="str">
        <f t="shared" ca="1" si="51"/>
        <v>SI</v>
      </c>
      <c r="P870" s="83" t="str">
        <f t="shared" si="50"/>
        <v>DIANOSOL</v>
      </c>
      <c r="Q870" s="67" t="s">
        <v>904</v>
      </c>
      <c r="R870" s="67" t="str">
        <f>VLOOKUP($Q870,Resultados!$A$1:$B$49,2,FALSE)</f>
        <v>Juicio Abreviado</v>
      </c>
      <c r="S870" s="67" t="s">
        <v>1186</v>
      </c>
      <c r="T870" s="86" t="str">
        <f t="shared" si="52"/>
        <v>NO</v>
      </c>
      <c r="U870" s="86"/>
      <c r="V870" s="83"/>
      <c r="W870" s="67" t="s">
        <v>1390</v>
      </c>
      <c r="X870" s="67" t="s">
        <v>2568</v>
      </c>
      <c r="Y870" s="67"/>
      <c r="Z870" s="123" t="s">
        <v>3407</v>
      </c>
      <c r="AA870" s="67"/>
      <c r="AB870" s="67" t="s">
        <v>3360</v>
      </c>
      <c r="AC870" s="375"/>
    </row>
    <row r="871" spans="1:29" ht="39.950000000000003" customHeight="1">
      <c r="A871" s="67">
        <v>869</v>
      </c>
      <c r="B871" s="69">
        <v>45224</v>
      </c>
      <c r="C871" s="74">
        <v>0.34027777777777773</v>
      </c>
      <c r="D871" s="67" t="s">
        <v>3587</v>
      </c>
      <c r="E871" s="68" t="s">
        <v>3622</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c r="A872" s="67">
        <v>902</v>
      </c>
      <c r="B872" s="69">
        <v>45226</v>
      </c>
      <c r="C872" s="74">
        <v>0.50486111111111109</v>
      </c>
      <c r="D872" s="67" t="s">
        <v>3660</v>
      </c>
      <c r="E872" s="68" t="s">
        <v>3661</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c r="A873" s="67">
        <v>832</v>
      </c>
      <c r="B873" s="69"/>
      <c r="C873" s="74">
        <v>0.41805555555555557</v>
      </c>
      <c r="D873" s="67" t="s">
        <v>3530</v>
      </c>
      <c r="E873" s="68" t="s">
        <v>3466</v>
      </c>
      <c r="F873" s="67">
        <v>2</v>
      </c>
      <c r="G873" s="67" t="s">
        <v>1442</v>
      </c>
      <c r="H873" s="69">
        <v>45240</v>
      </c>
      <c r="I873" s="69" t="s">
        <v>73</v>
      </c>
      <c r="J873" s="69" t="s">
        <v>78</v>
      </c>
      <c r="K873" s="67">
        <f>IFERROR(VLOOKUP(J873,Jueces!$A$1:$B$11,2,FALSE),"")</f>
        <v>8</v>
      </c>
      <c r="L873" s="67" t="s">
        <v>2092</v>
      </c>
      <c r="M873" s="67" t="s">
        <v>692</v>
      </c>
      <c r="N873" s="67" t="s">
        <v>4045</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4046</v>
      </c>
      <c r="Y873" s="67"/>
      <c r="Z873" s="123" t="s">
        <v>748</v>
      </c>
      <c r="AA873" s="123" t="s">
        <v>1170</v>
      </c>
      <c r="AB873" s="67" t="s">
        <v>1174</v>
      </c>
      <c r="AC873" s="375"/>
    </row>
    <row r="874" spans="1:29" ht="39.950000000000003" customHeight="1">
      <c r="A874" s="67">
        <v>866</v>
      </c>
      <c r="B874" s="69">
        <v>45222</v>
      </c>
      <c r="C874" s="74">
        <v>0.53680555555555554</v>
      </c>
      <c r="D874" s="67" t="s">
        <v>3574</v>
      </c>
      <c r="E874" s="68" t="s">
        <v>3637</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4047</v>
      </c>
      <c r="Y874" s="67"/>
      <c r="Z874" s="123" t="s">
        <v>3933</v>
      </c>
      <c r="AA874" s="123" t="s">
        <v>2849</v>
      </c>
      <c r="AB874" s="67" t="s">
        <v>3360</v>
      </c>
      <c r="AC874" s="375"/>
    </row>
    <row r="875" spans="1:29" ht="39.950000000000003" customHeight="1">
      <c r="A875" s="67">
        <v>890</v>
      </c>
      <c r="B875" s="69">
        <v>45225</v>
      </c>
      <c r="C875" s="74">
        <v>0.47569444444444442</v>
      </c>
      <c r="D875" s="67" t="s">
        <v>3638</v>
      </c>
      <c r="E875" s="68" t="s">
        <v>3639</v>
      </c>
      <c r="F875" s="67">
        <v>3</v>
      </c>
      <c r="G875" s="67" t="s">
        <v>1440</v>
      </c>
      <c r="H875" s="69">
        <v>45240</v>
      </c>
      <c r="I875" s="69" t="s">
        <v>73</v>
      </c>
      <c r="J875" s="69" t="s">
        <v>2951</v>
      </c>
      <c r="K875" s="67" t="s">
        <v>1345</v>
      </c>
      <c r="L875" s="67" t="s">
        <v>812</v>
      </c>
      <c r="M875" s="67" t="s">
        <v>694</v>
      </c>
      <c r="N875" s="67" t="s">
        <v>4048</v>
      </c>
      <c r="O875" s="67" t="str">
        <f t="shared" ca="1" si="51"/>
        <v>SI</v>
      </c>
      <c r="P875" s="67" t="str">
        <f t="shared" si="50"/>
        <v>DIANOSOL</v>
      </c>
      <c r="Q875" s="67" t="s">
        <v>904</v>
      </c>
      <c r="R875" s="67" t="str">
        <f>VLOOKUP($Q875,Resultados!$A$1:$B$49,2,FALSE)</f>
        <v>Juicio Abreviado</v>
      </c>
      <c r="S875" s="67" t="s">
        <v>686</v>
      </c>
      <c r="T875" s="77" t="str">
        <f t="shared" si="52"/>
        <v>SI</v>
      </c>
      <c r="U875" s="77"/>
      <c r="V875" s="67"/>
      <c r="W875" s="67" t="s">
        <v>1065</v>
      </c>
      <c r="X875" s="67" t="s">
        <v>2568</v>
      </c>
      <c r="Y875" s="67"/>
      <c r="Z875" s="123" t="s">
        <v>4049</v>
      </c>
      <c r="AA875" s="123" t="s">
        <v>3417</v>
      </c>
      <c r="AB875" s="67" t="s">
        <v>1173</v>
      </c>
      <c r="AC875" s="375"/>
    </row>
    <row r="876" spans="1:29" ht="39.950000000000003" customHeight="1">
      <c r="A876" s="67">
        <v>885</v>
      </c>
      <c r="B876" s="69">
        <v>45225</v>
      </c>
      <c r="C876" s="74">
        <v>0.40902777777777777</v>
      </c>
      <c r="D876" s="67" t="s">
        <v>3626</v>
      </c>
      <c r="E876" s="68" t="s">
        <v>3627</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c r="A877" s="67">
        <v>907</v>
      </c>
      <c r="B877" s="69">
        <v>45230</v>
      </c>
      <c r="C877" s="74">
        <v>0.33333333333333331</v>
      </c>
      <c r="D877" s="67" t="s">
        <v>3713</v>
      </c>
      <c r="E877" s="68" t="s">
        <v>3714</v>
      </c>
      <c r="F877" s="67">
        <v>1</v>
      </c>
      <c r="G877" s="67" t="s">
        <v>1441</v>
      </c>
      <c r="H877" s="69">
        <v>45240</v>
      </c>
      <c r="I877" s="69" t="s">
        <v>1086</v>
      </c>
      <c r="J877" s="69" t="s">
        <v>1224</v>
      </c>
      <c r="K877" s="67">
        <f>IFERROR(VLOOKUP(J877,Jueces!$A$1:$B$11,2,FALSE),"")</f>
        <v>6</v>
      </c>
      <c r="L877" s="67" t="s">
        <v>1070</v>
      </c>
      <c r="M877" s="67" t="s">
        <v>3741</v>
      </c>
      <c r="N877" s="67" t="s">
        <v>4050</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c r="A878" s="67">
        <v>898</v>
      </c>
      <c r="B878" s="69">
        <v>45225</v>
      </c>
      <c r="C878" s="74">
        <v>0.53472222222222221</v>
      </c>
      <c r="D878" s="67" t="s">
        <v>3654</v>
      </c>
      <c r="E878" s="68" t="s">
        <v>3655</v>
      </c>
      <c r="F878" s="67">
        <v>2</v>
      </c>
      <c r="G878" s="67" t="s">
        <v>3362</v>
      </c>
      <c r="H878" s="69">
        <v>45240</v>
      </c>
      <c r="I878" s="69" t="s">
        <v>228</v>
      </c>
      <c r="J878" s="69" t="s">
        <v>1219</v>
      </c>
      <c r="K878" s="67">
        <v>5</v>
      </c>
      <c r="L878" s="67" t="s">
        <v>508</v>
      </c>
      <c r="M878" s="67" t="s">
        <v>3672</v>
      </c>
      <c r="N878" s="67" t="s">
        <v>2566</v>
      </c>
      <c r="O878" s="83" t="str">
        <f t="shared" ca="1" si="51"/>
        <v>SI</v>
      </c>
      <c r="P878" s="83" t="str">
        <f t="shared" si="50"/>
        <v>DIANOSOL</v>
      </c>
      <c r="Q878" s="67" t="s">
        <v>899</v>
      </c>
      <c r="R878" s="67" t="str">
        <f>VLOOKUP($Q878,Resultados!$A$1:$B$49,2,FALSE)</f>
        <v>Libertad</v>
      </c>
      <c r="S878" s="67" t="s">
        <v>4051</v>
      </c>
      <c r="T878" s="86" t="str">
        <f t="shared" si="52"/>
        <v>NO</v>
      </c>
      <c r="U878" s="86"/>
      <c r="V878" s="83"/>
      <c r="W878" s="67" t="s">
        <v>4052</v>
      </c>
      <c r="X878" s="67"/>
      <c r="Y878" s="67"/>
      <c r="Z878" s="123" t="s">
        <v>748</v>
      </c>
      <c r="AA878" s="123" t="s">
        <v>2849</v>
      </c>
      <c r="AB878" s="67" t="s">
        <v>3360</v>
      </c>
      <c r="AC878" s="375"/>
    </row>
    <row r="879" spans="1:29" ht="39.950000000000003" customHeight="1">
      <c r="A879" s="67">
        <v>914</v>
      </c>
      <c r="B879" s="69">
        <v>45229</v>
      </c>
      <c r="C879" s="74">
        <v>0.34027777777777773</v>
      </c>
      <c r="D879" s="67" t="s">
        <v>3736</v>
      </c>
      <c r="E879" s="68" t="s">
        <v>3737</v>
      </c>
      <c r="F879" s="67">
        <v>3</v>
      </c>
      <c r="G879" s="67" t="s">
        <v>2835</v>
      </c>
      <c r="H879" s="69">
        <v>45240</v>
      </c>
      <c r="I879" s="69" t="s">
        <v>228</v>
      </c>
      <c r="J879" s="69" t="s">
        <v>1220</v>
      </c>
      <c r="K879" s="67" t="s">
        <v>3805</v>
      </c>
      <c r="L879" s="67" t="s">
        <v>810</v>
      </c>
      <c r="M879" s="67" t="s">
        <v>1285</v>
      </c>
      <c r="N879" s="67" t="s">
        <v>2475</v>
      </c>
      <c r="O879" s="83" t="str">
        <f t="shared" ca="1" si="51"/>
        <v>SI</v>
      </c>
      <c r="P879" s="83" t="str">
        <f t="shared" si="50"/>
        <v>DIANOSOL</v>
      </c>
      <c r="Q879" s="67" t="s">
        <v>905</v>
      </c>
      <c r="R879" s="67" t="str">
        <f>VLOOKUP($Q879,Resultados!$A$1:$B$49,2,FALSE)</f>
        <v>Juicio Abreviado</v>
      </c>
      <c r="S879" s="67" t="s">
        <v>4053</v>
      </c>
      <c r="T879" s="86" t="str">
        <f t="shared" si="52"/>
        <v>NO</v>
      </c>
      <c r="U879" s="86"/>
      <c r="V879" s="83"/>
      <c r="W879" s="67" t="s">
        <v>1773</v>
      </c>
      <c r="X879" s="67" t="s">
        <v>2568</v>
      </c>
      <c r="Y879" s="67"/>
      <c r="Z879" s="123" t="s">
        <v>3407</v>
      </c>
      <c r="AA879" s="123" t="s">
        <v>1170</v>
      </c>
      <c r="AB879" s="67" t="s">
        <v>1173</v>
      </c>
      <c r="AC879" s="375"/>
    </row>
    <row r="880" spans="1:29" ht="39.950000000000003" customHeight="1">
      <c r="A880" s="67">
        <v>887</v>
      </c>
      <c r="B880" s="69">
        <v>45223</v>
      </c>
      <c r="C880" s="74">
        <v>0.47222222222222227</v>
      </c>
      <c r="D880" s="67" t="s">
        <v>3633</v>
      </c>
      <c r="E880" s="68" t="s">
        <v>3634</v>
      </c>
      <c r="F880" s="67">
        <v>2</v>
      </c>
      <c r="G880" s="67" t="s">
        <v>3834</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4054</v>
      </c>
      <c r="Y880" s="67"/>
      <c r="Z880" s="123" t="s">
        <v>770</v>
      </c>
      <c r="AA880" s="123" t="s">
        <v>2892</v>
      </c>
      <c r="AB880" s="67" t="s">
        <v>3296</v>
      </c>
      <c r="AC880" s="375"/>
    </row>
    <row r="881" spans="1:29" ht="39.950000000000003" customHeight="1">
      <c r="A881" s="67">
        <v>865</v>
      </c>
      <c r="B881" s="69">
        <v>45222</v>
      </c>
      <c r="C881" s="74">
        <v>0.4680555555555555</v>
      </c>
      <c r="D881" s="67" t="s">
        <v>3563</v>
      </c>
      <c r="E881" s="68" t="s">
        <v>3564</v>
      </c>
      <c r="F881" s="67">
        <v>2</v>
      </c>
      <c r="G881" s="67" t="s">
        <v>3361</v>
      </c>
      <c r="H881" s="69">
        <v>45243</v>
      </c>
      <c r="I881" s="69" t="s">
        <v>73</v>
      </c>
      <c r="J881" s="69" t="s">
        <v>2948</v>
      </c>
      <c r="K881" s="67">
        <v>2</v>
      </c>
      <c r="L881" s="67" t="s">
        <v>802</v>
      </c>
      <c r="M881" s="67" t="s">
        <v>693</v>
      </c>
      <c r="N881" s="67" t="s">
        <v>4057</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3553</v>
      </c>
      <c r="X881" s="67" t="s">
        <v>4058</v>
      </c>
      <c r="Y881" s="67"/>
      <c r="Z881" s="67"/>
      <c r="AA881" s="123" t="s">
        <v>2892</v>
      </c>
      <c r="AB881" s="67" t="s">
        <v>1174</v>
      </c>
      <c r="AC881" s="375"/>
    </row>
    <row r="882" spans="1:29" ht="39.950000000000003" customHeight="1">
      <c r="A882" s="67">
        <v>893</v>
      </c>
      <c r="B882" s="69">
        <v>45226</v>
      </c>
      <c r="C882" s="74">
        <v>0.3972222222222222</v>
      </c>
      <c r="D882" s="360" t="s">
        <v>3647</v>
      </c>
      <c r="E882" s="68" t="s">
        <v>3648</v>
      </c>
      <c r="F882" s="67">
        <v>3</v>
      </c>
      <c r="G882" s="67" t="s">
        <v>1441</v>
      </c>
      <c r="H882" s="69">
        <v>45243</v>
      </c>
      <c r="I882" s="69" t="s">
        <v>73</v>
      </c>
      <c r="J882" s="69" t="s">
        <v>35</v>
      </c>
      <c r="K882" s="67">
        <f>IFERROR(VLOOKUP(J882,Jueces!$A$1:$B$11,2,FALSE),"")</f>
        <v>3</v>
      </c>
      <c r="L882" s="67" t="s">
        <v>811</v>
      </c>
      <c r="M882" s="67" t="s">
        <v>694</v>
      </c>
      <c r="N882" s="67" t="s">
        <v>4059</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c r="A883" s="67">
        <v>910</v>
      </c>
      <c r="B883" s="69">
        <v>45230</v>
      </c>
      <c r="C883" s="74">
        <v>0.44513888888888892</v>
      </c>
      <c r="D883" s="67" t="s">
        <v>3723</v>
      </c>
      <c r="E883" s="68" t="s">
        <v>3724</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4061</v>
      </c>
      <c r="Y883" s="67"/>
      <c r="Z883" s="67"/>
      <c r="AA883" s="123" t="s">
        <v>3418</v>
      </c>
      <c r="AB883" s="67" t="s">
        <v>1173</v>
      </c>
      <c r="AC883" s="375"/>
    </row>
    <row r="884" spans="1:29" ht="39.950000000000003" customHeight="1">
      <c r="A884" s="67">
        <v>878</v>
      </c>
      <c r="B884" s="69">
        <v>45225</v>
      </c>
      <c r="C884" s="74">
        <v>0.37291666666666662</v>
      </c>
      <c r="D884" s="67" t="s">
        <v>3611</v>
      </c>
      <c r="E884" s="68" t="s">
        <v>3610</v>
      </c>
      <c r="F884" s="67">
        <v>2</v>
      </c>
      <c r="G884" s="67" t="s">
        <v>2785</v>
      </c>
      <c r="H884" s="69">
        <v>45243</v>
      </c>
      <c r="I884" s="69" t="s">
        <v>1086</v>
      </c>
      <c r="J884" s="69" t="s">
        <v>1220</v>
      </c>
      <c r="K884" s="67">
        <v>5</v>
      </c>
      <c r="L884" s="67" t="s">
        <v>809</v>
      </c>
      <c r="M884" s="67" t="s">
        <v>693</v>
      </c>
      <c r="N884" s="67" t="s">
        <v>4062</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c r="A885" s="67">
        <v>883</v>
      </c>
      <c r="B885" s="69"/>
      <c r="C885" s="74">
        <v>0.34375</v>
      </c>
      <c r="D885" s="67" t="s">
        <v>4027</v>
      </c>
      <c r="E885" s="68" t="s">
        <v>3621</v>
      </c>
      <c r="F885" s="67">
        <v>3</v>
      </c>
      <c r="G885" s="67" t="s">
        <v>283</v>
      </c>
      <c r="H885" s="69">
        <v>45243</v>
      </c>
      <c r="I885" s="69" t="s">
        <v>1086</v>
      </c>
      <c r="J885" s="69" t="s">
        <v>1219</v>
      </c>
      <c r="K885" s="67">
        <f>IFERROR(VLOOKUP(J885,Jueces!$A$1:$B$11,2,FALSE),"")</f>
        <v>1</v>
      </c>
      <c r="L885" s="67" t="s">
        <v>812</v>
      </c>
      <c r="M885" s="67" t="s">
        <v>694</v>
      </c>
      <c r="N885" s="67" t="s">
        <v>4227</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c r="A886" s="67">
        <v>915</v>
      </c>
      <c r="B886" s="69">
        <v>45229</v>
      </c>
      <c r="C886" s="74">
        <v>0.53541666666666665</v>
      </c>
      <c r="D886" s="67" t="s">
        <v>3739</v>
      </c>
      <c r="E886" s="68" t="s">
        <v>3740</v>
      </c>
      <c r="F886" s="67">
        <v>3</v>
      </c>
      <c r="G886" s="67" t="s">
        <v>2835</v>
      </c>
      <c r="H886" s="69">
        <v>45243</v>
      </c>
      <c r="I886" s="69" t="s">
        <v>1086</v>
      </c>
      <c r="J886" s="69" t="s">
        <v>78</v>
      </c>
      <c r="K886" s="67">
        <f>IFERROR(VLOOKUP(J886,Jueces!$A$1:$B$11,2,FALSE),"")</f>
        <v>8</v>
      </c>
      <c r="L886" s="67" t="s">
        <v>2086</v>
      </c>
      <c r="M886" s="67" t="s">
        <v>695</v>
      </c>
      <c r="N886" s="67" t="s">
        <v>4055</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4056</v>
      </c>
      <c r="Y886" s="67"/>
      <c r="Z886" s="67"/>
      <c r="AA886" s="123" t="s">
        <v>2892</v>
      </c>
      <c r="AB886" s="67" t="s">
        <v>1174</v>
      </c>
      <c r="AC886" s="375"/>
    </row>
    <row r="887" spans="1:29" ht="39.950000000000003" customHeight="1">
      <c r="A887" s="67">
        <v>922</v>
      </c>
      <c r="B887" s="69">
        <v>45231</v>
      </c>
      <c r="C887" s="74">
        <v>0.41736111111111113</v>
      </c>
      <c r="D887" s="360" t="s">
        <v>3757</v>
      </c>
      <c r="E887" s="68" t="s">
        <v>3758</v>
      </c>
      <c r="F887" s="67">
        <v>1</v>
      </c>
      <c r="G887" s="67" t="s">
        <v>1440</v>
      </c>
      <c r="H887" s="69">
        <v>45243</v>
      </c>
      <c r="I887" s="69" t="s">
        <v>1086</v>
      </c>
      <c r="J887" s="69" t="s">
        <v>35</v>
      </c>
      <c r="K887" s="67">
        <f>IFERROR(VLOOKUP(J887,Jueces!$A$1:$B$11,2,FALSE),"")</f>
        <v>3</v>
      </c>
      <c r="L887" s="67" t="s">
        <v>807</v>
      </c>
      <c r="M887" s="67" t="s">
        <v>712</v>
      </c>
      <c r="N887" s="67" t="s">
        <v>4060</v>
      </c>
      <c r="O887" s="67" t="str">
        <f t="shared" ca="1" si="51"/>
        <v>SI</v>
      </c>
      <c r="P887" s="67" t="str">
        <f t="shared" si="50"/>
        <v>DIANOSOL</v>
      </c>
      <c r="Q887" s="67" t="s">
        <v>904</v>
      </c>
      <c r="R887" s="67" t="str">
        <f>VLOOKUP($Q887,Resultados!$A$1:$B$49,2,FALSE)</f>
        <v>Juicio Abreviado</v>
      </c>
      <c r="S887" s="67" t="s">
        <v>2955</v>
      </c>
      <c r="T887" s="77" t="str">
        <f t="shared" si="52"/>
        <v>SI</v>
      </c>
      <c r="U887" s="77"/>
      <c r="V887" s="67"/>
      <c r="W887" s="67" t="s">
        <v>3399</v>
      </c>
      <c r="X887" s="67" t="s">
        <v>2568</v>
      </c>
      <c r="Y887" s="67"/>
      <c r="Z887" s="67"/>
      <c r="AA887" s="123" t="s">
        <v>1170</v>
      </c>
      <c r="AB887" s="67" t="s">
        <v>1176</v>
      </c>
      <c r="AC887" s="375" t="s">
        <v>1799</v>
      </c>
    </row>
    <row r="888" spans="1:29" ht="39.950000000000003" customHeight="1">
      <c r="A888" s="67">
        <v>888</v>
      </c>
      <c r="B888" s="69">
        <v>45223</v>
      </c>
      <c r="C888" s="74">
        <v>0.54305555555555551</v>
      </c>
      <c r="D888" s="67" t="s">
        <v>3635</v>
      </c>
      <c r="E888" s="68" t="s">
        <v>3636</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c r="A889" s="67">
        <v>926</v>
      </c>
      <c r="B889" s="69">
        <v>45231</v>
      </c>
      <c r="C889" s="74">
        <v>0.48541666666666666</v>
      </c>
      <c r="D889" s="67" t="s">
        <v>3763</v>
      </c>
      <c r="E889" s="68" t="s">
        <v>3764</v>
      </c>
      <c r="F889" s="67">
        <v>6</v>
      </c>
      <c r="G889" s="67" t="s">
        <v>568</v>
      </c>
      <c r="H889" s="69">
        <v>45244</v>
      </c>
      <c r="I889" s="69" t="s">
        <v>73</v>
      </c>
      <c r="J889" s="69" t="s">
        <v>78</v>
      </c>
      <c r="K889" s="67">
        <f>IFERROR(VLOOKUP(J889,Jueces!$A$1:$B$11,2,FALSE),"")</f>
        <v>8</v>
      </c>
      <c r="L889" s="67" t="s">
        <v>803</v>
      </c>
      <c r="M889" s="380" t="s">
        <v>3786</v>
      </c>
      <c r="N889" s="67" t="s">
        <v>4109</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4110</v>
      </c>
      <c r="Y889" s="67"/>
      <c r="Z889" s="123" t="s">
        <v>748</v>
      </c>
      <c r="AA889" s="123" t="s">
        <v>3418</v>
      </c>
      <c r="AB889" s="123" t="s">
        <v>3296</v>
      </c>
      <c r="AC889" s="375"/>
    </row>
    <row r="890" spans="1:29" ht="39.950000000000003" customHeight="1">
      <c r="A890" s="67">
        <v>927</v>
      </c>
      <c r="B890" s="69"/>
      <c r="C890" s="67"/>
      <c r="D890" s="67" t="s">
        <v>3409</v>
      </c>
      <c r="E890" s="68" t="s">
        <v>3766</v>
      </c>
      <c r="F890" s="67">
        <v>2</v>
      </c>
      <c r="G890" s="67" t="s">
        <v>1441</v>
      </c>
      <c r="H890" s="69">
        <v>45244</v>
      </c>
      <c r="I890" s="69" t="s">
        <v>73</v>
      </c>
      <c r="J890" s="69" t="s">
        <v>35</v>
      </c>
      <c r="K890" s="67">
        <f>IFERROR(VLOOKUP(J890,Jueces!$A$1:$B$11,2,FALSE),"")</f>
        <v>3</v>
      </c>
      <c r="L890" s="67" t="s">
        <v>798</v>
      </c>
      <c r="M890" s="67" t="s">
        <v>711</v>
      </c>
      <c r="N890" s="67" t="s">
        <v>4107</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c r="A891" s="67">
        <v>901</v>
      </c>
      <c r="B891" s="69">
        <v>45226</v>
      </c>
      <c r="C891" s="74">
        <v>0.46319444444444446</v>
      </c>
      <c r="D891" s="67" t="s">
        <v>3658</v>
      </c>
      <c r="E891" s="68" t="s">
        <v>3659</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4106</v>
      </c>
      <c r="Y891" s="67"/>
      <c r="Z891" s="123" t="s">
        <v>1041</v>
      </c>
      <c r="AA891" s="123" t="s">
        <v>2892</v>
      </c>
      <c r="AB891" s="123" t="s">
        <v>3360</v>
      </c>
      <c r="AC891" s="375"/>
    </row>
    <row r="892" spans="1:29" ht="39.950000000000003" customHeight="1">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4108</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c r="A893" s="67">
        <v>881</v>
      </c>
      <c r="B893" s="69">
        <v>45225</v>
      </c>
      <c r="C893" s="74">
        <v>0.38541666666666669</v>
      </c>
      <c r="D893" s="67" t="s">
        <v>3616</v>
      </c>
      <c r="E893" s="68" t="s">
        <v>3617</v>
      </c>
      <c r="F893" s="67">
        <v>3</v>
      </c>
      <c r="G893" s="67" t="s">
        <v>1440</v>
      </c>
      <c r="H893" s="69">
        <v>45244</v>
      </c>
      <c r="I893" s="69" t="s">
        <v>1086</v>
      </c>
      <c r="J893" s="69" t="s">
        <v>1219</v>
      </c>
      <c r="K893" s="67">
        <f>IFERROR(VLOOKUP(J893,Jueces!$A$1:$B$11,2,FALSE),"")</f>
        <v>1</v>
      </c>
      <c r="L893" s="67" t="s">
        <v>791</v>
      </c>
      <c r="M893" s="67" t="s">
        <v>694</v>
      </c>
      <c r="N893" s="67" t="s">
        <v>4115</v>
      </c>
      <c r="O893" s="83" t="str">
        <f t="shared" ca="1" si="51"/>
        <v>SI</v>
      </c>
      <c r="P893" s="83" t="str">
        <f t="shared" si="50"/>
        <v>DIANOSOL</v>
      </c>
      <c r="Q893" s="67" t="s">
        <v>904</v>
      </c>
      <c r="R893" s="67" t="str">
        <f>VLOOKUP($Q893,Resultados!$A$1:$B$49,2,FALSE)</f>
        <v>Juicio Abreviado</v>
      </c>
      <c r="S893" s="67" t="s">
        <v>1608</v>
      </c>
      <c r="T893" s="86" t="str">
        <f t="shared" si="52"/>
        <v>SI</v>
      </c>
      <c r="U893" s="86"/>
      <c r="V893" s="83"/>
      <c r="W893" s="67" t="s">
        <v>3208</v>
      </c>
      <c r="X893" s="67" t="s">
        <v>3192</v>
      </c>
      <c r="Y893" s="67"/>
      <c r="Z893" s="123" t="s">
        <v>770</v>
      </c>
      <c r="AA893" s="123" t="s">
        <v>2849</v>
      </c>
      <c r="AB893" s="123" t="s">
        <v>1173</v>
      </c>
      <c r="AC893" s="375"/>
    </row>
    <row r="894" spans="1:29" ht="39.950000000000003" customHeight="1">
      <c r="A894" s="67">
        <v>924</v>
      </c>
      <c r="B894" s="69">
        <v>45231</v>
      </c>
      <c r="C894" s="74">
        <v>0.46319444444444446</v>
      </c>
      <c r="D894" s="67" t="s">
        <v>3761</v>
      </c>
      <c r="E894" s="68" t="s">
        <v>3784</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4111</v>
      </c>
      <c r="T894" s="86" t="str">
        <f t="shared" si="52"/>
        <v>NO</v>
      </c>
      <c r="U894" s="86"/>
      <c r="V894" s="83"/>
      <c r="W894" s="67" t="s">
        <v>3669</v>
      </c>
      <c r="X894" s="67" t="s">
        <v>3192</v>
      </c>
      <c r="Y894" s="67"/>
      <c r="Z894" s="123" t="s">
        <v>748</v>
      </c>
      <c r="AA894" s="123" t="s">
        <v>1170</v>
      </c>
      <c r="AB894" s="123" t="s">
        <v>1172</v>
      </c>
      <c r="AC894" s="375"/>
    </row>
    <row r="895" spans="1:29" ht="39.950000000000003" customHeight="1">
      <c r="A895" s="375">
        <v>1002</v>
      </c>
      <c r="B895" s="398">
        <v>45240</v>
      </c>
      <c r="C895" s="399">
        <v>0.5131944444444444</v>
      </c>
      <c r="D895" s="360" t="s">
        <v>2579</v>
      </c>
      <c r="E895" s="68" t="s">
        <v>4018</v>
      </c>
      <c r="F895" s="375">
        <v>6</v>
      </c>
      <c r="G895" s="375" t="s">
        <v>29</v>
      </c>
      <c r="H895" s="398">
        <v>45244</v>
      </c>
      <c r="I895" s="69" t="s">
        <v>1086</v>
      </c>
      <c r="J895" s="398" t="s">
        <v>1220</v>
      </c>
      <c r="K895" s="67" t="s">
        <v>4044</v>
      </c>
      <c r="L895" s="67" t="s">
        <v>790</v>
      </c>
      <c r="M895" s="67" t="s">
        <v>2123</v>
      </c>
      <c r="N895" s="67" t="s">
        <v>4112</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4113</v>
      </c>
      <c r="X895" s="67" t="s">
        <v>4114</v>
      </c>
      <c r="Y895" s="375"/>
      <c r="Z895" s="123" t="s">
        <v>743</v>
      </c>
      <c r="AA895" s="123"/>
      <c r="AB895" s="123" t="s">
        <v>3296</v>
      </c>
      <c r="AC895" s="375" t="s">
        <v>1799</v>
      </c>
    </row>
    <row r="896" spans="1:29" ht="63.75">
      <c r="A896" s="7">
        <v>872</v>
      </c>
      <c r="B896" s="19">
        <v>45224</v>
      </c>
      <c r="C896" s="15">
        <v>0.43958333333333338</v>
      </c>
      <c r="D896" s="7" t="s">
        <v>3593</v>
      </c>
      <c r="E896" s="41" t="s">
        <v>3594</v>
      </c>
      <c r="F896" s="7">
        <v>3</v>
      </c>
      <c r="G896" s="7" t="s">
        <v>2835</v>
      </c>
      <c r="H896" s="19">
        <v>45245</v>
      </c>
      <c r="I896" s="19" t="s">
        <v>73</v>
      </c>
      <c r="J896" s="19" t="s">
        <v>31</v>
      </c>
      <c r="K896" s="7">
        <f>IFERROR(VLOOKUP(J896,Jueces!$A$1:$B$11,2,FALSE),"")</f>
        <v>2</v>
      </c>
      <c r="L896" s="7" t="s">
        <v>809</v>
      </c>
      <c r="M896" s="7" t="s">
        <v>694</v>
      </c>
      <c r="N896" s="7" t="s">
        <v>4117</v>
      </c>
      <c r="O896" s="81" t="str">
        <f t="shared" ca="1" si="51"/>
        <v>SI</v>
      </c>
      <c r="P896" s="81" t="str">
        <f t="shared" si="50"/>
        <v>DIANOSOL</v>
      </c>
      <c r="Q896" s="7" t="s">
        <v>904</v>
      </c>
      <c r="R896" s="7" t="str">
        <f>VLOOKUP($Q896,Resultados!$A$1:$B$49,2,FALSE)</f>
        <v>Juicio Abreviado</v>
      </c>
      <c r="S896" s="7" t="s">
        <v>1186</v>
      </c>
      <c r="T896" s="388" t="str">
        <f t="shared" si="52"/>
        <v>NO</v>
      </c>
      <c r="U896" s="388"/>
      <c r="V896" s="81"/>
      <c r="W896" s="7" t="s">
        <v>2254</v>
      </c>
      <c r="X896" s="7" t="s">
        <v>2568</v>
      </c>
      <c r="Y896" s="7"/>
      <c r="Z896" s="7" t="s">
        <v>3407</v>
      </c>
      <c r="AA896" s="284" t="s">
        <v>2849</v>
      </c>
      <c r="AB896" s="7" t="s">
        <v>1174</v>
      </c>
      <c r="AC896" s="363"/>
    </row>
    <row r="897" spans="1:29" ht="39.950000000000003" customHeight="1">
      <c r="A897" s="67">
        <v>906</v>
      </c>
      <c r="B897" s="69">
        <v>45229</v>
      </c>
      <c r="C897" s="74">
        <v>0.46527777777777773</v>
      </c>
      <c r="D897" s="67" t="s">
        <v>3711</v>
      </c>
      <c r="E897" s="68" t="s">
        <v>3712</v>
      </c>
      <c r="F897" s="67">
        <v>7</v>
      </c>
      <c r="G897" s="67" t="s">
        <v>568</v>
      </c>
      <c r="H897" s="69">
        <v>45245</v>
      </c>
      <c r="I897" s="69" t="s">
        <v>73</v>
      </c>
      <c r="J897" s="69" t="s">
        <v>35</v>
      </c>
      <c r="K897" s="67">
        <f>IFERROR(VLOOKUP(J897,Jueces!$A$1:$B$11,2,FALSE),"")</f>
        <v>3</v>
      </c>
      <c r="L897" s="67" t="s">
        <v>582</v>
      </c>
      <c r="M897" s="377" t="s">
        <v>2119</v>
      </c>
      <c r="N897" s="67" t="s">
        <v>4124</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4125</v>
      </c>
      <c r="Y897" s="67"/>
      <c r="Z897" s="67" t="s">
        <v>1042</v>
      </c>
      <c r="AA897" s="67"/>
      <c r="AB897" s="67" t="s">
        <v>3360</v>
      </c>
      <c r="AC897" s="375"/>
    </row>
    <row r="898" spans="1:29" ht="39.950000000000003" customHeight="1">
      <c r="A898" s="67">
        <v>918</v>
      </c>
      <c r="B898" s="69">
        <v>45231</v>
      </c>
      <c r="C898" s="74">
        <v>0.39374999999999999</v>
      </c>
      <c r="D898" s="67" t="s">
        <v>3753</v>
      </c>
      <c r="E898" s="68" t="s">
        <v>3785</v>
      </c>
      <c r="F898" s="67">
        <v>3</v>
      </c>
      <c r="G898" s="67" t="s">
        <v>2785</v>
      </c>
      <c r="H898" s="69">
        <v>45245</v>
      </c>
      <c r="I898" s="69" t="s">
        <v>73</v>
      </c>
      <c r="J898" s="69" t="s">
        <v>78</v>
      </c>
      <c r="K898" s="67">
        <v>8</v>
      </c>
      <c r="L898" s="67" t="s">
        <v>803</v>
      </c>
      <c r="M898" s="67" t="s">
        <v>695</v>
      </c>
      <c r="N898" s="67" t="s">
        <v>4118</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4119</v>
      </c>
      <c r="Y898" s="67"/>
      <c r="Z898" s="67" t="s">
        <v>1041</v>
      </c>
      <c r="AA898" s="123" t="s">
        <v>2892</v>
      </c>
      <c r="AB898" s="67" t="s">
        <v>1176</v>
      </c>
      <c r="AC898" s="375"/>
    </row>
    <row r="899" spans="1:29" ht="39.950000000000003" customHeight="1">
      <c r="A899" s="67">
        <v>921</v>
      </c>
      <c r="B899" s="69">
        <v>45231</v>
      </c>
      <c r="C899" s="74">
        <v>0.41736111111111113</v>
      </c>
      <c r="D899" s="67" t="s">
        <v>3755</v>
      </c>
      <c r="E899" s="68" t="s">
        <v>3756</v>
      </c>
      <c r="F899" s="67">
        <v>3</v>
      </c>
      <c r="G899" s="67" t="s">
        <v>3361</v>
      </c>
      <c r="H899" s="69">
        <v>45245</v>
      </c>
      <c r="I899" s="69" t="s">
        <v>749</v>
      </c>
      <c r="J899" s="69" t="s">
        <v>1224</v>
      </c>
      <c r="K899" s="67">
        <f>IFERROR(VLOOKUP(J899,Jueces!$A$1:$B$11,2,FALSE),"")</f>
        <v>6</v>
      </c>
      <c r="L899" s="67" t="s">
        <v>813</v>
      </c>
      <c r="M899" s="67" t="s">
        <v>3798</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4123</v>
      </c>
      <c r="Y899" s="67"/>
      <c r="Z899" s="67" t="s">
        <v>743</v>
      </c>
      <c r="AA899" s="123" t="s">
        <v>2892</v>
      </c>
      <c r="AB899" s="67" t="s">
        <v>1173</v>
      </c>
      <c r="AC899" s="375"/>
    </row>
    <row r="900" spans="1:29" ht="39.950000000000003" customHeight="1">
      <c r="A900" s="67">
        <v>892</v>
      </c>
      <c r="B900" s="69">
        <v>45225</v>
      </c>
      <c r="C900" s="74">
        <v>0.3444444444444445</v>
      </c>
      <c r="D900" s="67" t="s">
        <v>3783</v>
      </c>
      <c r="E900" s="68" t="s">
        <v>3765</v>
      </c>
      <c r="F900" s="67">
        <v>3</v>
      </c>
      <c r="G900" s="67" t="s">
        <v>1441</v>
      </c>
      <c r="H900" s="69">
        <v>45245</v>
      </c>
      <c r="I900" s="69" t="s">
        <v>1086</v>
      </c>
      <c r="J900" s="69" t="s">
        <v>1219</v>
      </c>
      <c r="K900" s="67">
        <f>IFERROR(VLOOKUP(J900,Jueces!$A$1:$B$11,2,FALSE),"")</f>
        <v>1</v>
      </c>
      <c r="L900" s="67" t="s">
        <v>789</v>
      </c>
      <c r="M900" s="67" t="s">
        <v>4121</v>
      </c>
      <c r="N900" s="67" t="s">
        <v>4122</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4120</v>
      </c>
      <c r="Y900" s="67"/>
      <c r="Z900" s="67" t="s">
        <v>743</v>
      </c>
      <c r="AA900" s="123" t="s">
        <v>3418</v>
      </c>
      <c r="AB900" s="123" t="s">
        <v>1172</v>
      </c>
      <c r="AC900" s="375"/>
    </row>
    <row r="901" spans="1:29" ht="39.950000000000003" customHeight="1">
      <c r="A901" s="67">
        <v>933</v>
      </c>
      <c r="B901" s="69">
        <v>45232</v>
      </c>
      <c r="C901" s="74">
        <v>0.4069444444444445</v>
      </c>
      <c r="D901" s="67" t="s">
        <v>3792</v>
      </c>
      <c r="E901" s="68" t="s">
        <v>3793</v>
      </c>
      <c r="F901" s="67">
        <v>3</v>
      </c>
      <c r="G901" s="67" t="s">
        <v>283</v>
      </c>
      <c r="H901" s="69">
        <v>45245</v>
      </c>
      <c r="I901" s="69" t="s">
        <v>1086</v>
      </c>
      <c r="J901" s="69" t="s">
        <v>31</v>
      </c>
      <c r="K901" s="67">
        <f>IFERROR(VLOOKUP(J901,Jueces!$A$1:$B$11,2,FALSE),"")</f>
        <v>2</v>
      </c>
      <c r="L901" s="67" t="s">
        <v>813</v>
      </c>
      <c r="M901" s="67" t="s">
        <v>3798</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c r="A902" s="67">
        <v>891</v>
      </c>
      <c r="B902" s="69">
        <v>45225</v>
      </c>
      <c r="C902" s="74">
        <v>0.46458333333333335</v>
      </c>
      <c r="D902" s="67" t="s">
        <v>3640</v>
      </c>
      <c r="E902" s="68" t="s">
        <v>3646</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c r="A903" s="67">
        <v>908</v>
      </c>
      <c r="B903" s="69">
        <v>45230</v>
      </c>
      <c r="C903" s="67" t="s">
        <v>3148</v>
      </c>
      <c r="D903" s="67" t="s">
        <v>3719</v>
      </c>
      <c r="E903" s="68" t="s">
        <v>3731</v>
      </c>
      <c r="F903" s="67">
        <v>3</v>
      </c>
      <c r="G903" s="67" t="s">
        <v>1440</v>
      </c>
      <c r="H903" s="69">
        <v>45246</v>
      </c>
      <c r="I903" s="69" t="s">
        <v>73</v>
      </c>
      <c r="J903" s="69" t="s">
        <v>2951</v>
      </c>
      <c r="K903" s="67" t="s">
        <v>3819</v>
      </c>
      <c r="L903" s="67" t="s">
        <v>806</v>
      </c>
      <c r="M903" s="67" t="s">
        <v>1028</v>
      </c>
      <c r="N903" s="67" t="s">
        <v>4130</v>
      </c>
      <c r="O903" s="83" t="str">
        <f t="shared" ca="1" si="51"/>
        <v>SI</v>
      </c>
      <c r="P903" s="83" t="str">
        <f t="shared" si="53"/>
        <v>DIANOSOL</v>
      </c>
      <c r="Q903" s="67" t="s">
        <v>151</v>
      </c>
      <c r="R903" s="67" t="str">
        <f>VLOOKUP($Q903,Resultados!$A$1:$B$49,2,FALSE)</f>
        <v>Prisión Preventiva</v>
      </c>
      <c r="S903" s="67" t="s">
        <v>2254</v>
      </c>
      <c r="T903" s="86" t="str">
        <f t="shared" si="52"/>
        <v>SI</v>
      </c>
      <c r="U903" s="86"/>
      <c r="V903" s="83"/>
      <c r="W903" s="67" t="s">
        <v>3273</v>
      </c>
      <c r="X903" s="67" t="s">
        <v>4131</v>
      </c>
      <c r="Y903" s="67"/>
      <c r="Z903" s="123" t="s">
        <v>3407</v>
      </c>
      <c r="AA903" s="123" t="s">
        <v>1170</v>
      </c>
      <c r="AB903" s="123" t="s">
        <v>1176</v>
      </c>
      <c r="AC903" s="375"/>
    </row>
    <row r="904" spans="1:29" ht="39.950000000000003" customHeight="1">
      <c r="A904" s="67">
        <v>928</v>
      </c>
      <c r="B904" s="69">
        <v>45231</v>
      </c>
      <c r="C904" s="74">
        <v>0.52569444444444446</v>
      </c>
      <c r="D904" s="67" t="s">
        <v>3769</v>
      </c>
      <c r="E904" s="68" t="s">
        <v>3770</v>
      </c>
      <c r="F904" s="67">
        <v>3</v>
      </c>
      <c r="G904" s="67" t="s">
        <v>1442</v>
      </c>
      <c r="H904" s="69">
        <v>45246</v>
      </c>
      <c r="I904" s="69" t="s">
        <v>73</v>
      </c>
      <c r="J904" s="69" t="s">
        <v>33</v>
      </c>
      <c r="K904" s="67">
        <f>IFERROR(VLOOKUP(J904,Jueces!$A$1:$B$11,2,FALSE),"")</f>
        <v>4</v>
      </c>
      <c r="L904" s="67" t="s">
        <v>2088</v>
      </c>
      <c r="M904" s="67" t="s">
        <v>3798</v>
      </c>
      <c r="N904" s="67" t="s">
        <v>4132</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c r="A905" s="67">
        <v>956</v>
      </c>
      <c r="B905" s="69">
        <v>45233</v>
      </c>
      <c r="C905" s="74">
        <v>0.4513888888888889</v>
      </c>
      <c r="D905" s="67" t="s">
        <v>3884</v>
      </c>
      <c r="E905" s="68" t="s">
        <v>3885</v>
      </c>
      <c r="F905" s="67">
        <v>5</v>
      </c>
      <c r="G905" s="67" t="s">
        <v>3834</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4126</v>
      </c>
      <c r="Y905" s="67"/>
      <c r="Z905" s="123" t="s">
        <v>748</v>
      </c>
      <c r="AA905" s="123" t="s">
        <v>2849</v>
      </c>
      <c r="AB905" s="123" t="s">
        <v>1174</v>
      </c>
      <c r="AC905" s="375"/>
    </row>
    <row r="906" spans="1:29" ht="39.950000000000003" customHeight="1">
      <c r="A906" s="67">
        <v>894</v>
      </c>
      <c r="B906" s="69">
        <v>45226</v>
      </c>
      <c r="C906" s="74">
        <v>0.33333333333333331</v>
      </c>
      <c r="D906" s="67" t="s">
        <v>2296</v>
      </c>
      <c r="E906" s="401" t="s">
        <v>3649</v>
      </c>
      <c r="F906" s="67">
        <v>7</v>
      </c>
      <c r="G906" s="67" t="s">
        <v>283</v>
      </c>
      <c r="H906" s="69">
        <v>45246</v>
      </c>
      <c r="I906" s="69" t="s">
        <v>1086</v>
      </c>
      <c r="J906" s="69" t="s">
        <v>1730</v>
      </c>
      <c r="K906" s="67" t="s">
        <v>3822</v>
      </c>
      <c r="L906" s="67" t="s">
        <v>796</v>
      </c>
      <c r="M906" s="67" t="s">
        <v>3710</v>
      </c>
      <c r="N906" s="67" t="s">
        <v>4135</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c r="A907" s="67">
        <v>900</v>
      </c>
      <c r="B907" s="69">
        <v>45226</v>
      </c>
      <c r="C907" s="74">
        <v>0.50138888888888888</v>
      </c>
      <c r="D907" s="67" t="s">
        <v>3656</v>
      </c>
      <c r="E907" s="68" t="s">
        <v>3657</v>
      </c>
      <c r="F907" s="67">
        <v>4</v>
      </c>
      <c r="G907" s="67" t="s">
        <v>3362</v>
      </c>
      <c r="H907" s="69">
        <v>45246</v>
      </c>
      <c r="I907" s="69" t="s">
        <v>1086</v>
      </c>
      <c r="J907" s="69" t="s">
        <v>31</v>
      </c>
      <c r="K907" s="67">
        <f>IFERROR(VLOOKUP(J907,Jueces!$A$1:$B$11,2,FALSE),"")</f>
        <v>2</v>
      </c>
      <c r="L907" s="67" t="s">
        <v>809</v>
      </c>
      <c r="M907" s="7" t="s">
        <v>694</v>
      </c>
      <c r="N907" s="67" t="s">
        <v>4129</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c r="A908" s="67">
        <v>920</v>
      </c>
      <c r="B908" s="69">
        <v>45231</v>
      </c>
      <c r="C908" s="74">
        <v>0.39652777777777781</v>
      </c>
      <c r="D908" s="67" t="s">
        <v>3283</v>
      </c>
      <c r="E908" s="68" t="s">
        <v>3821</v>
      </c>
      <c r="F908" s="67">
        <v>1</v>
      </c>
      <c r="G908" s="67" t="s">
        <v>568</v>
      </c>
      <c r="H908" s="69">
        <v>45246</v>
      </c>
      <c r="I908" s="69" t="s">
        <v>1086</v>
      </c>
      <c r="J908" s="69" t="s">
        <v>1219</v>
      </c>
      <c r="K908" s="67">
        <f>IFERROR(VLOOKUP(J908,Jueces!$A$1:$B$11,2,FALSE),"")</f>
        <v>1</v>
      </c>
      <c r="L908" s="67" t="s">
        <v>806</v>
      </c>
      <c r="M908" s="67" t="s">
        <v>1178</v>
      </c>
      <c r="N908" s="67" t="s">
        <v>4133</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3725</v>
      </c>
      <c r="X908" s="67" t="s">
        <v>4134</v>
      </c>
      <c r="Y908" s="67"/>
      <c r="Z908" s="123" t="s">
        <v>3407</v>
      </c>
      <c r="AA908" s="123" t="s">
        <v>3418</v>
      </c>
      <c r="AB908" s="123" t="s">
        <v>1174</v>
      </c>
      <c r="AC908" s="375"/>
    </row>
    <row r="909" spans="1:29" ht="39.950000000000003" customHeight="1">
      <c r="A909" s="67">
        <v>934</v>
      </c>
      <c r="B909" s="69">
        <v>45232</v>
      </c>
      <c r="C909" s="74">
        <v>0.34236111111111112</v>
      </c>
      <c r="D909" s="67" t="s">
        <v>3794</v>
      </c>
      <c r="E909" s="68" t="s">
        <v>3795</v>
      </c>
      <c r="F909" s="67">
        <v>3</v>
      </c>
      <c r="G909" s="67" t="s">
        <v>1441</v>
      </c>
      <c r="H909" s="69">
        <v>45246</v>
      </c>
      <c r="I909" s="69" t="s">
        <v>1086</v>
      </c>
      <c r="J909" s="69" t="s">
        <v>1224</v>
      </c>
      <c r="K909" s="67">
        <f>IFERROR(VLOOKUP(J909,Jueces!$A$1:$B$11,2,FALSE),"")</f>
        <v>6</v>
      </c>
      <c r="L909" s="67" t="s">
        <v>812</v>
      </c>
      <c r="M909" s="67" t="s">
        <v>1999</v>
      </c>
      <c r="N909" s="67" t="s">
        <v>4127</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4128</v>
      </c>
      <c r="Y909" s="67"/>
      <c r="Z909" s="123" t="s">
        <v>1042</v>
      </c>
      <c r="AA909" s="123" t="s">
        <v>2892</v>
      </c>
      <c r="AB909" s="123" t="s">
        <v>3360</v>
      </c>
      <c r="AC909" s="375"/>
    </row>
    <row r="910" spans="1:29" ht="39.950000000000003" customHeight="1">
      <c r="A910" s="67">
        <v>917</v>
      </c>
      <c r="B910" s="69">
        <v>45231</v>
      </c>
      <c r="C910" s="74">
        <v>0.33333333333333331</v>
      </c>
      <c r="D910" s="67" t="s">
        <v>3751</v>
      </c>
      <c r="E910" s="68" t="s">
        <v>3752</v>
      </c>
      <c r="F910" s="67">
        <v>2</v>
      </c>
      <c r="G910" s="67" t="s">
        <v>2785</v>
      </c>
      <c r="H910" s="69">
        <v>45246</v>
      </c>
      <c r="I910" s="69" t="s">
        <v>547</v>
      </c>
      <c r="J910" s="69" t="s">
        <v>1219</v>
      </c>
      <c r="K910" s="67">
        <f>IFERROR(VLOOKUP(J910,Jueces!$A$1:$B$11,2,FALSE),"")</f>
        <v>1</v>
      </c>
      <c r="L910" s="67" t="s">
        <v>809</v>
      </c>
      <c r="M910" s="402"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4136</v>
      </c>
      <c r="X910" s="67" t="s">
        <v>3192</v>
      </c>
      <c r="Y910" s="67"/>
      <c r="Z910" s="123" t="s">
        <v>3407</v>
      </c>
      <c r="AA910" s="123" t="s">
        <v>2849</v>
      </c>
      <c r="AB910" s="123" t="s">
        <v>1176</v>
      </c>
      <c r="AC910" s="375"/>
    </row>
    <row r="911" spans="1:29" ht="39.950000000000003" customHeight="1">
      <c r="A911" s="67">
        <v>895</v>
      </c>
      <c r="B911" s="69">
        <v>45226</v>
      </c>
      <c r="C911" s="74">
        <v>0.33333333333333331</v>
      </c>
      <c r="D911" s="67" t="s">
        <v>3650</v>
      </c>
      <c r="E911" s="68" t="s">
        <v>3651</v>
      </c>
      <c r="F911" s="67">
        <v>2</v>
      </c>
      <c r="G911" s="67" t="s">
        <v>1440</v>
      </c>
      <c r="H911" s="69">
        <v>45246</v>
      </c>
      <c r="I911" s="69" t="s">
        <v>77</v>
      </c>
      <c r="J911" s="69" t="s">
        <v>31</v>
      </c>
      <c r="K911" s="67">
        <f>IFERROR(VLOOKUP(J911,Jueces!$A$1:$B$11,2,FALSE),"")</f>
        <v>2</v>
      </c>
      <c r="L911" s="67" t="s">
        <v>806</v>
      </c>
      <c r="M911" s="67" t="s">
        <v>693</v>
      </c>
      <c r="N911" s="67" t="s">
        <v>4137</v>
      </c>
      <c r="O911" s="83" t="str">
        <f t="shared" ca="1" si="54"/>
        <v>SI</v>
      </c>
      <c r="P911" s="83" t="str">
        <f t="shared" si="53"/>
        <v>DIANOSOL</v>
      </c>
      <c r="Q911" s="67" t="s">
        <v>151</v>
      </c>
      <c r="R911" s="67" t="str">
        <f>VLOOKUP($Q911,Resultados!$A$1:$B$49,2,FALSE)</f>
        <v>Prisión Preventiva</v>
      </c>
      <c r="S911" s="67" t="s">
        <v>3157</v>
      </c>
      <c r="T911" s="86" t="str">
        <f t="shared" si="52"/>
        <v>SI</v>
      </c>
      <c r="U911" s="86"/>
      <c r="V911" s="83"/>
      <c r="W911" s="67" t="s">
        <v>2208</v>
      </c>
      <c r="X911" s="67" t="s">
        <v>2568</v>
      </c>
      <c r="Y911" s="67"/>
      <c r="Z911" s="123" t="s">
        <v>748</v>
      </c>
      <c r="AA911" s="123" t="s">
        <v>1170</v>
      </c>
      <c r="AB911" s="123" t="s">
        <v>1173</v>
      </c>
      <c r="AC911" s="375"/>
    </row>
    <row r="912" spans="1:29" ht="102">
      <c r="A912" s="67">
        <v>909</v>
      </c>
      <c r="B912" s="69">
        <v>45230</v>
      </c>
      <c r="C912" s="74">
        <v>0.44861111111111113</v>
      </c>
      <c r="D912" s="67" t="s">
        <v>3722</v>
      </c>
      <c r="E912" s="68" t="s">
        <v>4239</v>
      </c>
      <c r="F912" s="67">
        <v>3</v>
      </c>
      <c r="G912" s="67" t="s">
        <v>3361</v>
      </c>
      <c r="H912" s="69">
        <v>45251</v>
      </c>
      <c r="I912" s="69" t="s">
        <v>73</v>
      </c>
      <c r="J912" s="69" t="s">
        <v>78</v>
      </c>
      <c r="K912" s="67">
        <f>IFERROR(VLOOKUP(J912,Jueces!$A$1:$B$11,2,FALSE),"")</f>
        <v>8</v>
      </c>
      <c r="L912" s="67" t="s">
        <v>2428</v>
      </c>
      <c r="M912" s="7" t="s">
        <v>1027</v>
      </c>
      <c r="N912" s="67" t="s">
        <v>4237</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4238</v>
      </c>
      <c r="Y912" s="67"/>
      <c r="Z912" s="362" t="s">
        <v>748</v>
      </c>
      <c r="AA912" s="362" t="s">
        <v>1170</v>
      </c>
      <c r="AB912" s="362" t="s">
        <v>1172</v>
      </c>
      <c r="AC912" s="375"/>
    </row>
    <row r="913" spans="1:29" ht="127.5">
      <c r="A913" s="67">
        <v>925</v>
      </c>
      <c r="B913" s="69">
        <v>45230</v>
      </c>
      <c r="C913" s="74">
        <v>0.53125</v>
      </c>
      <c r="D913" s="67" t="s">
        <v>3972</v>
      </c>
      <c r="E913" s="68" t="s">
        <v>3762</v>
      </c>
      <c r="F913" s="67">
        <v>2</v>
      </c>
      <c r="G913" s="67" t="s">
        <v>2785</v>
      </c>
      <c r="H913" s="69">
        <v>45251</v>
      </c>
      <c r="I913" s="69" t="s">
        <v>73</v>
      </c>
      <c r="J913" s="69" t="s">
        <v>31</v>
      </c>
      <c r="K913" s="67">
        <f>IFERROR(VLOOKUP(J913,Jueces!$A$1:$B$11,2,FALSE),"")</f>
        <v>2</v>
      </c>
      <c r="L913" s="67" t="s">
        <v>192</v>
      </c>
      <c r="M913" s="380" t="s">
        <v>3433</v>
      </c>
      <c r="N913" s="67" t="s">
        <v>4201</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4202</v>
      </c>
      <c r="Y913" s="67"/>
      <c r="Z913" s="362" t="s">
        <v>1042</v>
      </c>
      <c r="AA913" s="362" t="s">
        <v>3418</v>
      </c>
      <c r="AB913" s="362" t="s">
        <v>3296</v>
      </c>
      <c r="AC913" s="375"/>
    </row>
    <row r="914" spans="1:29" ht="89.25">
      <c r="A914" s="67">
        <v>931</v>
      </c>
      <c r="B914" s="69">
        <v>45232</v>
      </c>
      <c r="C914" s="74">
        <v>0.40277777777777773</v>
      </c>
      <c r="D914" s="67" t="s">
        <v>3788</v>
      </c>
      <c r="E914" s="68" t="s">
        <v>3789</v>
      </c>
      <c r="F914" s="67">
        <v>3</v>
      </c>
      <c r="G914" s="67" t="s">
        <v>283</v>
      </c>
      <c r="H914" s="69">
        <v>45251</v>
      </c>
      <c r="I914" s="69" t="s">
        <v>73</v>
      </c>
      <c r="J914" s="69" t="s">
        <v>2948</v>
      </c>
      <c r="K914" s="67">
        <v>1</v>
      </c>
      <c r="L914" s="67" t="s">
        <v>799</v>
      </c>
      <c r="M914" s="67" t="s">
        <v>3798</v>
      </c>
      <c r="N914" s="368" t="s">
        <v>4231</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4232</v>
      </c>
      <c r="Y914" s="67"/>
      <c r="Z914" s="362" t="s">
        <v>770</v>
      </c>
      <c r="AA914" s="362" t="s">
        <v>2892</v>
      </c>
      <c r="AB914" s="362" t="s">
        <v>1174</v>
      </c>
      <c r="AC914" s="375"/>
    </row>
    <row r="915" spans="1:29" ht="76.5">
      <c r="A915" s="67">
        <v>944</v>
      </c>
      <c r="B915" s="69">
        <v>45233</v>
      </c>
      <c r="C915" s="74">
        <v>0.52777777777777779</v>
      </c>
      <c r="D915" s="67" t="s">
        <v>3846</v>
      </c>
      <c r="E915" s="68" t="s">
        <v>3847</v>
      </c>
      <c r="F915" s="67">
        <v>3</v>
      </c>
      <c r="G915" s="67" t="s">
        <v>2835</v>
      </c>
      <c r="H915" s="69">
        <v>45251</v>
      </c>
      <c r="I915" s="69" t="s">
        <v>73</v>
      </c>
      <c r="J915" s="69" t="s">
        <v>1730</v>
      </c>
      <c r="K915" s="67" t="s">
        <v>3935</v>
      </c>
      <c r="L915" s="67" t="s">
        <v>809</v>
      </c>
      <c r="M915" s="67" t="s">
        <v>695</v>
      </c>
      <c r="N915" s="67" t="s">
        <v>4198</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c r="A916" s="67">
        <v>960</v>
      </c>
      <c r="B916" s="69"/>
      <c r="C916" s="74">
        <v>0.48402777777777778</v>
      </c>
      <c r="D916" s="67" t="s">
        <v>3892</v>
      </c>
      <c r="E916" s="68" t="s">
        <v>3893</v>
      </c>
      <c r="F916" s="67">
        <v>4</v>
      </c>
      <c r="G916" s="67" t="s">
        <v>3362</v>
      </c>
      <c r="H916" s="69">
        <v>45251</v>
      </c>
      <c r="I916" s="69" t="s">
        <v>73</v>
      </c>
      <c r="J916" s="69" t="s">
        <v>1220</v>
      </c>
      <c r="K916" s="67" t="s">
        <v>3822</v>
      </c>
      <c r="L916" s="67" t="s">
        <v>813</v>
      </c>
      <c r="M916" s="7" t="s">
        <v>1874</v>
      </c>
      <c r="N916" s="67" t="s">
        <v>4199</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38.25">
      <c r="A917" s="67">
        <v>905</v>
      </c>
      <c r="B917" s="69">
        <v>45229</v>
      </c>
      <c r="C917" s="67" t="s">
        <v>1914</v>
      </c>
      <c r="D917" s="67" t="s">
        <v>3699</v>
      </c>
      <c r="E917" s="68" t="s">
        <v>3820</v>
      </c>
      <c r="F917" s="67">
        <v>3</v>
      </c>
      <c r="G917" s="67" t="s">
        <v>568</v>
      </c>
      <c r="H917" s="69">
        <v>45251</v>
      </c>
      <c r="I917" s="69" t="s">
        <v>1086</v>
      </c>
      <c r="J917" s="69" t="s">
        <v>78</v>
      </c>
      <c r="K917" s="67">
        <f>IFERROR(VLOOKUP(J917,Jueces!$A$1:$B$11,2,FALSE),"")</f>
        <v>8</v>
      </c>
      <c r="L917" s="67" t="s">
        <v>794</v>
      </c>
      <c r="M917" s="67" t="s">
        <v>694</v>
      </c>
      <c r="N917" s="67" t="s">
        <v>4233</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4234</v>
      </c>
      <c r="Y917" s="67"/>
      <c r="Z917" s="362" t="s">
        <v>748</v>
      </c>
      <c r="AA917" s="362" t="s">
        <v>3418</v>
      </c>
      <c r="AB917" s="362" t="s">
        <v>1173</v>
      </c>
      <c r="AC917" s="375"/>
    </row>
    <row r="918" spans="1:29" ht="63.75">
      <c r="A918" s="67">
        <v>930</v>
      </c>
      <c r="B918" s="69">
        <v>45231</v>
      </c>
      <c r="C918" s="67" t="s">
        <v>3781</v>
      </c>
      <c r="D918" s="67" t="s">
        <v>3782</v>
      </c>
      <c r="E918" s="68" t="s">
        <v>3799</v>
      </c>
      <c r="F918" s="67">
        <v>3</v>
      </c>
      <c r="G918" s="67" t="s">
        <v>1441</v>
      </c>
      <c r="H918" s="69">
        <v>45251</v>
      </c>
      <c r="I918" s="69" t="s">
        <v>1086</v>
      </c>
      <c r="J918" s="69" t="s">
        <v>1224</v>
      </c>
      <c r="K918" s="67">
        <f>IFERROR(VLOOKUP(J918,Jueces!$A$1:$B$11,2,FALSE),"")</f>
        <v>6</v>
      </c>
      <c r="L918" s="67" t="s">
        <v>812</v>
      </c>
      <c r="M918" s="67" t="s">
        <v>695</v>
      </c>
      <c r="N918" s="67" t="s">
        <v>4200</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c r="A919" s="67">
        <v>932</v>
      </c>
      <c r="B919" s="69">
        <v>45232</v>
      </c>
      <c r="C919" s="74">
        <v>0.40625</v>
      </c>
      <c r="D919" s="67" t="s">
        <v>3790</v>
      </c>
      <c r="E919" s="68" t="s">
        <v>3791</v>
      </c>
      <c r="F919" s="67">
        <v>3</v>
      </c>
      <c r="G919" s="67" t="s">
        <v>1442</v>
      </c>
      <c r="H919" s="69">
        <v>45251</v>
      </c>
      <c r="I919" s="69" t="s">
        <v>1086</v>
      </c>
      <c r="J919" s="69" t="s">
        <v>33</v>
      </c>
      <c r="K919" s="67">
        <f>IFERROR(VLOOKUP(J919,Jueces!$A$1:$B$11,2,FALSE),"")</f>
        <v>4</v>
      </c>
      <c r="L919" s="67" t="s">
        <v>800</v>
      </c>
      <c r="M919" s="67" t="s">
        <v>1968</v>
      </c>
      <c r="N919" s="67" t="s">
        <v>4235</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3579</v>
      </c>
      <c r="X919" s="229" t="s">
        <v>4236</v>
      </c>
      <c r="Y919" s="67"/>
      <c r="Z919" s="362" t="s">
        <v>3407</v>
      </c>
      <c r="AA919" s="362" t="s">
        <v>1170</v>
      </c>
      <c r="AB919" s="362" t="s">
        <v>3296</v>
      </c>
      <c r="AC919" s="375"/>
    </row>
    <row r="920" spans="1:29" ht="140.25">
      <c r="A920" s="375">
        <v>988</v>
      </c>
      <c r="B920" s="398"/>
      <c r="C920" s="375"/>
      <c r="D920" s="360" t="s">
        <v>3991</v>
      </c>
      <c r="E920" s="68" t="s">
        <v>3990</v>
      </c>
      <c r="F920" s="375">
        <v>1</v>
      </c>
      <c r="G920" s="375" t="s">
        <v>2770</v>
      </c>
      <c r="H920" s="398">
        <v>45251</v>
      </c>
      <c r="I920" s="69" t="s">
        <v>1086</v>
      </c>
      <c r="J920" s="398" t="s">
        <v>1219</v>
      </c>
      <c r="K920" s="375">
        <f>IFERROR(VLOOKUP(J920,Jueces!$A$1:$B$11,2,FALSE),"")</f>
        <v>1</v>
      </c>
      <c r="L920" s="67" t="s">
        <v>3118</v>
      </c>
      <c r="M920" s="67" t="s">
        <v>1874</v>
      </c>
      <c r="N920" s="67" t="s">
        <v>4230</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23"/>
      <c r="AB920" s="362" t="s">
        <v>1174</v>
      </c>
      <c r="AC920" s="375" t="s">
        <v>1799</v>
      </c>
    </row>
    <row r="921" spans="1:29" ht="39.950000000000003" customHeight="1">
      <c r="A921" s="67">
        <v>911</v>
      </c>
      <c r="B921" s="69">
        <v>45230</v>
      </c>
      <c r="C921" s="74">
        <v>0.53541666666666665</v>
      </c>
      <c r="D921" s="67" t="s">
        <v>3733</v>
      </c>
      <c r="E921" s="68" t="s">
        <v>3734</v>
      </c>
      <c r="F921" s="67">
        <v>3</v>
      </c>
      <c r="G921" s="67" t="s">
        <v>1442</v>
      </c>
      <c r="H921" s="69">
        <v>45252</v>
      </c>
      <c r="I921" s="69" t="s">
        <v>73</v>
      </c>
      <c r="J921" s="69" t="s">
        <v>2948</v>
      </c>
      <c r="K921" s="67" t="s">
        <v>3819</v>
      </c>
      <c r="L921" s="67" t="s">
        <v>2092</v>
      </c>
      <c r="M921" s="380" t="s">
        <v>3768</v>
      </c>
      <c r="N921" s="7" t="s">
        <v>4245</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4246</v>
      </c>
      <c r="Y921" s="67"/>
      <c r="Z921" s="123" t="s">
        <v>1042</v>
      </c>
      <c r="AA921" s="123" t="s">
        <v>3418</v>
      </c>
      <c r="AB921" s="123" t="s">
        <v>3360</v>
      </c>
      <c r="AC921" s="375"/>
    </row>
    <row r="922" spans="1:29" ht="39.950000000000003" customHeight="1">
      <c r="A922" s="67">
        <v>949</v>
      </c>
      <c r="B922" s="69">
        <v>45233</v>
      </c>
      <c r="C922" s="74">
        <v>0.45416666666666666</v>
      </c>
      <c r="D922" s="360" t="s">
        <v>3854</v>
      </c>
      <c r="E922" s="68" t="s">
        <v>3855</v>
      </c>
      <c r="F922" s="67">
        <v>3</v>
      </c>
      <c r="G922" s="67" t="s">
        <v>2785</v>
      </c>
      <c r="H922" s="69">
        <v>45252</v>
      </c>
      <c r="I922" s="69" t="s">
        <v>73</v>
      </c>
      <c r="J922" s="69" t="s">
        <v>35</v>
      </c>
      <c r="K922" s="67">
        <f>IFERROR(VLOOKUP(J922,Jueces!$A$1:$B$11,2,FALSE),"")</f>
        <v>3</v>
      </c>
      <c r="L922" s="67" t="s">
        <v>807</v>
      </c>
      <c r="M922" s="67" t="s">
        <v>3798</v>
      </c>
      <c r="N922" s="67" t="s">
        <v>4248</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4249</v>
      </c>
      <c r="Y922" s="67"/>
      <c r="Z922" s="123" t="s">
        <v>770</v>
      </c>
      <c r="AA922" s="123" t="s">
        <v>3417</v>
      </c>
      <c r="AB922" s="123" t="s">
        <v>1173</v>
      </c>
      <c r="AC922" s="375" t="s">
        <v>1799</v>
      </c>
    </row>
    <row r="923" spans="1:29" ht="39.950000000000003" customHeight="1">
      <c r="A923" s="67">
        <v>952</v>
      </c>
      <c r="B923" s="69">
        <v>45236</v>
      </c>
      <c r="C923" s="74">
        <v>0.35833333333333334</v>
      </c>
      <c r="D923" s="67" t="s">
        <v>3863</v>
      </c>
      <c r="E923" s="68" t="s">
        <v>4194</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4242</v>
      </c>
      <c r="Y923" s="67"/>
      <c r="Z923" s="123" t="s">
        <v>748</v>
      </c>
      <c r="AA923" s="123" t="s">
        <v>1168</v>
      </c>
      <c r="AB923" s="123" t="s">
        <v>1172</v>
      </c>
      <c r="AC923" s="375"/>
    </row>
    <row r="924" spans="1:29" ht="39.950000000000003" customHeight="1">
      <c r="A924" s="375">
        <v>973</v>
      </c>
      <c r="B924" s="398">
        <v>45236</v>
      </c>
      <c r="C924" s="399">
        <v>0.51111111111111118</v>
      </c>
      <c r="D924" s="360" t="s">
        <v>1884</v>
      </c>
      <c r="E924" s="68" t="s">
        <v>3921</v>
      </c>
      <c r="F924" s="375">
        <v>7</v>
      </c>
      <c r="G924" s="375" t="s">
        <v>43</v>
      </c>
      <c r="H924" s="398">
        <v>45252</v>
      </c>
      <c r="I924" s="69" t="s">
        <v>73</v>
      </c>
      <c r="J924" s="398" t="s">
        <v>31</v>
      </c>
      <c r="K924" s="375">
        <f>IFERROR(VLOOKUP(J924,Jueces!$A$1:$B$11,2,FALSE),"")</f>
        <v>2</v>
      </c>
      <c r="L924" s="67" t="s">
        <v>813</v>
      </c>
      <c r="M924" s="380" t="s">
        <v>700</v>
      </c>
      <c r="N924" s="67" t="s">
        <v>4243</v>
      </c>
      <c r="O924" s="83" t="str">
        <f t="shared" ca="1" si="54"/>
        <v>SI</v>
      </c>
      <c r="P924" s="83" t="str">
        <f t="shared" si="53"/>
        <v>DIANOSOL</v>
      </c>
      <c r="Q924" s="67" t="s">
        <v>904</v>
      </c>
      <c r="R924" s="67" t="str">
        <f>VLOOKUP($Q924,Resultados!$A$1:$B$49,2,FALSE)</f>
        <v>Juicio Abreviado</v>
      </c>
      <c r="S924" s="67" t="s">
        <v>1235</v>
      </c>
      <c r="T924" s="86" t="str">
        <f t="shared" si="55"/>
        <v>NO</v>
      </c>
      <c r="U924" s="86"/>
      <c r="V924" s="80"/>
      <c r="W924" s="67" t="s">
        <v>3397</v>
      </c>
      <c r="X924" s="67" t="s">
        <v>4244</v>
      </c>
      <c r="Y924" s="375"/>
      <c r="Z924" s="123" t="s">
        <v>3407</v>
      </c>
      <c r="AA924" s="123" t="s">
        <v>2892</v>
      </c>
      <c r="AB924" s="123" t="s">
        <v>1176</v>
      </c>
      <c r="AC924" s="375" t="s">
        <v>1799</v>
      </c>
    </row>
    <row r="925" spans="1:29" ht="39.950000000000003" customHeight="1">
      <c r="A925" s="375">
        <v>987</v>
      </c>
      <c r="B925" s="398">
        <v>45239</v>
      </c>
      <c r="C925" s="399">
        <v>0.45277777777777778</v>
      </c>
      <c r="D925" s="67" t="s">
        <v>3979</v>
      </c>
      <c r="E925" s="68" t="s">
        <v>3980</v>
      </c>
      <c r="F925" s="375">
        <v>4</v>
      </c>
      <c r="G925" s="375" t="s">
        <v>1441</v>
      </c>
      <c r="H925" s="398">
        <v>45252</v>
      </c>
      <c r="I925" s="69" t="s">
        <v>73</v>
      </c>
      <c r="J925" s="398" t="s">
        <v>1730</v>
      </c>
      <c r="K925" s="67" t="s">
        <v>4191</v>
      </c>
      <c r="L925" s="67" t="s">
        <v>806</v>
      </c>
      <c r="M925" s="7" t="s">
        <v>1992</v>
      </c>
      <c r="N925" s="67" t="s">
        <v>4240</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4241</v>
      </c>
      <c r="Y925" s="375"/>
      <c r="Z925" s="123" t="s">
        <v>1041</v>
      </c>
      <c r="AA925" s="123" t="s">
        <v>1170</v>
      </c>
      <c r="AB925" s="123" t="s">
        <v>3296</v>
      </c>
      <c r="AC925" s="375"/>
    </row>
    <row r="926" spans="1:29" ht="39.950000000000003" customHeight="1">
      <c r="A926" s="67">
        <v>943</v>
      </c>
      <c r="B926" s="69">
        <v>45233</v>
      </c>
      <c r="C926" s="74">
        <v>0.33333333333333331</v>
      </c>
      <c r="D926" s="67" t="s">
        <v>3831</v>
      </c>
      <c r="E926" s="68" t="s">
        <v>3832</v>
      </c>
      <c r="F926" s="67">
        <v>4</v>
      </c>
      <c r="G926" s="67" t="s">
        <v>3361</v>
      </c>
      <c r="H926" s="69">
        <v>45252</v>
      </c>
      <c r="I926" s="69" t="s">
        <v>1086</v>
      </c>
      <c r="J926" s="69" t="s">
        <v>1224</v>
      </c>
      <c r="K926" s="67">
        <f>IFERROR(VLOOKUP(J926,Jueces!$A$1:$B$11,2,FALSE),"")</f>
        <v>6</v>
      </c>
      <c r="L926" s="67" t="s">
        <v>803</v>
      </c>
      <c r="M926" s="67" t="s">
        <v>3798</v>
      </c>
      <c r="N926" s="67" t="s">
        <v>4250</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4251</v>
      </c>
      <c r="Y926" s="67"/>
      <c r="Z926" s="123" t="s">
        <v>4203</v>
      </c>
      <c r="AA926" s="123" t="s">
        <v>1170</v>
      </c>
      <c r="AB926" s="123" t="s">
        <v>3917</v>
      </c>
      <c r="AC926" s="375"/>
    </row>
    <row r="927" spans="1:29" ht="39.950000000000003" customHeight="1">
      <c r="A927" s="375">
        <v>979</v>
      </c>
      <c r="B927" s="398">
        <v>45219</v>
      </c>
      <c r="C927" s="399">
        <v>0.33333333333333331</v>
      </c>
      <c r="D927" s="360" t="s">
        <v>3943</v>
      </c>
      <c r="E927" s="68" t="s">
        <v>3944</v>
      </c>
      <c r="F927" s="375">
        <v>1</v>
      </c>
      <c r="G927" s="375" t="s">
        <v>2770</v>
      </c>
      <c r="H927" s="398">
        <v>45252</v>
      </c>
      <c r="I927" s="69" t="s">
        <v>1086</v>
      </c>
      <c r="J927" s="398" t="s">
        <v>35</v>
      </c>
      <c r="K927" s="375">
        <f>IFERROR(VLOOKUP(J927,Jueces!$A$1:$B$11,2,FALSE),"")</f>
        <v>3</v>
      </c>
      <c r="L927" s="67" t="s">
        <v>813</v>
      </c>
      <c r="M927" s="67" t="s">
        <v>1385</v>
      </c>
      <c r="N927" s="67" t="s">
        <v>4247</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9">
        <v>0.3840277777777778</v>
      </c>
      <c r="X927" s="375"/>
      <c r="Y927" s="375"/>
      <c r="Z927" s="123" t="s">
        <v>770</v>
      </c>
      <c r="AA927" s="123" t="s">
        <v>2892</v>
      </c>
      <c r="AB927" s="123" t="s">
        <v>3360</v>
      </c>
      <c r="AC927" s="375" t="s">
        <v>1799</v>
      </c>
    </row>
    <row r="928" spans="1:29" ht="39.950000000000003" customHeight="1">
      <c r="A928" s="375">
        <v>1021</v>
      </c>
      <c r="B928" s="398">
        <v>45210</v>
      </c>
      <c r="C928" s="399">
        <v>0.3840277777777778</v>
      </c>
      <c r="D928" s="375" t="s">
        <v>3382</v>
      </c>
      <c r="E928" s="424" t="s">
        <v>3383</v>
      </c>
      <c r="F928" s="375">
        <v>1</v>
      </c>
      <c r="G928" s="375" t="s">
        <v>3834</v>
      </c>
      <c r="H928" s="398">
        <v>45252</v>
      </c>
      <c r="I928" s="69" t="s">
        <v>1086</v>
      </c>
      <c r="J928" s="398" t="s">
        <v>1219</v>
      </c>
      <c r="K928" s="67" t="s">
        <v>3822</v>
      </c>
      <c r="L928" s="67" t="s">
        <v>829</v>
      </c>
      <c r="M928" s="67" t="s">
        <v>1178</v>
      </c>
      <c r="N928" s="67" t="s">
        <v>4252</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4253</v>
      </c>
      <c r="Y928" s="375"/>
      <c r="Z928" s="123" t="s">
        <v>748</v>
      </c>
      <c r="AA928" s="123" t="s">
        <v>3417</v>
      </c>
      <c r="AB928" s="123" t="s">
        <v>1176</v>
      </c>
      <c r="AC928" s="375"/>
    </row>
    <row r="929" spans="1:29" ht="39.950000000000003" customHeight="1">
      <c r="A929" s="67">
        <v>954</v>
      </c>
      <c r="B929" s="69">
        <v>45236</v>
      </c>
      <c r="C929" s="74">
        <v>0.40138888888888885</v>
      </c>
      <c r="D929" s="360" t="s">
        <v>3866</v>
      </c>
      <c r="E929" s="68" t="s">
        <v>3961</v>
      </c>
      <c r="F929" s="67">
        <v>4</v>
      </c>
      <c r="G929" s="67" t="s">
        <v>3362</v>
      </c>
      <c r="H929" s="69">
        <v>45252</v>
      </c>
      <c r="I929" s="69" t="s">
        <v>1209</v>
      </c>
      <c r="J929" s="69" t="s">
        <v>31</v>
      </c>
      <c r="K929" s="67">
        <f>IFERROR(VLOOKUP(J929,Jueces!$A$1:$B$11,2,FALSE),"")</f>
        <v>2</v>
      </c>
      <c r="L929" s="67" t="s">
        <v>811</v>
      </c>
      <c r="M929" s="67" t="s">
        <v>3798</v>
      </c>
      <c r="N929" s="67" t="s">
        <v>4254</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c r="A930" s="67">
        <v>965</v>
      </c>
      <c r="B930" s="69">
        <v>45237</v>
      </c>
      <c r="C930" s="74">
        <v>0.3840277777777778</v>
      </c>
      <c r="D930" s="67" t="s">
        <v>3900</v>
      </c>
      <c r="E930" s="68" t="s">
        <v>3901</v>
      </c>
      <c r="F930" s="67">
        <v>3</v>
      </c>
      <c r="G930" s="67" t="s">
        <v>1440</v>
      </c>
      <c r="H930" s="69">
        <v>45252</v>
      </c>
      <c r="I930" s="69" t="s">
        <v>1209</v>
      </c>
      <c r="J930" s="69" t="s">
        <v>1219</v>
      </c>
      <c r="K930" s="67" t="s">
        <v>3935</v>
      </c>
      <c r="L930" s="67" t="s">
        <v>2088</v>
      </c>
      <c r="M930" s="380" t="s">
        <v>3916</v>
      </c>
      <c r="N930" s="67" t="s">
        <v>4255</v>
      </c>
      <c r="O930" s="214" t="str">
        <f t="shared" ca="1" si="54"/>
        <v>SI</v>
      </c>
      <c r="P930" s="214" t="str">
        <f t="shared" si="53"/>
        <v>DIANOSOL</v>
      </c>
      <c r="Q930" s="67" t="s">
        <v>905</v>
      </c>
      <c r="R930" s="67" t="str">
        <f>VLOOKUP($Q930,Resultados!$A$1:$B$49,2,FALSE)</f>
        <v>Juicio Abreviado</v>
      </c>
      <c r="S930" s="67" t="s">
        <v>1464</v>
      </c>
      <c r="T930" s="281" t="str">
        <f t="shared" si="55"/>
        <v>SI</v>
      </c>
      <c r="U930" s="281"/>
      <c r="V930" s="214"/>
      <c r="W930" s="67" t="s">
        <v>3208</v>
      </c>
      <c r="X930" s="273" t="s">
        <v>4256</v>
      </c>
      <c r="Y930" s="67"/>
      <c r="Z930" s="123" t="s">
        <v>770</v>
      </c>
      <c r="AA930" s="123" t="s">
        <v>3418</v>
      </c>
      <c r="AB930" s="123" t="s">
        <v>1172</v>
      </c>
      <c r="AC930" s="375"/>
    </row>
    <row r="931" spans="1:29" ht="39.950000000000003" customHeight="1">
      <c r="A931" s="67">
        <v>948</v>
      </c>
      <c r="B931" s="69">
        <v>45233</v>
      </c>
      <c r="C931" s="74">
        <v>0.48402777777777778</v>
      </c>
      <c r="D931" s="360" t="s">
        <v>3853</v>
      </c>
      <c r="E931" s="68" t="s">
        <v>3886</v>
      </c>
      <c r="F931" s="67">
        <v>3</v>
      </c>
      <c r="G931" s="67" t="s">
        <v>2835</v>
      </c>
      <c r="H931" s="69">
        <v>45252</v>
      </c>
      <c r="I931" s="69" t="s">
        <v>547</v>
      </c>
      <c r="J931" s="69" t="s">
        <v>1220</v>
      </c>
      <c r="K931" s="67">
        <v>8</v>
      </c>
      <c r="L931" s="67" t="s">
        <v>812</v>
      </c>
      <c r="M931" s="67" t="s">
        <v>3798</v>
      </c>
      <c r="N931" s="67" t="s">
        <v>4258</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4257</v>
      </c>
      <c r="X931" s="273" t="s">
        <v>4259</v>
      </c>
      <c r="Y931" s="67"/>
      <c r="Z931" s="123" t="s">
        <v>748</v>
      </c>
      <c r="AA931" s="123" t="s">
        <v>1170</v>
      </c>
      <c r="AB931" s="123" t="s">
        <v>3296</v>
      </c>
      <c r="AC931" s="375" t="s">
        <v>1799</v>
      </c>
    </row>
    <row r="932" spans="1:29" ht="39.950000000000003" customHeight="1">
      <c r="A932" s="83">
        <v>916</v>
      </c>
      <c r="B932" s="85">
        <v>45231</v>
      </c>
      <c r="C932" s="327">
        <v>0.33333333333333331</v>
      </c>
      <c r="D932" s="83" t="s">
        <v>3749</v>
      </c>
      <c r="E932" s="84" t="s">
        <v>3750</v>
      </c>
      <c r="F932" s="83">
        <v>2</v>
      </c>
      <c r="G932" s="83" t="s">
        <v>1440</v>
      </c>
      <c r="H932" s="85">
        <v>45253</v>
      </c>
      <c r="I932" s="85" t="s">
        <v>73</v>
      </c>
      <c r="J932" s="85" t="s">
        <v>1220</v>
      </c>
      <c r="K932" s="83" t="s">
        <v>3822</v>
      </c>
      <c r="L932" s="83" t="s">
        <v>803</v>
      </c>
      <c r="M932" s="83" t="s">
        <v>694</v>
      </c>
      <c r="N932" s="83" t="s">
        <v>4226</v>
      </c>
      <c r="O932" s="83" t="str">
        <f t="shared" ca="1" si="54"/>
        <v>SI</v>
      </c>
      <c r="P932" s="83" t="str">
        <f t="shared" si="53"/>
        <v>DIANOSOL</v>
      </c>
      <c r="Q932" s="83" t="s">
        <v>951</v>
      </c>
      <c r="R932" s="83" t="str">
        <f>VLOOKUP($Q932,Resultados!$A$1:$B$49,2,FALSE)</f>
        <v xml:space="preserve"> _</v>
      </c>
      <c r="S932" s="83"/>
      <c r="T932" s="86" t="str">
        <f t="shared" si="55"/>
        <v>SI</v>
      </c>
      <c r="U932" s="86"/>
      <c r="V932" s="83"/>
      <c r="W932" s="83"/>
      <c r="X932" s="83"/>
      <c r="Y932" s="83"/>
      <c r="Z932" s="325" t="s">
        <v>770</v>
      </c>
      <c r="AA932" s="325" t="s">
        <v>3418</v>
      </c>
      <c r="AB932" s="83" t="s">
        <v>1174</v>
      </c>
      <c r="AC932" s="80"/>
    </row>
    <row r="933" spans="1:29" ht="39.950000000000003" customHeight="1">
      <c r="A933" s="83">
        <v>936</v>
      </c>
      <c r="B933" s="85">
        <v>45231</v>
      </c>
      <c r="C933" s="327">
        <v>0.54027777777777775</v>
      </c>
      <c r="D933" s="83" t="s">
        <v>3796</v>
      </c>
      <c r="E933" s="84" t="s">
        <v>3797</v>
      </c>
      <c r="F933" s="83">
        <v>3</v>
      </c>
      <c r="G933" s="83" t="s">
        <v>3362</v>
      </c>
      <c r="H933" s="85">
        <v>45253</v>
      </c>
      <c r="I933" s="85" t="s">
        <v>73</v>
      </c>
      <c r="J933" s="85" t="s">
        <v>31</v>
      </c>
      <c r="K933" s="83">
        <f>IFERROR(VLOOKUP(J933,Jueces!$A$1:$B$11,2,FALSE),"")</f>
        <v>2</v>
      </c>
      <c r="L933" s="83" t="s">
        <v>791</v>
      </c>
      <c r="M933" s="83" t="s">
        <v>3798</v>
      </c>
      <c r="N933" s="83"/>
      <c r="O933" s="83" t="str">
        <f t="shared" ca="1" si="54"/>
        <v>SI</v>
      </c>
      <c r="P933" s="83" t="str">
        <f t="shared" si="53"/>
        <v>DIANOSOL</v>
      </c>
      <c r="Q933" s="83" t="s">
        <v>951</v>
      </c>
      <c r="R933" s="83" t="str">
        <f>VLOOKUP($Q933,Resultados!$A$1:$B$49,2,FALSE)</f>
        <v xml:space="preserve"> _</v>
      </c>
      <c r="S933" s="83"/>
      <c r="T933" s="86" t="str">
        <f t="shared" si="55"/>
        <v>NO</v>
      </c>
      <c r="U933" s="86"/>
      <c r="V933" s="83"/>
      <c r="W933" s="83"/>
      <c r="X933" s="83"/>
      <c r="Y933" s="83"/>
      <c r="Z933" s="325" t="s">
        <v>748</v>
      </c>
      <c r="AA933" s="325" t="s">
        <v>2892</v>
      </c>
      <c r="AB933" s="83" t="s">
        <v>3360</v>
      </c>
      <c r="AC933" s="80"/>
    </row>
    <row r="934" spans="1:29" ht="39.950000000000003" customHeight="1">
      <c r="A934" s="83">
        <v>950</v>
      </c>
      <c r="B934" s="85">
        <v>45233</v>
      </c>
      <c r="C934" s="327">
        <v>0.46388888888888885</v>
      </c>
      <c r="D934" s="83" t="s">
        <v>3856</v>
      </c>
      <c r="E934" s="84" t="s">
        <v>3857</v>
      </c>
      <c r="F934" s="83">
        <v>3</v>
      </c>
      <c r="G934" s="83" t="s">
        <v>283</v>
      </c>
      <c r="H934" s="85">
        <v>45253</v>
      </c>
      <c r="I934" s="85" t="s">
        <v>73</v>
      </c>
      <c r="J934" s="85" t="s">
        <v>2948</v>
      </c>
      <c r="K934" s="83" t="s">
        <v>3819</v>
      </c>
      <c r="L934" s="83" t="s">
        <v>806</v>
      </c>
      <c r="M934" s="83" t="s">
        <v>695</v>
      </c>
      <c r="N934" s="83"/>
      <c r="O934" s="83" t="str">
        <f t="shared" ca="1" si="54"/>
        <v>SI</v>
      </c>
      <c r="P934" s="83" t="str">
        <f t="shared" si="53"/>
        <v>DIANOSOL</v>
      </c>
      <c r="Q934" s="83" t="s">
        <v>951</v>
      </c>
      <c r="R934" s="83" t="str">
        <f>VLOOKUP($Q934,Resultados!$A$1:$B$49,2,FALSE)</f>
        <v xml:space="preserve"> _</v>
      </c>
      <c r="S934" s="83"/>
      <c r="T934" s="86" t="str">
        <f t="shared" si="55"/>
        <v>NO</v>
      </c>
      <c r="U934" s="86"/>
      <c r="V934" s="83"/>
      <c r="W934" s="83"/>
      <c r="X934" s="83"/>
      <c r="Y934" s="83"/>
      <c r="Z934" s="325" t="s">
        <v>1042</v>
      </c>
      <c r="AA934" s="325" t="s">
        <v>3417</v>
      </c>
      <c r="AB934" s="83" t="s">
        <v>1173</v>
      </c>
      <c r="AC934" s="80"/>
    </row>
    <row r="935" spans="1:29" ht="39.950000000000003" customHeight="1">
      <c r="A935" s="83">
        <v>958</v>
      </c>
      <c r="B935" s="85">
        <v>45236</v>
      </c>
      <c r="C935" s="327">
        <v>0.51597222222222217</v>
      </c>
      <c r="D935" s="83" t="s">
        <v>3889</v>
      </c>
      <c r="E935" s="84" t="s">
        <v>3964</v>
      </c>
      <c r="F935" s="83">
        <v>4</v>
      </c>
      <c r="G935" s="83" t="s">
        <v>1442</v>
      </c>
      <c r="H935" s="85">
        <v>45253</v>
      </c>
      <c r="I935" s="85" t="s">
        <v>73</v>
      </c>
      <c r="J935" s="85" t="s">
        <v>35</v>
      </c>
      <c r="K935" s="83">
        <f>IFERROR(VLOOKUP(J935,Jueces!$A$1:$B$11,2,FALSE),"")</f>
        <v>3</v>
      </c>
      <c r="L935" s="83" t="s">
        <v>812</v>
      </c>
      <c r="M935" s="81" t="s">
        <v>1874</v>
      </c>
      <c r="N935" s="83"/>
      <c r="O935" s="83" t="str">
        <f t="shared" ca="1" si="54"/>
        <v>SI</v>
      </c>
      <c r="P935" s="83" t="str">
        <f t="shared" si="53"/>
        <v>DIANOSOL</v>
      </c>
      <c r="Q935" s="83" t="s">
        <v>951</v>
      </c>
      <c r="R935" s="83" t="str">
        <f>VLOOKUP($Q935,Resultados!$A$1:$B$49,2,FALSE)</f>
        <v xml:space="preserve"> _</v>
      </c>
      <c r="S935" s="83"/>
      <c r="T935" s="86" t="str">
        <f t="shared" si="55"/>
        <v>NO</v>
      </c>
      <c r="U935" s="86"/>
      <c r="V935" s="83"/>
      <c r="W935" s="83"/>
      <c r="X935" s="83"/>
      <c r="Y935" s="83"/>
      <c r="Z935" s="325" t="s">
        <v>3407</v>
      </c>
      <c r="AA935" s="325" t="s">
        <v>1170</v>
      </c>
      <c r="AB935" s="83" t="s">
        <v>1176</v>
      </c>
      <c r="AC935" s="80"/>
    </row>
    <row r="936" spans="1:29" ht="39.950000000000003" customHeight="1">
      <c r="A936" s="83">
        <v>951</v>
      </c>
      <c r="B936" s="85">
        <v>45233</v>
      </c>
      <c r="C936" s="327">
        <v>0.375</v>
      </c>
      <c r="D936" s="83" t="s">
        <v>3860</v>
      </c>
      <c r="E936" s="84" t="s">
        <v>3861</v>
      </c>
      <c r="F936" s="83">
        <v>3</v>
      </c>
      <c r="G936" s="83" t="s">
        <v>3361</v>
      </c>
      <c r="H936" s="85">
        <v>45253</v>
      </c>
      <c r="I936" s="85" t="s">
        <v>1086</v>
      </c>
      <c r="J936" s="85" t="s">
        <v>35</v>
      </c>
      <c r="K936" s="83">
        <f>IFERROR(VLOOKUP(J936,Jueces!$A$1:$B$11,2,FALSE),"")</f>
        <v>3</v>
      </c>
      <c r="L936" s="83" t="s">
        <v>806</v>
      </c>
      <c r="M936" s="83" t="s">
        <v>694</v>
      </c>
      <c r="N936" s="83"/>
      <c r="O936" s="83" t="str">
        <f t="shared" ca="1" si="54"/>
        <v>SI</v>
      </c>
      <c r="P936" s="83" t="str">
        <f t="shared" si="53"/>
        <v>DIANOSOL</v>
      </c>
      <c r="Q936" s="83" t="s">
        <v>951</v>
      </c>
      <c r="R936" s="83" t="str">
        <f>VLOOKUP($Q936,Resultados!$A$1:$B$49,2,FALSE)</f>
        <v xml:space="preserve"> _</v>
      </c>
      <c r="S936" s="83"/>
      <c r="T936" s="86" t="str">
        <f t="shared" si="55"/>
        <v>NO</v>
      </c>
      <c r="U936" s="86"/>
      <c r="V936" s="83"/>
      <c r="W936" s="83"/>
      <c r="X936" s="83"/>
      <c r="Y936" s="83"/>
      <c r="Z936" s="325" t="s">
        <v>3407</v>
      </c>
      <c r="AA936" s="325" t="s">
        <v>2892</v>
      </c>
      <c r="AB936" s="83" t="s">
        <v>1172</v>
      </c>
      <c r="AC936" s="80"/>
    </row>
    <row r="937" spans="1:29" ht="39.950000000000003" customHeight="1">
      <c r="A937" s="83">
        <v>964</v>
      </c>
      <c r="B937" s="85">
        <v>45237</v>
      </c>
      <c r="C937" s="327">
        <v>0.39444444444444443</v>
      </c>
      <c r="D937" s="83" t="s">
        <v>3899</v>
      </c>
      <c r="E937" s="84" t="s">
        <v>3929</v>
      </c>
      <c r="F937" s="83">
        <v>3</v>
      </c>
      <c r="G937" s="83" t="s">
        <v>2835</v>
      </c>
      <c r="H937" s="85">
        <v>45253</v>
      </c>
      <c r="I937" s="85" t="s">
        <v>1086</v>
      </c>
      <c r="J937" s="85" t="s">
        <v>78</v>
      </c>
      <c r="K937" s="83">
        <f>IFERROR(VLOOKUP(J937,Jueces!$A$1:$B$11,2,FALSE),"")</f>
        <v>8</v>
      </c>
      <c r="L937" s="83" t="s">
        <v>796</v>
      </c>
      <c r="M937" s="367" t="s">
        <v>695</v>
      </c>
      <c r="N937" s="83" t="s">
        <v>3930</v>
      </c>
      <c r="O937" s="83" t="str">
        <f t="shared" ca="1" si="54"/>
        <v>SI</v>
      </c>
      <c r="P937" s="83" t="str">
        <f t="shared" si="53"/>
        <v>DIANOSOL</v>
      </c>
      <c r="Q937" s="83" t="s">
        <v>951</v>
      </c>
      <c r="R937" s="83" t="str">
        <f>VLOOKUP($Q937,Resultados!$A$1:$B$49,2,FALSE)</f>
        <v xml:space="preserve"> _</v>
      </c>
      <c r="S937" s="83"/>
      <c r="T937" s="86" t="str">
        <f t="shared" si="55"/>
        <v>NO</v>
      </c>
      <c r="U937" s="86"/>
      <c r="V937" s="83"/>
      <c r="W937" s="83"/>
      <c r="X937" s="83"/>
      <c r="Y937" s="83"/>
      <c r="Z937" s="325" t="s">
        <v>743</v>
      </c>
      <c r="AA937" s="325" t="s">
        <v>1170</v>
      </c>
      <c r="AB937" s="83" t="s">
        <v>3296</v>
      </c>
      <c r="AC937" s="80"/>
    </row>
    <row r="938" spans="1:29" ht="39.950000000000003" customHeight="1">
      <c r="A938" s="83">
        <v>940</v>
      </c>
      <c r="B938" s="85">
        <v>45232</v>
      </c>
      <c r="C938" s="327">
        <v>0.52638888888888891</v>
      </c>
      <c r="D938" s="83" t="s">
        <v>3827</v>
      </c>
      <c r="E938" s="84" t="s">
        <v>3859</v>
      </c>
      <c r="F938" s="83">
        <v>4</v>
      </c>
      <c r="G938" s="83" t="s">
        <v>2785</v>
      </c>
      <c r="H938" s="85">
        <v>45253</v>
      </c>
      <c r="I938" s="85" t="s">
        <v>1209</v>
      </c>
      <c r="J938" s="85" t="s">
        <v>1219</v>
      </c>
      <c r="K938" s="83" t="s">
        <v>3967</v>
      </c>
      <c r="L938" s="83" t="s">
        <v>806</v>
      </c>
      <c r="M938" s="83" t="s">
        <v>3798</v>
      </c>
      <c r="N938" s="83"/>
      <c r="O938" s="83" t="str">
        <f t="shared" ca="1" si="54"/>
        <v>SI</v>
      </c>
      <c r="P938" s="83" t="str">
        <f t="shared" si="53"/>
        <v>DIANOSOL</v>
      </c>
      <c r="Q938" s="83" t="s">
        <v>951</v>
      </c>
      <c r="R938" s="83" t="str">
        <f>VLOOKUP($Q938,Resultados!$A$1:$B$49,2,FALSE)</f>
        <v xml:space="preserve"> _</v>
      </c>
      <c r="S938" s="83"/>
      <c r="T938" s="86" t="str">
        <f t="shared" si="55"/>
        <v>NO</v>
      </c>
      <c r="U938" s="86"/>
      <c r="V938" s="83"/>
      <c r="W938" s="83"/>
      <c r="X938" s="83"/>
      <c r="Y938" s="83"/>
      <c r="Z938" s="325" t="s">
        <v>743</v>
      </c>
      <c r="AA938" s="325" t="s">
        <v>3418</v>
      </c>
      <c r="AB938" s="83" t="s">
        <v>1174</v>
      </c>
      <c r="AC938" s="80"/>
    </row>
    <row r="939" spans="1:29" ht="39.950000000000003" customHeight="1">
      <c r="A939" s="83">
        <v>937</v>
      </c>
      <c r="B939" s="85">
        <v>45233</v>
      </c>
      <c r="C939" s="327">
        <v>0.38472222222222219</v>
      </c>
      <c r="D939" s="83" t="s">
        <v>3823</v>
      </c>
      <c r="E939" s="84" t="s">
        <v>3824</v>
      </c>
      <c r="F939" s="83">
        <v>5</v>
      </c>
      <c r="G939" s="83" t="s">
        <v>2785</v>
      </c>
      <c r="H939" s="85">
        <v>45254</v>
      </c>
      <c r="I939" s="85" t="s">
        <v>73</v>
      </c>
      <c r="J939" s="85" t="s">
        <v>1220</v>
      </c>
      <c r="K939" s="83" t="s">
        <v>3819</v>
      </c>
      <c r="L939" s="83" t="s">
        <v>1070</v>
      </c>
      <c r="M939" s="382" t="s">
        <v>3862</v>
      </c>
      <c r="N939" s="83" t="s">
        <v>3969</v>
      </c>
      <c r="O939" s="83" t="str">
        <f t="shared" ca="1" si="54"/>
        <v>NO</v>
      </c>
      <c r="P939" s="83" t="str">
        <f t="shared" si="53"/>
        <v>DIASOL</v>
      </c>
      <c r="Q939" s="83" t="s">
        <v>951</v>
      </c>
      <c r="R939" s="83" t="str">
        <f>VLOOKUP($Q939,Resultados!$A$1:$B$49,2,FALSE)</f>
        <v xml:space="preserve"> _</v>
      </c>
      <c r="S939" s="83"/>
      <c r="T939" s="86" t="str">
        <f t="shared" si="55"/>
        <v>NO</v>
      </c>
      <c r="U939" s="86"/>
      <c r="V939" s="83"/>
      <c r="W939" s="83"/>
      <c r="X939" s="83"/>
      <c r="Y939" s="83"/>
      <c r="Z939" s="83"/>
      <c r="AA939" s="325" t="s">
        <v>2892</v>
      </c>
      <c r="AB939" s="83" t="s">
        <v>3360</v>
      </c>
      <c r="AC939" s="80"/>
    </row>
    <row r="940" spans="1:29" ht="39.950000000000003" customHeight="1">
      <c r="A940" s="83">
        <v>938</v>
      </c>
      <c r="B940" s="85">
        <v>45232</v>
      </c>
      <c r="C940" s="327">
        <v>0.50763888888888886</v>
      </c>
      <c r="D940" s="83" t="s">
        <v>3825</v>
      </c>
      <c r="E940" s="84" t="s">
        <v>3858</v>
      </c>
      <c r="F940" s="83">
        <v>4</v>
      </c>
      <c r="G940" s="83" t="s">
        <v>568</v>
      </c>
      <c r="H940" s="85">
        <v>45254</v>
      </c>
      <c r="I940" s="85" t="s">
        <v>73</v>
      </c>
      <c r="J940" s="85" t="s">
        <v>2951</v>
      </c>
      <c r="K940" s="83" t="s">
        <v>3967</v>
      </c>
      <c r="L940" s="83" t="s">
        <v>812</v>
      </c>
      <c r="M940" s="83" t="s">
        <v>3798</v>
      </c>
      <c r="N940" s="83"/>
      <c r="O940" s="83" t="str">
        <f t="shared" ca="1" si="54"/>
        <v>NO</v>
      </c>
      <c r="P940" s="83" t="str">
        <f t="shared" si="53"/>
        <v>DIASOL</v>
      </c>
      <c r="Q940" s="83" t="s">
        <v>951</v>
      </c>
      <c r="R940" s="83" t="str">
        <f>VLOOKUP($Q940,Resultados!$A$1:$B$49,2,FALSE)</f>
        <v xml:space="preserve"> _</v>
      </c>
      <c r="S940" s="83"/>
      <c r="T940" s="86" t="str">
        <f t="shared" si="55"/>
        <v>NO</v>
      </c>
      <c r="U940" s="86"/>
      <c r="V940" s="83"/>
      <c r="W940" s="83"/>
      <c r="X940" s="83"/>
      <c r="Y940" s="83"/>
      <c r="Z940" s="83"/>
      <c r="AA940" s="325" t="s">
        <v>1168</v>
      </c>
      <c r="AB940" s="83" t="s">
        <v>1176</v>
      </c>
      <c r="AC940" s="80"/>
    </row>
    <row r="941" spans="1:29" ht="39.950000000000003" customHeight="1">
      <c r="A941" s="83">
        <v>945</v>
      </c>
      <c r="B941" s="85">
        <v>45233</v>
      </c>
      <c r="C941" s="327">
        <v>0.52777777777777779</v>
      </c>
      <c r="D941" s="83" t="s">
        <v>3848</v>
      </c>
      <c r="E941" s="84" t="s">
        <v>3849</v>
      </c>
      <c r="F941" s="83">
        <v>3</v>
      </c>
      <c r="G941" s="83" t="s">
        <v>1442</v>
      </c>
      <c r="H941" s="85">
        <v>45254</v>
      </c>
      <c r="I941" s="85" t="s">
        <v>73</v>
      </c>
      <c r="J941" s="85" t="s">
        <v>33</v>
      </c>
      <c r="K941" s="83">
        <f>IFERROR(VLOOKUP(J941,Jueces!$A$1:$B$11,2,FALSE),"")</f>
        <v>4</v>
      </c>
      <c r="L941" s="83" t="s">
        <v>789</v>
      </c>
      <c r="M941" s="83" t="s">
        <v>694</v>
      </c>
      <c r="N941" s="83"/>
      <c r="O941" s="83" t="str">
        <f t="shared" ca="1" si="54"/>
        <v>NO</v>
      </c>
      <c r="P941" s="83" t="str">
        <f t="shared" si="53"/>
        <v>DIASOL</v>
      </c>
      <c r="Q941" s="83" t="s">
        <v>951</v>
      </c>
      <c r="R941" s="83" t="str">
        <f>VLOOKUP($Q941,Resultados!$A$1:$B$49,2,FALSE)</f>
        <v xml:space="preserve"> _</v>
      </c>
      <c r="S941" s="83"/>
      <c r="T941" s="86" t="str">
        <f t="shared" si="55"/>
        <v>NO</v>
      </c>
      <c r="U941" s="86"/>
      <c r="V941" s="83"/>
      <c r="W941" s="83"/>
      <c r="X941" s="83"/>
      <c r="Y941" s="83"/>
      <c r="Z941" s="83"/>
      <c r="AA941" s="325" t="s">
        <v>2849</v>
      </c>
      <c r="AB941" s="83" t="s">
        <v>1173</v>
      </c>
      <c r="AC941" s="80"/>
    </row>
    <row r="942" spans="1:29" ht="39.950000000000003" customHeight="1">
      <c r="A942" s="83">
        <v>953</v>
      </c>
      <c r="B942" s="85">
        <v>45236</v>
      </c>
      <c r="C942" s="327">
        <v>0.38472222222222219</v>
      </c>
      <c r="D942" s="83" t="s">
        <v>3864</v>
      </c>
      <c r="E942" s="84" t="s">
        <v>3865</v>
      </c>
      <c r="F942" s="83">
        <v>3</v>
      </c>
      <c r="G942" s="83" t="s">
        <v>3361</v>
      </c>
      <c r="H942" s="85">
        <v>45254</v>
      </c>
      <c r="I942" s="85" t="s">
        <v>73</v>
      </c>
      <c r="J942" s="85" t="s">
        <v>35</v>
      </c>
      <c r="K942" s="83">
        <f>IFERROR(VLOOKUP(J942,Jueces!$A$1:$B$11,2,FALSE),"")</f>
        <v>3</v>
      </c>
      <c r="L942" s="83" t="s">
        <v>806</v>
      </c>
      <c r="M942" s="83" t="s">
        <v>695</v>
      </c>
      <c r="N942" s="83"/>
      <c r="O942" s="83" t="str">
        <f t="shared" ca="1" si="54"/>
        <v>NO</v>
      </c>
      <c r="P942" s="83" t="str">
        <f t="shared" si="53"/>
        <v>DIASOL</v>
      </c>
      <c r="Q942" s="83" t="s">
        <v>951</v>
      </c>
      <c r="R942" s="83" t="str">
        <f>VLOOKUP($Q942,Resultados!$A$1:$B$49,2,FALSE)</f>
        <v xml:space="preserve"> _</v>
      </c>
      <c r="S942" s="83"/>
      <c r="T942" s="86" t="str">
        <f t="shared" si="55"/>
        <v>NO</v>
      </c>
      <c r="U942" s="86"/>
      <c r="V942" s="83"/>
      <c r="W942" s="83"/>
      <c r="X942" s="83"/>
      <c r="Y942" s="83"/>
      <c r="Z942" s="83"/>
      <c r="AA942" s="325" t="s">
        <v>1170</v>
      </c>
      <c r="AB942" s="83" t="s">
        <v>1172</v>
      </c>
      <c r="AC942" s="80"/>
    </row>
    <row r="943" spans="1:29" ht="39.950000000000003" customHeight="1">
      <c r="A943" s="83">
        <v>874</v>
      </c>
      <c r="B943" s="85">
        <v>45224</v>
      </c>
      <c r="C943" s="327">
        <v>0.43124999999999997</v>
      </c>
      <c r="D943" s="83" t="s">
        <v>3596</v>
      </c>
      <c r="E943" s="84" t="s">
        <v>3630</v>
      </c>
      <c r="F943" s="83">
        <v>2</v>
      </c>
      <c r="G943" s="83" t="s">
        <v>283</v>
      </c>
      <c r="H943" s="85">
        <v>45254</v>
      </c>
      <c r="I943" s="85" t="s">
        <v>1086</v>
      </c>
      <c r="J943" s="85" t="s">
        <v>1219</v>
      </c>
      <c r="K943" s="83" t="s">
        <v>2301</v>
      </c>
      <c r="L943" s="83" t="s">
        <v>2088</v>
      </c>
      <c r="M943" s="381" t="s">
        <v>3420</v>
      </c>
      <c r="N943" s="83" t="s">
        <v>3987</v>
      </c>
      <c r="O943" s="83" t="str">
        <f t="shared" ca="1" si="54"/>
        <v>NO</v>
      </c>
      <c r="P943" s="83" t="str">
        <f t="shared" si="53"/>
        <v>DIASOL</v>
      </c>
      <c r="Q943" s="83" t="s">
        <v>951</v>
      </c>
      <c r="R943" s="83" t="str">
        <f>VLOOKUP($Q943,Resultados!$A$1:$B$49,2,FALSE)</f>
        <v xml:space="preserve"> _</v>
      </c>
      <c r="S943" s="83"/>
      <c r="T943" s="86" t="str">
        <f t="shared" si="55"/>
        <v>NO</v>
      </c>
      <c r="U943" s="86"/>
      <c r="V943" s="83"/>
      <c r="W943" s="83"/>
      <c r="X943" s="83"/>
      <c r="Y943" s="83"/>
      <c r="Z943" s="83"/>
      <c r="AA943" s="325" t="s">
        <v>2892</v>
      </c>
      <c r="AB943" s="83" t="s">
        <v>3296</v>
      </c>
      <c r="AC943" s="80"/>
    </row>
    <row r="944" spans="1:29" ht="39.950000000000003" customHeight="1">
      <c r="A944" s="83">
        <v>941</v>
      </c>
      <c r="B944" s="85">
        <v>45232</v>
      </c>
      <c r="C944" s="327">
        <v>0.53541666666666665</v>
      </c>
      <c r="D944" s="83" t="s">
        <v>3828</v>
      </c>
      <c r="E944" s="84" t="s">
        <v>4063</v>
      </c>
      <c r="F944" s="83">
        <v>4</v>
      </c>
      <c r="G944" s="83" t="s">
        <v>1440</v>
      </c>
      <c r="H944" s="85">
        <v>45254</v>
      </c>
      <c r="I944" s="85" t="s">
        <v>1086</v>
      </c>
      <c r="J944" s="85" t="s">
        <v>31</v>
      </c>
      <c r="K944" s="83">
        <f>IFERROR(VLOOKUP(J944,Jueces!$A$1:$B$11,2,FALSE),"")</f>
        <v>2</v>
      </c>
      <c r="L944" s="83" t="s">
        <v>791</v>
      </c>
      <c r="M944" s="83" t="s">
        <v>3798</v>
      </c>
      <c r="N944" s="83"/>
      <c r="O944" s="83" t="str">
        <f t="shared" ca="1" si="54"/>
        <v>NO</v>
      </c>
      <c r="P944" s="83" t="str">
        <f t="shared" si="53"/>
        <v>DIASOL</v>
      </c>
      <c r="Q944" s="83" t="s">
        <v>951</v>
      </c>
      <c r="R944" s="83" t="str">
        <f>VLOOKUP($Q944,Resultados!$A$1:$B$49,2,FALSE)</f>
        <v xml:space="preserve"> _</v>
      </c>
      <c r="S944" s="83"/>
      <c r="T944" s="86" t="str">
        <f t="shared" si="55"/>
        <v>SI</v>
      </c>
      <c r="U944" s="86"/>
      <c r="V944" s="83"/>
      <c r="W944" s="83"/>
      <c r="X944" s="83"/>
      <c r="Y944" s="83"/>
      <c r="Z944" s="83"/>
      <c r="AA944" s="325" t="s">
        <v>1168</v>
      </c>
      <c r="AB944" s="83" t="s">
        <v>1174</v>
      </c>
      <c r="AC944" s="80"/>
    </row>
    <row r="945" spans="1:29" ht="39.950000000000003" customHeight="1">
      <c r="A945" s="83">
        <v>957</v>
      </c>
      <c r="B945" s="85">
        <v>45236</v>
      </c>
      <c r="C945" s="327">
        <v>0.51111111111111118</v>
      </c>
      <c r="D945" s="83" t="s">
        <v>3887</v>
      </c>
      <c r="E945" s="84" t="s">
        <v>3888</v>
      </c>
      <c r="F945" s="83">
        <v>3</v>
      </c>
      <c r="G945" s="83" t="s">
        <v>3362</v>
      </c>
      <c r="H945" s="85">
        <v>45254</v>
      </c>
      <c r="I945" s="85" t="s">
        <v>1086</v>
      </c>
      <c r="J945" s="85" t="s">
        <v>78</v>
      </c>
      <c r="K945" s="83">
        <f>IFERROR(VLOOKUP(J945,Jueces!$A$1:$B$11,2,FALSE),"")</f>
        <v>8</v>
      </c>
      <c r="L945" s="83" t="s">
        <v>796</v>
      </c>
      <c r="M945" s="83" t="s">
        <v>694</v>
      </c>
      <c r="N945" s="83" t="s">
        <v>3918</v>
      </c>
      <c r="O945" s="83" t="str">
        <f t="shared" ca="1" si="54"/>
        <v>NO</v>
      </c>
      <c r="P945" s="83" t="str">
        <f t="shared" si="53"/>
        <v>DIASOL</v>
      </c>
      <c r="Q945" s="83" t="s">
        <v>951</v>
      </c>
      <c r="R945" s="83" t="str">
        <f>VLOOKUP($Q945,Resultados!$A$1:$B$49,2,FALSE)</f>
        <v xml:space="preserve"> _</v>
      </c>
      <c r="S945" s="83"/>
      <c r="T945" s="86" t="str">
        <f t="shared" si="55"/>
        <v>NO</v>
      </c>
      <c r="U945" s="86"/>
      <c r="V945" s="83"/>
      <c r="W945" s="83"/>
      <c r="X945" s="83"/>
      <c r="Y945" s="83"/>
      <c r="Z945" s="83"/>
      <c r="AA945" s="325" t="s">
        <v>1170</v>
      </c>
      <c r="AB945" s="83" t="s">
        <v>3360</v>
      </c>
      <c r="AC945" s="80"/>
    </row>
    <row r="946" spans="1:29" ht="39.950000000000003" customHeight="1">
      <c r="A946" s="80">
        <v>972</v>
      </c>
      <c r="B946" s="82">
        <v>45237</v>
      </c>
      <c r="C946" s="394">
        <v>0.43263888888888885</v>
      </c>
      <c r="D946" s="83" t="s">
        <v>3912</v>
      </c>
      <c r="E946" s="84" t="s">
        <v>3913</v>
      </c>
      <c r="F946" s="80">
        <v>3</v>
      </c>
      <c r="G946" s="80" t="s">
        <v>2835</v>
      </c>
      <c r="H946" s="82">
        <v>45254</v>
      </c>
      <c r="I946" s="85" t="s">
        <v>1086</v>
      </c>
      <c r="J946" s="82" t="s">
        <v>1220</v>
      </c>
      <c r="K946" s="80">
        <f>IFERROR(VLOOKUP(J946,Jueces!$A$1:$B$11,2,FALSE),"")</f>
        <v>7</v>
      </c>
      <c r="L946" s="83" t="s">
        <v>829</v>
      </c>
      <c r="M946" s="83" t="s">
        <v>695</v>
      </c>
      <c r="N946" s="80"/>
      <c r="O946" s="83" t="str">
        <f t="shared" ca="1" si="54"/>
        <v>NO</v>
      </c>
      <c r="P946" s="83" t="str">
        <f t="shared" si="53"/>
        <v>DIASOL</v>
      </c>
      <c r="Q946" s="83" t="s">
        <v>951</v>
      </c>
      <c r="R946" s="83" t="str">
        <f>VLOOKUP($Q946,Resultados!$A$1:$B$49,2,FALSE)</f>
        <v xml:space="preserve"> _</v>
      </c>
      <c r="S946" s="83"/>
      <c r="T946" s="86" t="str">
        <f t="shared" si="55"/>
        <v>NO</v>
      </c>
      <c r="U946" s="86"/>
      <c r="V946" s="80"/>
      <c r="W946" s="80"/>
      <c r="X946" s="80"/>
      <c r="Y946" s="80"/>
      <c r="Z946" s="80"/>
      <c r="AA946" s="325" t="s">
        <v>2849</v>
      </c>
      <c r="AB946" s="83" t="s">
        <v>1176</v>
      </c>
      <c r="AC946" s="80"/>
    </row>
    <row r="947" spans="1:29" ht="39.950000000000003" customHeight="1">
      <c r="A947" s="80">
        <v>1036</v>
      </c>
      <c r="B947" s="82">
        <v>45246</v>
      </c>
      <c r="C947" s="394">
        <v>0.53263888888888888</v>
      </c>
      <c r="D947" s="83" t="s">
        <v>4168</v>
      </c>
      <c r="E947" s="84" t="s">
        <v>4207</v>
      </c>
      <c r="F947" s="80">
        <v>4</v>
      </c>
      <c r="G947" s="80" t="s">
        <v>2771</v>
      </c>
      <c r="H947" s="82">
        <v>45254</v>
      </c>
      <c r="I947" s="85" t="s">
        <v>989</v>
      </c>
      <c r="J947" s="82" t="s">
        <v>31</v>
      </c>
      <c r="K947" s="83" t="s">
        <v>4263</v>
      </c>
      <c r="L947" s="83" t="s">
        <v>798</v>
      </c>
      <c r="M947" s="83" t="s">
        <v>1874</v>
      </c>
      <c r="N947" s="83" t="s">
        <v>4211</v>
      </c>
      <c r="O947" s="83" t="str">
        <f t="shared" ca="1" si="54"/>
        <v>NO</v>
      </c>
      <c r="P947" s="83" t="str">
        <f t="shared" si="53"/>
        <v>DIASOL</v>
      </c>
      <c r="Q947" s="83" t="s">
        <v>951</v>
      </c>
      <c r="R947" s="83" t="str">
        <f>VLOOKUP($Q947,Resultados!$A$1:$B$49,2,FALSE)</f>
        <v xml:space="preserve"> _</v>
      </c>
      <c r="S947" s="83"/>
      <c r="T947" s="86" t="str">
        <f t="shared" si="55"/>
        <v>NO</v>
      </c>
      <c r="U947" s="86"/>
      <c r="V947" s="80"/>
      <c r="W947" s="80"/>
      <c r="X947" s="80"/>
      <c r="Y947" s="80"/>
      <c r="Z947" s="80"/>
      <c r="AA947" s="80"/>
      <c r="AB947" s="80"/>
      <c r="AC947" s="80"/>
    </row>
    <row r="948" spans="1:29" ht="39.950000000000003" customHeight="1">
      <c r="A948" s="80">
        <v>975</v>
      </c>
      <c r="B948" s="82">
        <v>45238</v>
      </c>
      <c r="C948" s="394">
        <v>0.52222222222222225</v>
      </c>
      <c r="D948" s="83" t="s">
        <v>3939</v>
      </c>
      <c r="E948" s="84" t="s">
        <v>4008</v>
      </c>
      <c r="F948" s="80">
        <v>2</v>
      </c>
      <c r="G948" s="80" t="s">
        <v>3361</v>
      </c>
      <c r="H948" s="82">
        <v>45257</v>
      </c>
      <c r="I948" s="85" t="s">
        <v>4068</v>
      </c>
      <c r="J948" s="82" t="s">
        <v>1220</v>
      </c>
      <c r="K948" s="80">
        <f>IFERROR(VLOOKUP(J948,Jueces!$A$1:$B$11,2,FALSE),"")</f>
        <v>7</v>
      </c>
      <c r="L948" s="83" t="s">
        <v>813</v>
      </c>
      <c r="M948" s="83" t="s">
        <v>693</v>
      </c>
      <c r="N948" s="80"/>
      <c r="O948" s="83" t="str">
        <f t="shared" ca="1" si="54"/>
        <v>NO</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0"/>
      <c r="AC948" s="80"/>
    </row>
    <row r="949" spans="1:29" ht="39.950000000000003" customHeight="1">
      <c r="A949" s="83">
        <v>942</v>
      </c>
      <c r="B949" s="85">
        <v>45233</v>
      </c>
      <c r="C949" s="327">
        <v>0.33333333333333331</v>
      </c>
      <c r="D949" s="83" t="s">
        <v>3829</v>
      </c>
      <c r="E949" s="84" t="s">
        <v>3830</v>
      </c>
      <c r="F949" s="83">
        <v>4</v>
      </c>
      <c r="G949" s="83" t="s">
        <v>2785</v>
      </c>
      <c r="H949" s="85">
        <v>45257</v>
      </c>
      <c r="I949" s="85" t="s">
        <v>73</v>
      </c>
      <c r="J949" s="85" t="s">
        <v>1220</v>
      </c>
      <c r="K949" s="83" t="s">
        <v>3967</v>
      </c>
      <c r="L949" s="83" t="s">
        <v>812</v>
      </c>
      <c r="M949" s="83" t="s">
        <v>3798</v>
      </c>
      <c r="N949" s="83"/>
      <c r="O949" s="83" t="str">
        <f t="shared" ca="1" si="54"/>
        <v>NO</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c r="AC949" s="80"/>
    </row>
    <row r="950" spans="1:29" ht="39.950000000000003" customHeight="1">
      <c r="A950" s="80">
        <v>968</v>
      </c>
      <c r="B950" s="82">
        <v>45237</v>
      </c>
      <c r="C950" s="394">
        <v>0.3430555555555555</v>
      </c>
      <c r="D950" s="83" t="s">
        <v>3905</v>
      </c>
      <c r="E950" s="84" t="s">
        <v>3906</v>
      </c>
      <c r="F950" s="80">
        <v>3</v>
      </c>
      <c r="G950" s="83" t="s">
        <v>568</v>
      </c>
      <c r="H950" s="82">
        <v>45257</v>
      </c>
      <c r="I950" s="85" t="s">
        <v>73</v>
      </c>
      <c r="J950" s="82" t="s">
        <v>35</v>
      </c>
      <c r="K950" s="80">
        <f>IFERROR(VLOOKUP(J950,Jueces!$A$1:$B$11,2,FALSE),"")</f>
        <v>3</v>
      </c>
      <c r="L950" s="83" t="s">
        <v>810</v>
      </c>
      <c r="M950" s="83" t="s">
        <v>695</v>
      </c>
      <c r="N950" s="80"/>
      <c r="O950" s="83" t="str">
        <f t="shared" ca="1" si="54"/>
        <v>NO</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0"/>
      <c r="AC950" s="80"/>
    </row>
    <row r="951" spans="1:29" ht="39.950000000000003" customHeight="1">
      <c r="A951" s="80">
        <v>969</v>
      </c>
      <c r="B951" s="82">
        <v>45237</v>
      </c>
      <c r="C951" s="394">
        <v>0.34236111111111112</v>
      </c>
      <c r="D951" s="83" t="s">
        <v>3907</v>
      </c>
      <c r="E951" s="84" t="s">
        <v>3989</v>
      </c>
      <c r="F951" s="80">
        <v>3</v>
      </c>
      <c r="G951" s="83" t="s">
        <v>3362</v>
      </c>
      <c r="H951" s="82">
        <v>45257</v>
      </c>
      <c r="I951" s="85" t="s">
        <v>73</v>
      </c>
      <c r="J951" s="85" t="s">
        <v>31</v>
      </c>
      <c r="K951" s="80">
        <f>IFERROR(VLOOKUP(J951,Jueces!$A$1:$B$11,2,FALSE),"")</f>
        <v>2</v>
      </c>
      <c r="L951" s="83" t="s">
        <v>806</v>
      </c>
      <c r="M951" s="83" t="s">
        <v>694</v>
      </c>
      <c r="N951" s="80"/>
      <c r="O951" s="83" t="str">
        <f t="shared" ca="1" si="54"/>
        <v>NO</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0"/>
      <c r="AC951" s="80"/>
    </row>
    <row r="952" spans="1:29" ht="39.950000000000003" customHeight="1">
      <c r="A952" s="83">
        <v>946</v>
      </c>
      <c r="B952" s="85">
        <v>45236</v>
      </c>
      <c r="C952" s="327">
        <v>0.33333333333333331</v>
      </c>
      <c r="D952" s="83" t="s">
        <v>3851</v>
      </c>
      <c r="E952" s="84" t="s">
        <v>3966</v>
      </c>
      <c r="F952" s="83">
        <v>4</v>
      </c>
      <c r="G952" s="83" t="s">
        <v>2835</v>
      </c>
      <c r="H952" s="85">
        <v>45257</v>
      </c>
      <c r="I952" s="85" t="s">
        <v>1086</v>
      </c>
      <c r="J952" s="85" t="s">
        <v>1219</v>
      </c>
      <c r="K952" s="83" t="s">
        <v>3988</v>
      </c>
      <c r="L952" s="83" t="s">
        <v>811</v>
      </c>
      <c r="M952" s="83" t="s">
        <v>3798</v>
      </c>
      <c r="N952" s="83"/>
      <c r="O952" s="83" t="str">
        <f t="shared" ca="1" si="54"/>
        <v>NO</v>
      </c>
      <c r="P952" s="83" t="str">
        <f t="shared" si="53"/>
        <v>DIANOSOL</v>
      </c>
      <c r="Q952" s="83" t="s">
        <v>951</v>
      </c>
      <c r="R952" s="83" t="str">
        <f>VLOOKUP($Q952,Resultados!$A$1:$B$49,2,FALSE)</f>
        <v xml:space="preserve"> _</v>
      </c>
      <c r="S952" s="83"/>
      <c r="T952" s="86" t="str">
        <f t="shared" si="55"/>
        <v>NO</v>
      </c>
      <c r="U952" s="86"/>
      <c r="V952" s="83"/>
      <c r="W952" s="83"/>
      <c r="X952" s="83"/>
      <c r="Y952" s="83"/>
      <c r="Z952" s="83"/>
      <c r="AA952" s="325" t="s">
        <v>2849</v>
      </c>
      <c r="AB952" s="83"/>
      <c r="AC952" s="80"/>
    </row>
    <row r="953" spans="1:29" ht="39.950000000000003" customHeight="1">
      <c r="A953" s="83">
        <v>955</v>
      </c>
      <c r="B953" s="85">
        <v>45236</v>
      </c>
      <c r="C953" s="327">
        <v>0.42569444444444443</v>
      </c>
      <c r="D953" s="83" t="s">
        <v>3867</v>
      </c>
      <c r="E953" s="84" t="s">
        <v>3868</v>
      </c>
      <c r="F953" s="83">
        <v>3</v>
      </c>
      <c r="G953" s="83" t="s">
        <v>1441</v>
      </c>
      <c r="H953" s="85">
        <v>45257</v>
      </c>
      <c r="I953" s="85" t="s">
        <v>1086</v>
      </c>
      <c r="J953" s="85" t="s">
        <v>78</v>
      </c>
      <c r="K953" s="83">
        <f>IFERROR(VLOOKUP(J953,Jueces!$A$1:$B$11,2,FALSE),"")</f>
        <v>8</v>
      </c>
      <c r="L953" s="83" t="s">
        <v>798</v>
      </c>
      <c r="M953" s="83" t="s">
        <v>695</v>
      </c>
      <c r="N953" s="83"/>
      <c r="O953" s="83" t="str">
        <f t="shared" ca="1" si="54"/>
        <v>NO</v>
      </c>
      <c r="P953" s="83" t="str">
        <f t="shared" si="53"/>
        <v>DIANOSOL</v>
      </c>
      <c r="Q953" s="83" t="s">
        <v>951</v>
      </c>
      <c r="R953" s="83" t="str">
        <f>VLOOKUP($Q953,Resultados!$A$1:$B$49,2,FALSE)</f>
        <v xml:space="preserve"> _</v>
      </c>
      <c r="S953" s="83"/>
      <c r="T953" s="86" t="str">
        <f t="shared" si="55"/>
        <v>NO</v>
      </c>
      <c r="U953" s="86"/>
      <c r="V953" s="83"/>
      <c r="W953" s="83"/>
      <c r="X953" s="83"/>
      <c r="Y953" s="83"/>
      <c r="Z953" s="83"/>
      <c r="AA953" s="325" t="s">
        <v>2892</v>
      </c>
      <c r="AB953" s="83"/>
      <c r="AC953" s="80"/>
    </row>
    <row r="954" spans="1:29" ht="39.950000000000003" customHeight="1">
      <c r="A954" s="80">
        <v>970</v>
      </c>
      <c r="B954" s="82">
        <v>45237</v>
      </c>
      <c r="C954" s="394">
        <v>0.44236111111111115</v>
      </c>
      <c r="D954" s="83" t="s">
        <v>1765</v>
      </c>
      <c r="E954" s="84" t="s">
        <v>3909</v>
      </c>
      <c r="F954" s="80">
        <v>1</v>
      </c>
      <c r="G954" s="80" t="s">
        <v>283</v>
      </c>
      <c r="H954" s="82">
        <v>45257</v>
      </c>
      <c r="I954" s="85" t="s">
        <v>1086</v>
      </c>
      <c r="J954" s="82" t="s">
        <v>35</v>
      </c>
      <c r="K954" s="80">
        <v>3</v>
      </c>
      <c r="L954" s="83" t="s">
        <v>803</v>
      </c>
      <c r="M954" s="367" t="s">
        <v>4009</v>
      </c>
      <c r="N954" s="83" t="s">
        <v>4010</v>
      </c>
      <c r="O954" s="83" t="str">
        <f t="shared" ca="1" si="54"/>
        <v>NO</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0"/>
      <c r="AC954" s="80"/>
    </row>
    <row r="955" spans="1:29" ht="39.950000000000003" customHeight="1">
      <c r="A955" s="80">
        <v>977</v>
      </c>
      <c r="B955" s="82">
        <v>45238</v>
      </c>
      <c r="C955" s="394">
        <v>0.43472222222222223</v>
      </c>
      <c r="D955" s="83" t="s">
        <v>3932</v>
      </c>
      <c r="E955" s="84" t="s">
        <v>3940</v>
      </c>
      <c r="F955" s="80">
        <v>4</v>
      </c>
      <c r="G955" s="80" t="s">
        <v>2771</v>
      </c>
      <c r="H955" s="82">
        <v>45257</v>
      </c>
      <c r="I955" s="85" t="s">
        <v>1086</v>
      </c>
      <c r="J955" s="82" t="s">
        <v>33</v>
      </c>
      <c r="K955" s="80">
        <f>IFERROR(VLOOKUP(J955,Jueces!$A$1:$B$11,2,FALSE),"")</f>
        <v>4</v>
      </c>
      <c r="L955" s="83" t="s">
        <v>789</v>
      </c>
      <c r="M955" s="83" t="s">
        <v>1874</v>
      </c>
      <c r="N955" s="83" t="s">
        <v>4094</v>
      </c>
      <c r="O955" s="83" t="str">
        <f t="shared" ca="1" si="54"/>
        <v>NO</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0"/>
      <c r="AC955" s="80"/>
    </row>
    <row r="956" spans="1:29" ht="39.950000000000003" customHeight="1">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3708</v>
      </c>
      <c r="O956" s="83" t="str">
        <f t="shared" ca="1" si="54"/>
        <v>NO</v>
      </c>
      <c r="P956" s="83" t="str">
        <f t="shared" si="53"/>
        <v>DIANOSOL</v>
      </c>
      <c r="Q956" s="83" t="s">
        <v>951</v>
      </c>
      <c r="R956" s="83" t="str">
        <f>VLOOKUP($Q956,Resultados!$A$1:$B$49,2,FALSE)</f>
        <v xml:space="preserve"> _</v>
      </c>
      <c r="S956" s="83"/>
      <c r="T956" s="86" t="str">
        <f t="shared" si="55"/>
        <v>NO</v>
      </c>
      <c r="U956" s="86"/>
      <c r="V956" s="83"/>
      <c r="W956" s="83"/>
      <c r="X956" s="83"/>
      <c r="Y956" s="83"/>
      <c r="Z956" s="83"/>
      <c r="AA956" s="325"/>
      <c r="AB956" s="325" t="s">
        <v>3296</v>
      </c>
      <c r="AC956" s="80" t="s">
        <v>1799</v>
      </c>
    </row>
    <row r="957" spans="1:29" ht="39.950000000000003" customHeight="1">
      <c r="A957" s="83">
        <v>947</v>
      </c>
      <c r="B957" s="85">
        <v>45236</v>
      </c>
      <c r="C957" s="327">
        <v>0.33333333333333331</v>
      </c>
      <c r="D957" s="83" t="s">
        <v>3852</v>
      </c>
      <c r="E957" s="84" t="s">
        <v>3965</v>
      </c>
      <c r="F957" s="83">
        <v>4</v>
      </c>
      <c r="G957" s="83" t="s">
        <v>1440</v>
      </c>
      <c r="H957" s="85">
        <v>45258</v>
      </c>
      <c r="I957" s="85" t="s">
        <v>73</v>
      </c>
      <c r="J957" s="85" t="s">
        <v>35</v>
      </c>
      <c r="K957" s="83">
        <f>IFERROR(VLOOKUP(J957,Jueces!$A$1:$B$11,2,FALSE),"")</f>
        <v>3</v>
      </c>
      <c r="L957" s="83" t="s">
        <v>806</v>
      </c>
      <c r="M957" s="83" t="s">
        <v>3798</v>
      </c>
      <c r="N957" s="83"/>
      <c r="O957" s="83" t="str">
        <f t="shared" ca="1" si="54"/>
        <v>NO</v>
      </c>
      <c r="P957" s="83" t="str">
        <f t="shared" si="53"/>
        <v>DIANOSOL</v>
      </c>
      <c r="Q957" s="83" t="s">
        <v>951</v>
      </c>
      <c r="R957" s="83" t="str">
        <f>VLOOKUP($Q957,Resultados!$A$1:$B$49,2,FALSE)</f>
        <v xml:space="preserve"> _</v>
      </c>
      <c r="S957" s="83"/>
      <c r="T957" s="86" t="str">
        <f t="shared" si="55"/>
        <v>SI</v>
      </c>
      <c r="U957" s="86"/>
      <c r="V957" s="83"/>
      <c r="W957" s="83"/>
      <c r="X957" s="83"/>
      <c r="Y957" s="83"/>
      <c r="Z957" s="83"/>
      <c r="AA957" s="325" t="s">
        <v>1168</v>
      </c>
      <c r="AB957" s="83"/>
      <c r="AC957" s="80"/>
    </row>
    <row r="958" spans="1:29" ht="39.950000000000003" customHeight="1">
      <c r="A958" s="83">
        <v>967</v>
      </c>
      <c r="B958" s="85">
        <v>45237</v>
      </c>
      <c r="C958" s="327">
        <v>0.36805555555555558</v>
      </c>
      <c r="D958" s="83" t="s">
        <v>3903</v>
      </c>
      <c r="E958" s="84" t="s">
        <v>3904</v>
      </c>
      <c r="F958" s="83">
        <v>4</v>
      </c>
      <c r="G958" s="83" t="s">
        <v>2785</v>
      </c>
      <c r="H958" s="85">
        <v>45258</v>
      </c>
      <c r="I958" s="85" t="s">
        <v>73</v>
      </c>
      <c r="J958" s="85" t="s">
        <v>2951</v>
      </c>
      <c r="K958" s="83" t="s">
        <v>3819</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c r="AA958" s="325" t="s">
        <v>2849</v>
      </c>
      <c r="AB958" s="83"/>
      <c r="AC958" s="80"/>
    </row>
    <row r="959" spans="1:29" ht="39.950000000000003" customHeight="1">
      <c r="A959" s="80">
        <v>978</v>
      </c>
      <c r="B959" s="82">
        <v>45238</v>
      </c>
      <c r="C959" s="394">
        <v>0.43124999999999997</v>
      </c>
      <c r="D959" s="83" t="s">
        <v>3941</v>
      </c>
      <c r="E959" s="84" t="s">
        <v>3942</v>
      </c>
      <c r="F959" s="80">
        <v>7</v>
      </c>
      <c r="G959" s="80" t="s">
        <v>1442</v>
      </c>
      <c r="H959" s="82">
        <v>45258</v>
      </c>
      <c r="I959" s="85" t="s">
        <v>749</v>
      </c>
      <c r="J959" s="82" t="s">
        <v>1224</v>
      </c>
      <c r="K959" s="80">
        <f>IFERROR(VLOOKUP(J959,Jueces!$A$1:$B$11,2,FALSE),"")</f>
        <v>6</v>
      </c>
      <c r="L959" s="83" t="s">
        <v>813</v>
      </c>
      <c r="M959" s="393" t="s">
        <v>3496</v>
      </c>
      <c r="N959" s="80"/>
      <c r="O959" s="83" t="str">
        <f t="shared" ca="1" si="54"/>
        <v>NO</v>
      </c>
      <c r="P959" s="83" t="str">
        <f t="shared" si="53"/>
        <v>DIANOSOL</v>
      </c>
      <c r="Q959" s="83" t="s">
        <v>951</v>
      </c>
      <c r="R959" s="83" t="str">
        <f>VLOOKUP($Q959,Resultados!$A$1:$B$49,2,FALSE)</f>
        <v xml:space="preserve"> _</v>
      </c>
      <c r="S959" s="83"/>
      <c r="T959" s="86" t="str">
        <f t="shared" si="55"/>
        <v>NO</v>
      </c>
      <c r="U959" s="86"/>
      <c r="V959" s="80"/>
      <c r="W959" s="80"/>
      <c r="X959" s="80"/>
      <c r="Y959" s="80"/>
      <c r="Z959" s="80"/>
      <c r="AA959" s="325" t="s">
        <v>3417</v>
      </c>
      <c r="AB959" s="80"/>
      <c r="AC959" s="80"/>
    </row>
    <row r="960" spans="1:29" ht="39.950000000000003" customHeight="1">
      <c r="A960" s="83">
        <v>961</v>
      </c>
      <c r="B960" s="85">
        <v>45237</v>
      </c>
      <c r="C960" s="327">
        <v>0.33333333333333331</v>
      </c>
      <c r="D960" s="83" t="s">
        <v>3894</v>
      </c>
      <c r="E960" s="84" t="s">
        <v>3962</v>
      </c>
      <c r="F960" s="83">
        <v>4</v>
      </c>
      <c r="G960" s="83" t="s">
        <v>3362</v>
      </c>
      <c r="H960" s="85">
        <v>45258</v>
      </c>
      <c r="I960" s="85" t="s">
        <v>1086</v>
      </c>
      <c r="J960" s="85" t="s">
        <v>1220</v>
      </c>
      <c r="K960" s="83" t="s">
        <v>3822</v>
      </c>
      <c r="L960" s="83" t="s">
        <v>812</v>
      </c>
      <c r="M960" s="81" t="s">
        <v>1874</v>
      </c>
      <c r="N960" s="83"/>
      <c r="O960" s="83" t="str">
        <f t="shared" ca="1" si="54"/>
        <v>NO</v>
      </c>
      <c r="P960" s="83" t="str">
        <f t="shared" si="53"/>
        <v>DIANOSOL</v>
      </c>
      <c r="Q960" s="83" t="s">
        <v>951</v>
      </c>
      <c r="R960" s="83" t="str">
        <f>VLOOKUP($Q960,Resultados!$A$1:$B$49,2,FALSE)</f>
        <v xml:space="preserve"> _</v>
      </c>
      <c r="S960" s="83"/>
      <c r="T960" s="86" t="str">
        <f t="shared" si="55"/>
        <v>NO</v>
      </c>
      <c r="U960" s="86"/>
      <c r="V960" s="83"/>
      <c r="W960" s="83"/>
      <c r="X960" s="83"/>
      <c r="Y960" s="83"/>
      <c r="Z960" s="83"/>
      <c r="AA960" s="325" t="s">
        <v>1170</v>
      </c>
      <c r="AB960" s="83"/>
      <c r="AC960" s="80"/>
    </row>
    <row r="961" spans="1:29" ht="39.950000000000003" customHeight="1">
      <c r="A961" s="80">
        <v>971</v>
      </c>
      <c r="B961" s="82">
        <v>45237</v>
      </c>
      <c r="C961" s="379">
        <v>0.44097222222222227</v>
      </c>
      <c r="D961" s="83" t="s">
        <v>3910</v>
      </c>
      <c r="E961" s="84" t="s">
        <v>3911</v>
      </c>
      <c r="F961" s="80">
        <v>3</v>
      </c>
      <c r="G961" s="80" t="s">
        <v>1441</v>
      </c>
      <c r="H961" s="82">
        <v>45258</v>
      </c>
      <c r="I961" s="85" t="s">
        <v>1086</v>
      </c>
      <c r="J961" s="82" t="s">
        <v>31</v>
      </c>
      <c r="K961" s="80">
        <f>IFERROR(VLOOKUP(J961,Jueces!$A$1:$B$11,2,FALSE),"")</f>
        <v>2</v>
      </c>
      <c r="L961" s="83" t="s">
        <v>1700</v>
      </c>
      <c r="M961" s="393" t="s">
        <v>1415</v>
      </c>
      <c r="N961" s="80"/>
      <c r="O961" s="83" t="str">
        <f t="shared" ca="1" si="54"/>
        <v>NO</v>
      </c>
      <c r="P961" s="83" t="str">
        <f t="shared" si="53"/>
        <v>DIANOSOL</v>
      </c>
      <c r="Q961" s="83" t="s">
        <v>951</v>
      </c>
      <c r="R961" s="83" t="str">
        <f>VLOOKUP($Q961,Resultados!$A$1:$B$49,2,FALSE)</f>
        <v xml:space="preserve"> _</v>
      </c>
      <c r="S961" s="83"/>
      <c r="T961" s="86" t="str">
        <f t="shared" si="55"/>
        <v>NO</v>
      </c>
      <c r="U961" s="86"/>
      <c r="V961" s="80"/>
      <c r="W961" s="80"/>
      <c r="X961" s="80"/>
      <c r="Y961" s="80"/>
      <c r="Z961" s="80"/>
      <c r="AA961" s="325" t="s">
        <v>2892</v>
      </c>
      <c r="AB961" s="80"/>
      <c r="AC961" s="80"/>
    </row>
    <row r="962" spans="1:29" ht="39.950000000000003" customHeight="1">
      <c r="A962" s="80">
        <v>1007</v>
      </c>
      <c r="B962" s="82">
        <v>48531</v>
      </c>
      <c r="C962" s="394">
        <v>0.38472222222222219</v>
      </c>
      <c r="D962" s="83" t="s">
        <v>4035</v>
      </c>
      <c r="E962" s="84" t="s">
        <v>4089</v>
      </c>
      <c r="F962" s="80">
        <v>3</v>
      </c>
      <c r="G962" s="80" t="s">
        <v>2835</v>
      </c>
      <c r="H962" s="82">
        <v>45258</v>
      </c>
      <c r="I962" s="85" t="s">
        <v>1086</v>
      </c>
      <c r="J962" s="82" t="s">
        <v>2948</v>
      </c>
      <c r="K962" s="83" t="s">
        <v>3935</v>
      </c>
      <c r="L962" s="83" t="s">
        <v>800</v>
      </c>
      <c r="M962" s="367" t="s">
        <v>4090</v>
      </c>
      <c r="N962" s="83" t="s">
        <v>4036</v>
      </c>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0"/>
      <c r="AA962" s="325" t="s">
        <v>3418</v>
      </c>
      <c r="AB962" s="80"/>
      <c r="AC962" s="80"/>
    </row>
    <row r="963" spans="1:29" ht="39.950000000000003" customHeight="1">
      <c r="A963" s="80">
        <v>1048</v>
      </c>
      <c r="B963" s="82"/>
      <c r="C963" s="80"/>
      <c r="D963" s="83" t="s">
        <v>4268</v>
      </c>
      <c r="E963" s="84" t="s">
        <v>4269</v>
      </c>
      <c r="F963" s="80">
        <v>4</v>
      </c>
      <c r="G963" s="80" t="s">
        <v>2770</v>
      </c>
      <c r="H963" s="82">
        <v>45258</v>
      </c>
      <c r="I963" s="85" t="s">
        <v>1209</v>
      </c>
      <c r="J963" s="82" t="s">
        <v>1219</v>
      </c>
      <c r="K963" s="83" t="s">
        <v>4277</v>
      </c>
      <c r="L963" s="83" t="s">
        <v>798</v>
      </c>
      <c r="M963" s="425" t="s">
        <v>4270</v>
      </c>
      <c r="N963" s="422" t="s">
        <v>4271</v>
      </c>
      <c r="O963" s="83" t="str">
        <f t="shared" ca="1" si="54"/>
        <v>NO</v>
      </c>
      <c r="P963" s="83" t="str">
        <f t="shared" ref="P963:P989" si="56">IF($P$1=H963,"DIASOL", "DIANOSOL")</f>
        <v>DIANOSOL</v>
      </c>
      <c r="Q963" s="83" t="s">
        <v>951</v>
      </c>
      <c r="R963" s="83" t="str">
        <f>VLOOKUP($Q963,Resultados!$A$1:$B$49,2,FALSE)</f>
        <v xml:space="preserve"> _</v>
      </c>
      <c r="S963" s="83"/>
      <c r="T963" s="86" t="str">
        <f t="shared" si="55"/>
        <v>NO</v>
      </c>
      <c r="U963" s="86"/>
      <c r="V963" s="80"/>
      <c r="W963" s="80"/>
      <c r="X963" s="80"/>
      <c r="Y963" s="80"/>
      <c r="Z963" s="80"/>
      <c r="AA963" s="83" t="s">
        <v>1170</v>
      </c>
      <c r="AB963" s="80"/>
      <c r="AC963" s="80"/>
    </row>
    <row r="964" spans="1:29" ht="39.950000000000003" customHeight="1">
      <c r="A964" s="83">
        <v>966</v>
      </c>
      <c r="B964" s="85">
        <v>45237</v>
      </c>
      <c r="C964" s="327">
        <v>0.37083333333333335</v>
      </c>
      <c r="D964" s="83" t="s">
        <v>3902</v>
      </c>
      <c r="E964" s="84" t="s">
        <v>3963</v>
      </c>
      <c r="F964" s="83">
        <v>4</v>
      </c>
      <c r="G964" s="83" t="s">
        <v>1440</v>
      </c>
      <c r="H964" s="85">
        <v>45259</v>
      </c>
      <c r="I964" s="85" t="s">
        <v>73</v>
      </c>
      <c r="J964" s="85" t="s">
        <v>2951</v>
      </c>
      <c r="K964" s="83" t="s">
        <v>3822</v>
      </c>
      <c r="L964" s="83" t="s">
        <v>813</v>
      </c>
      <c r="M964" s="83" t="s">
        <v>3798</v>
      </c>
      <c r="N964" s="83"/>
      <c r="O964" s="83" t="str">
        <f t="shared" ca="1" si="54"/>
        <v>NO</v>
      </c>
      <c r="P964" s="83" t="str">
        <f t="shared" si="56"/>
        <v>DIANOSOL</v>
      </c>
      <c r="Q964" s="83" t="s">
        <v>951</v>
      </c>
      <c r="R964" s="83" t="str">
        <f>VLOOKUP($Q964,Resultados!$A$1:$B$49,2,FALSE)</f>
        <v xml:space="preserve"> _</v>
      </c>
      <c r="S964" s="83"/>
      <c r="T964" s="86" t="str">
        <f t="shared" si="55"/>
        <v>SI</v>
      </c>
      <c r="U964" s="86"/>
      <c r="V964" s="83"/>
      <c r="W964" s="83"/>
      <c r="X964" s="83"/>
      <c r="Y964" s="83"/>
      <c r="Z964" s="83"/>
      <c r="AA964" s="325" t="s">
        <v>1170</v>
      </c>
      <c r="AB964" s="83"/>
      <c r="AC964" s="80"/>
    </row>
    <row r="965" spans="1:29" ht="39.950000000000003" customHeight="1">
      <c r="A965" s="80">
        <v>974</v>
      </c>
      <c r="B965" s="82">
        <v>45238</v>
      </c>
      <c r="C965" s="394">
        <v>0.52986111111111112</v>
      </c>
      <c r="D965" s="83" t="s">
        <v>3937</v>
      </c>
      <c r="E965" s="84" t="s">
        <v>3938</v>
      </c>
      <c r="F965" s="80">
        <v>3</v>
      </c>
      <c r="G965" s="83" t="s">
        <v>568</v>
      </c>
      <c r="H965" s="82">
        <v>45259</v>
      </c>
      <c r="I965" s="85" t="s">
        <v>73</v>
      </c>
      <c r="J965" s="85" t="s">
        <v>33</v>
      </c>
      <c r="K965" s="80">
        <f>IFERROR(VLOOKUP(J965,Jueces!$A$1:$B$11,2,FALSE),"")</f>
        <v>4</v>
      </c>
      <c r="L965" s="83" t="s">
        <v>809</v>
      </c>
      <c r="M965" s="400" t="s">
        <v>2263</v>
      </c>
      <c r="N965" s="80"/>
      <c r="O965" s="83" t="str">
        <f t="shared" ca="1" si="54"/>
        <v>NO</v>
      </c>
      <c r="P965" s="83" t="str">
        <f t="shared" si="56"/>
        <v>DIANOSOL</v>
      </c>
      <c r="Q965" s="83" t="s">
        <v>951</v>
      </c>
      <c r="R965" s="83" t="str">
        <f>VLOOKUP($Q965,Resultados!$A$1:$B$49,2,FALSE)</f>
        <v xml:space="preserve"> _</v>
      </c>
      <c r="S965" s="83"/>
      <c r="T965" s="86" t="str">
        <f t="shared" si="55"/>
        <v>NO</v>
      </c>
      <c r="U965" s="86"/>
      <c r="V965" s="80"/>
      <c r="W965" s="80"/>
      <c r="X965" s="80"/>
      <c r="Y965" s="80"/>
      <c r="Z965" s="80"/>
      <c r="AA965" s="325" t="s">
        <v>1168</v>
      </c>
      <c r="AB965" s="80"/>
      <c r="AC965" s="80"/>
    </row>
    <row r="966" spans="1:29" ht="39.950000000000003" customHeight="1">
      <c r="A966" s="80">
        <v>997</v>
      </c>
      <c r="B966" s="82">
        <v>45239</v>
      </c>
      <c r="C966" s="394">
        <v>0.37986111111111115</v>
      </c>
      <c r="D966" s="360" t="s">
        <v>4006</v>
      </c>
      <c r="E966" s="84" t="s">
        <v>4007</v>
      </c>
      <c r="F966" s="80">
        <v>3</v>
      </c>
      <c r="G966" s="80" t="s">
        <v>3362</v>
      </c>
      <c r="H966" s="82">
        <v>45259</v>
      </c>
      <c r="I966" s="85" t="s">
        <v>73</v>
      </c>
      <c r="J966" s="82" t="s">
        <v>2948</v>
      </c>
      <c r="K966" s="83" t="s">
        <v>3819</v>
      </c>
      <c r="L966" s="83" t="s">
        <v>807</v>
      </c>
      <c r="M966" s="83" t="s">
        <v>695</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3417</v>
      </c>
      <c r="AB966" s="80"/>
      <c r="AC966" s="80" t="s">
        <v>1799</v>
      </c>
    </row>
    <row r="967" spans="1:29" ht="39.950000000000003" customHeight="1">
      <c r="A967" s="80">
        <v>1019</v>
      </c>
      <c r="B967" s="82">
        <v>45244</v>
      </c>
      <c r="C967" s="394">
        <v>0.53125</v>
      </c>
      <c r="D967" s="83" t="s">
        <v>4086</v>
      </c>
      <c r="E967" s="84" t="s">
        <v>4087</v>
      </c>
      <c r="F967" s="80">
        <v>3</v>
      </c>
      <c r="G967" s="80" t="s">
        <v>283</v>
      </c>
      <c r="H967" s="82">
        <v>45259</v>
      </c>
      <c r="I967" s="85" t="s">
        <v>73</v>
      </c>
      <c r="J967" s="82" t="s">
        <v>78</v>
      </c>
      <c r="K967" s="80">
        <f>IFERROR(VLOOKUP(J967,Jueces!$A$1:$B$11,2,FALSE),"")</f>
        <v>8</v>
      </c>
      <c r="L967" s="83" t="s">
        <v>582</v>
      </c>
      <c r="M967" s="393" t="s">
        <v>3433</v>
      </c>
      <c r="N967" s="83" t="s">
        <v>4138</v>
      </c>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80"/>
      <c r="AB967" s="80"/>
      <c r="AC967" s="80"/>
    </row>
    <row r="968" spans="1:29" ht="39.950000000000003" customHeight="1">
      <c r="A968" s="80">
        <v>1041</v>
      </c>
      <c r="B968" s="82">
        <v>45251</v>
      </c>
      <c r="C968" s="394">
        <v>0.34930555555555554</v>
      </c>
      <c r="D968" s="83" t="s">
        <v>4178</v>
      </c>
      <c r="E968" s="84" t="s">
        <v>4179</v>
      </c>
      <c r="F968" s="80">
        <v>4</v>
      </c>
      <c r="G968" s="80" t="s">
        <v>2772</v>
      </c>
      <c r="H968" s="82">
        <v>45259</v>
      </c>
      <c r="I968" s="85" t="s">
        <v>73</v>
      </c>
      <c r="J968" s="82" t="s">
        <v>31</v>
      </c>
      <c r="K968" s="80">
        <f>IFERROR(VLOOKUP(J968,Jueces!$A$1:$B$11,2,FALSE),"")</f>
        <v>2</v>
      </c>
      <c r="L968" s="83" t="s">
        <v>809</v>
      </c>
      <c r="M968" s="382" t="s">
        <v>1385</v>
      </c>
      <c r="N968" s="83" t="s">
        <v>4273</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3" t="s">
        <v>3418</v>
      </c>
      <c r="AB968" s="80"/>
      <c r="AC968" s="80"/>
    </row>
    <row r="969" spans="1:29" ht="39.950000000000003" customHeight="1">
      <c r="A969" s="80">
        <v>1047</v>
      </c>
      <c r="B969" s="82">
        <v>45252</v>
      </c>
      <c r="C969" s="80"/>
      <c r="D969" s="83" t="s">
        <v>4265</v>
      </c>
      <c r="E969" s="84" t="s">
        <v>4266</v>
      </c>
      <c r="F969" s="80">
        <v>4</v>
      </c>
      <c r="G969" s="80" t="s">
        <v>3680</v>
      </c>
      <c r="H969" s="82">
        <v>45259</v>
      </c>
      <c r="I969" s="85" t="s">
        <v>73</v>
      </c>
      <c r="J969" s="82" t="s">
        <v>1220</v>
      </c>
      <c r="K969" s="80">
        <f>IFERROR(VLOOKUP(J969,Jueces!$A$1:$B$11,2,FALSE),"")</f>
        <v>7</v>
      </c>
      <c r="L969" s="83" t="s">
        <v>688</v>
      </c>
      <c r="M969" s="425" t="s">
        <v>4267</v>
      </c>
      <c r="N969" s="80"/>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83" t="s">
        <v>3417</v>
      </c>
      <c r="AB969" s="80"/>
      <c r="AC969" s="80"/>
    </row>
    <row r="970" spans="1:29" ht="39.950000000000003" customHeight="1">
      <c r="A970" s="80">
        <v>989</v>
      </c>
      <c r="B970" s="82">
        <v>45239</v>
      </c>
      <c r="C970" s="394">
        <v>0.53194444444444444</v>
      </c>
      <c r="D970" s="83" t="s">
        <v>3992</v>
      </c>
      <c r="E970" s="84" t="s">
        <v>3993</v>
      </c>
      <c r="F970" s="80">
        <v>3</v>
      </c>
      <c r="G970" s="80" t="s">
        <v>1441</v>
      </c>
      <c r="H970" s="82">
        <v>45259</v>
      </c>
      <c r="I970" s="85" t="s">
        <v>749</v>
      </c>
      <c r="J970" s="82" t="s">
        <v>1224</v>
      </c>
      <c r="K970" s="80">
        <f>IFERROR(VLOOKUP(J970,Jueces!$A$1:$B$11,2,FALSE),"")</f>
        <v>6</v>
      </c>
      <c r="L970" s="83" t="s">
        <v>810</v>
      </c>
      <c r="M970" s="367" t="s">
        <v>4028</v>
      </c>
      <c r="N970" s="395"/>
      <c r="O970" s="84" t="str">
        <f t="shared" ca="1" si="54"/>
        <v>NO</v>
      </c>
      <c r="P970" s="84" t="str">
        <f t="shared" si="56"/>
        <v>DIANOSOL</v>
      </c>
      <c r="Q970" s="84" t="s">
        <v>951</v>
      </c>
      <c r="R970" s="84" t="str">
        <f>VLOOKUP($Q970,Resultados!$A$1:$B$49,2,FALSE)</f>
        <v xml:space="preserve"> _</v>
      </c>
      <c r="S970" s="84"/>
      <c r="T970" s="397" t="str">
        <f t="shared" si="55"/>
        <v>NO</v>
      </c>
      <c r="U970" s="397"/>
      <c r="V970" s="395"/>
      <c r="W970" s="395"/>
      <c r="X970" s="395"/>
      <c r="Y970" s="395"/>
      <c r="Z970" s="395"/>
      <c r="AA970" s="325" t="s">
        <v>2849</v>
      </c>
      <c r="AB970" s="395"/>
      <c r="AC970" s="395"/>
    </row>
    <row r="971" spans="1:29" ht="39.950000000000003" customHeight="1">
      <c r="A971" s="80">
        <v>973</v>
      </c>
      <c r="B971" s="82">
        <v>45238</v>
      </c>
      <c r="C971" s="394">
        <v>0.38194444444444442</v>
      </c>
      <c r="D971" s="83" t="s">
        <v>3936</v>
      </c>
      <c r="E971" s="84" t="s">
        <v>4105</v>
      </c>
      <c r="F971" s="80">
        <v>3</v>
      </c>
      <c r="G971" s="80" t="s">
        <v>1442</v>
      </c>
      <c r="H971" s="82">
        <v>45259</v>
      </c>
      <c r="I971" s="85" t="s">
        <v>1086</v>
      </c>
      <c r="J971" s="82" t="s">
        <v>33</v>
      </c>
      <c r="K971" s="80">
        <f>IFERROR(VLOOKUP(J971,Jueces!$A$1:$B$11,2,FALSE),"")</f>
        <v>4</v>
      </c>
      <c r="L971" s="83" t="s">
        <v>791</v>
      </c>
      <c r="M971" s="81" t="s">
        <v>3798</v>
      </c>
      <c r="N971" s="80"/>
      <c r="O971" s="83" t="str">
        <f t="shared" ca="1" si="54"/>
        <v>NO</v>
      </c>
      <c r="P971" s="83" t="str">
        <f t="shared" si="56"/>
        <v>DIANOSOL</v>
      </c>
      <c r="Q971" s="83" t="s">
        <v>951</v>
      </c>
      <c r="R971" s="83" t="str">
        <f>VLOOKUP($Q971,Resultados!$A$1:$B$49,2,FALSE)</f>
        <v xml:space="preserve"> _</v>
      </c>
      <c r="S971" s="83"/>
      <c r="T971" s="86" t="str">
        <f t="shared" si="55"/>
        <v>NO</v>
      </c>
      <c r="U971" s="86"/>
      <c r="V971" s="80"/>
      <c r="W971" s="80"/>
      <c r="X971" s="80"/>
      <c r="Y971" s="80"/>
      <c r="Z971" s="80"/>
      <c r="AA971" s="325" t="s">
        <v>2849</v>
      </c>
      <c r="AB971" s="80"/>
      <c r="AC971" s="80"/>
    </row>
    <row r="972" spans="1:29" ht="39.950000000000003" customHeight="1">
      <c r="A972" s="80">
        <v>1012</v>
      </c>
      <c r="B972" s="82">
        <v>45240</v>
      </c>
      <c r="C972" s="394">
        <v>0.46180555555555558</v>
      </c>
      <c r="D972" s="83" t="s">
        <v>4066</v>
      </c>
      <c r="E972" s="84" t="s">
        <v>4067</v>
      </c>
      <c r="F972" s="80">
        <v>3</v>
      </c>
      <c r="G972" s="80" t="s">
        <v>2835</v>
      </c>
      <c r="H972" s="82">
        <v>45259</v>
      </c>
      <c r="I972" s="85" t="s">
        <v>1086</v>
      </c>
      <c r="J972" s="82" t="s">
        <v>35</v>
      </c>
      <c r="K972" s="80">
        <f>IFERROR(VLOOKUP(J972,Jueces!$A$1:$B$11,2,FALSE),"")</f>
        <v>3</v>
      </c>
      <c r="L972" s="83" t="s">
        <v>569</v>
      </c>
      <c r="M972" s="83" t="s">
        <v>3420</v>
      </c>
      <c r="N972" s="83"/>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80"/>
      <c r="AB972" s="80"/>
      <c r="AC972" s="80"/>
    </row>
    <row r="973" spans="1:29" ht="39.950000000000003" customHeight="1">
      <c r="A973" s="83">
        <v>959</v>
      </c>
      <c r="B973" s="85">
        <v>45236</v>
      </c>
      <c r="C973" s="327">
        <v>0.52638888888888891</v>
      </c>
      <c r="D973" s="83" t="s">
        <v>3890</v>
      </c>
      <c r="E973" s="84" t="s">
        <v>3891</v>
      </c>
      <c r="F973" s="83">
        <v>4</v>
      </c>
      <c r="G973" s="83" t="s">
        <v>3361</v>
      </c>
      <c r="H973" s="85">
        <v>45259</v>
      </c>
      <c r="I973" s="85" t="s">
        <v>1209</v>
      </c>
      <c r="J973" s="85" t="s">
        <v>78</v>
      </c>
      <c r="K973" s="83">
        <f>IFERROR(VLOOKUP(J973,Jueces!$A$1:$B$11,2,FALSE),"")</f>
        <v>8</v>
      </c>
      <c r="L973" s="83" t="s">
        <v>799</v>
      </c>
      <c r="M973" s="83" t="s">
        <v>3798</v>
      </c>
      <c r="N973" s="83"/>
      <c r="O973" s="83" t="str">
        <f t="shared" ca="1" si="54"/>
        <v>NO</v>
      </c>
      <c r="P973" s="83" t="str">
        <f t="shared" si="56"/>
        <v>DIANOSOL</v>
      </c>
      <c r="Q973" s="83" t="s">
        <v>951</v>
      </c>
      <c r="R973" s="83" t="str">
        <f>VLOOKUP($Q973,Resultados!$A$1:$B$49,2,FALSE)</f>
        <v xml:space="preserve"> _</v>
      </c>
      <c r="S973" s="83"/>
      <c r="T973" s="86" t="str">
        <f t="shared" si="55"/>
        <v>NO</v>
      </c>
      <c r="U973" s="86"/>
      <c r="V973" s="83"/>
      <c r="W973" s="83"/>
      <c r="X973" s="83"/>
      <c r="Y973" s="83"/>
      <c r="Z973" s="83"/>
      <c r="AA973" s="325" t="s">
        <v>2892</v>
      </c>
      <c r="AB973" s="83"/>
      <c r="AC973" s="80"/>
    </row>
    <row r="974" spans="1:29" ht="39.950000000000003" customHeight="1">
      <c r="A974" s="83">
        <v>962</v>
      </c>
      <c r="B974" s="85">
        <v>45237</v>
      </c>
      <c r="C974" s="327">
        <v>0.33333333333333331</v>
      </c>
      <c r="D974" s="83" t="s">
        <v>3895</v>
      </c>
      <c r="E974" s="84" t="s">
        <v>3896</v>
      </c>
      <c r="F974" s="83">
        <v>4</v>
      </c>
      <c r="G974" s="83" t="s">
        <v>2771</v>
      </c>
      <c r="H974" s="85">
        <v>45259</v>
      </c>
      <c r="I974" s="85" t="s">
        <v>3208</v>
      </c>
      <c r="J974" s="85" t="s">
        <v>1219</v>
      </c>
      <c r="K974" s="83" t="s">
        <v>3935</v>
      </c>
      <c r="L974" s="83" t="s">
        <v>806</v>
      </c>
      <c r="M974" s="83" t="s">
        <v>1874</v>
      </c>
      <c r="N974" s="83"/>
      <c r="O974" s="83" t="str">
        <f t="shared" ref="O974:O989"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c r="AC974" s="80"/>
    </row>
    <row r="975" spans="1:29" ht="39.950000000000003" customHeight="1">
      <c r="A975" s="80">
        <v>983</v>
      </c>
      <c r="B975" s="82">
        <v>45239</v>
      </c>
      <c r="C975" s="394">
        <v>0.40763888888888888</v>
      </c>
      <c r="D975" s="83" t="s">
        <v>3970</v>
      </c>
      <c r="E975" s="84" t="s">
        <v>3971</v>
      </c>
      <c r="F975" s="80">
        <v>1</v>
      </c>
      <c r="G975" s="80" t="s">
        <v>283</v>
      </c>
      <c r="H975" s="82">
        <v>45260</v>
      </c>
      <c r="I975" s="85" t="s">
        <v>73</v>
      </c>
      <c r="J975" s="82" t="s">
        <v>33</v>
      </c>
      <c r="K975" s="80">
        <f>IFERROR(VLOOKUP(J975,Jueces!$A$1:$B$11,2,FALSE),"")</f>
        <v>4</v>
      </c>
      <c r="L975" s="83" t="s">
        <v>1070</v>
      </c>
      <c r="M975" s="367" t="s">
        <v>3420</v>
      </c>
      <c r="N975" s="80"/>
      <c r="O975" s="83" t="str">
        <f t="shared" ca="1" si="57"/>
        <v>NO</v>
      </c>
      <c r="P975" s="83" t="str">
        <f t="shared" si="56"/>
        <v>DIANOSOL</v>
      </c>
      <c r="Q975" s="83" t="s">
        <v>951</v>
      </c>
      <c r="R975" s="83" t="str">
        <f>VLOOKUP($Q975,Resultados!$A$1:$B$49,2,FALSE)</f>
        <v xml:space="preserve"> _</v>
      </c>
      <c r="S975" s="83"/>
      <c r="T975" s="86" t="str">
        <f t="shared" si="55"/>
        <v>NO</v>
      </c>
      <c r="U975" s="86"/>
      <c r="V975" s="80"/>
      <c r="W975" s="80"/>
      <c r="X975" s="80"/>
      <c r="Y975" s="80"/>
      <c r="Z975" s="80"/>
      <c r="AA975" s="325" t="s">
        <v>3417</v>
      </c>
      <c r="AB975" s="80"/>
      <c r="AC975" s="80"/>
    </row>
    <row r="976" spans="1:29" ht="39.950000000000003" customHeight="1">
      <c r="A976" s="80">
        <v>992</v>
      </c>
      <c r="B976" s="82">
        <v>45240</v>
      </c>
      <c r="C976" s="394">
        <v>0.3576388888888889</v>
      </c>
      <c r="D976" s="83" t="s">
        <v>3998</v>
      </c>
      <c r="E976" s="84" t="s">
        <v>4040</v>
      </c>
      <c r="F976" s="80">
        <v>4</v>
      </c>
      <c r="G976" s="80" t="s">
        <v>2785</v>
      </c>
      <c r="H976" s="82">
        <v>45260</v>
      </c>
      <c r="I976" s="85" t="s">
        <v>73</v>
      </c>
      <c r="J976" s="82" t="s">
        <v>78</v>
      </c>
      <c r="K976" s="80">
        <f>IFERROR(VLOOKUP(J976,Jueces!$A$1:$B$11,2,FALSE),"")</f>
        <v>8</v>
      </c>
      <c r="L976" s="83" t="s">
        <v>809</v>
      </c>
      <c r="M976" s="81" t="s">
        <v>1874</v>
      </c>
      <c r="N976" s="80"/>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325" t="s">
        <v>1170</v>
      </c>
      <c r="AB976" s="80"/>
      <c r="AC976" s="80"/>
    </row>
    <row r="977" spans="1:29" ht="39.950000000000003" customHeight="1">
      <c r="A977" s="80">
        <v>993</v>
      </c>
      <c r="B977" s="82">
        <v>45240</v>
      </c>
      <c r="C977" s="394">
        <v>0.35486111111111113</v>
      </c>
      <c r="D977" s="83" t="s">
        <v>3999</v>
      </c>
      <c r="E977" s="84" t="s">
        <v>4000</v>
      </c>
      <c r="F977" s="80">
        <v>3</v>
      </c>
      <c r="G977" s="80" t="s">
        <v>1441</v>
      </c>
      <c r="H977" s="82">
        <v>45260</v>
      </c>
      <c r="I977" s="85" t="s">
        <v>73</v>
      </c>
      <c r="J977" s="82" t="s">
        <v>31</v>
      </c>
      <c r="K977" s="80">
        <f>IFERROR(VLOOKUP(J977,Jueces!$A$1:$B$11,2,FALSE),"")</f>
        <v>2</v>
      </c>
      <c r="L977" s="83" t="s">
        <v>812</v>
      </c>
      <c r="M977" s="382" t="s">
        <v>4029</v>
      </c>
      <c r="N977" s="83" t="s">
        <v>4030</v>
      </c>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1168</v>
      </c>
      <c r="AB977" s="80"/>
      <c r="AC977" s="80"/>
    </row>
    <row r="978" spans="1:29" ht="39.950000000000003" customHeight="1">
      <c r="A978" s="364">
        <v>994</v>
      </c>
      <c r="B978" s="403">
        <v>45240</v>
      </c>
      <c r="C978" s="420">
        <v>0.36874999999999997</v>
      </c>
      <c r="D978" s="214" t="s">
        <v>4001</v>
      </c>
      <c r="E978" s="215" t="s">
        <v>4002</v>
      </c>
      <c r="F978" s="364">
        <v>3</v>
      </c>
      <c r="G978" s="364" t="s">
        <v>2835</v>
      </c>
      <c r="H978" s="403">
        <v>45260</v>
      </c>
      <c r="I978" s="322" t="s">
        <v>73</v>
      </c>
      <c r="J978" s="403" t="s">
        <v>1220</v>
      </c>
      <c r="K978" s="364">
        <f>IFERROR(VLOOKUP(J978,Jueces!$A$1:$B$11,2,FALSE),"")</f>
        <v>7</v>
      </c>
      <c r="L978" s="214" t="s">
        <v>800</v>
      </c>
      <c r="M978" s="428" t="s">
        <v>695</v>
      </c>
      <c r="N978" s="404" t="s">
        <v>4145</v>
      </c>
      <c r="O978" s="214" t="str">
        <f t="shared" ca="1" si="57"/>
        <v>NO</v>
      </c>
      <c r="P978" s="214" t="str">
        <f t="shared" si="56"/>
        <v>DIANOSOL</v>
      </c>
      <c r="Q978" s="214" t="s">
        <v>951</v>
      </c>
      <c r="R978" s="214" t="str">
        <f>VLOOKUP($Q978,Resultados!$A$1:$B$49,2,FALSE)</f>
        <v xml:space="preserve"> _</v>
      </c>
      <c r="S978" s="214"/>
      <c r="T978" s="281" t="str">
        <f t="shared" si="55"/>
        <v>NO</v>
      </c>
      <c r="U978" s="281"/>
      <c r="V978" s="364"/>
      <c r="W978" s="364"/>
      <c r="X978" s="364"/>
      <c r="Y978" s="364"/>
      <c r="Z978" s="364"/>
      <c r="AA978" s="410" t="s">
        <v>2892</v>
      </c>
      <c r="AB978" s="364"/>
      <c r="AC978" s="364"/>
    </row>
    <row r="979" spans="1:29" ht="39.950000000000003" customHeight="1">
      <c r="A979" s="80">
        <v>1013</v>
      </c>
      <c r="B979" s="82"/>
      <c r="C979" s="80"/>
      <c r="D979" s="360" t="s">
        <v>2716</v>
      </c>
      <c r="E979" s="84" t="s">
        <v>4070</v>
      </c>
      <c r="F979" s="80">
        <v>7</v>
      </c>
      <c r="G979" s="83" t="s">
        <v>43</v>
      </c>
      <c r="H979" s="82">
        <v>45260</v>
      </c>
      <c r="I979" s="85" t="s">
        <v>73</v>
      </c>
      <c r="J979" s="82" t="s">
        <v>1219</v>
      </c>
      <c r="K979" s="80">
        <f>IFERROR(VLOOKUP(J979,Jueces!$A$1:$B$11,2,FALSE),"")</f>
        <v>1</v>
      </c>
      <c r="L979" s="83" t="s">
        <v>582</v>
      </c>
      <c r="M979" s="430" t="s">
        <v>2284</v>
      </c>
      <c r="N979" s="80"/>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c r="AB979" s="80"/>
      <c r="AC979" s="80" t="s">
        <v>1799</v>
      </c>
    </row>
    <row r="980" spans="1:29" ht="39.950000000000003" customHeight="1">
      <c r="A980" s="80">
        <v>986</v>
      </c>
      <c r="B980" s="82">
        <v>45239</v>
      </c>
      <c r="C980" s="394">
        <v>0.46875</v>
      </c>
      <c r="D980" s="83" t="s">
        <v>3977</v>
      </c>
      <c r="E980" s="84" t="s">
        <v>3978</v>
      </c>
      <c r="F980" s="80">
        <v>4</v>
      </c>
      <c r="G980" s="80" t="s">
        <v>1442</v>
      </c>
      <c r="H980" s="82">
        <v>45260</v>
      </c>
      <c r="I980" s="85" t="s">
        <v>1086</v>
      </c>
      <c r="J980" s="82" t="s">
        <v>1224</v>
      </c>
      <c r="K980" s="80">
        <f>IFERROR(VLOOKUP(J980,Jueces!$A$1:$B$11,2,FALSE),"")</f>
        <v>6</v>
      </c>
      <c r="L980" s="83" t="s">
        <v>812</v>
      </c>
      <c r="M980" s="83" t="s">
        <v>1874</v>
      </c>
      <c r="N980" s="80"/>
      <c r="O980" s="83" t="str">
        <f t="shared" ca="1" si="57"/>
        <v>NO</v>
      </c>
      <c r="P980" s="83" t="str">
        <f t="shared" si="56"/>
        <v>DIANOSOL</v>
      </c>
      <c r="Q980" s="83" t="s">
        <v>951</v>
      </c>
      <c r="R980" s="83" t="str">
        <f>VLOOKUP($Q980,Resultados!$A$1:$B$49,2,FALSE)</f>
        <v xml:space="preserve"> _</v>
      </c>
      <c r="S980" s="83"/>
      <c r="T980" s="86" t="str">
        <f t="shared" si="55"/>
        <v>NO</v>
      </c>
      <c r="U980" s="86"/>
      <c r="V980" s="80"/>
      <c r="W980" s="80"/>
      <c r="X980" s="80"/>
      <c r="Y980" s="80"/>
      <c r="Z980" s="80"/>
      <c r="AA980" s="325" t="s">
        <v>2849</v>
      </c>
      <c r="AB980" s="80"/>
      <c r="AC980" s="80"/>
    </row>
    <row r="981" spans="1:29" ht="39.950000000000003" customHeight="1">
      <c r="A981" s="80">
        <v>1000</v>
      </c>
      <c r="B981" s="82">
        <v>45240</v>
      </c>
      <c r="C981" s="394">
        <v>0.4458333333333333</v>
      </c>
      <c r="D981" s="83" t="s">
        <v>4014</v>
      </c>
      <c r="E981" s="84" t="s">
        <v>4015</v>
      </c>
      <c r="F981" s="80">
        <v>3</v>
      </c>
      <c r="G981" s="80" t="s">
        <v>1440</v>
      </c>
      <c r="H981" s="82">
        <v>45260</v>
      </c>
      <c r="I981" s="85" t="s">
        <v>1086</v>
      </c>
      <c r="J981" s="82" t="s">
        <v>1220</v>
      </c>
      <c r="K981" s="80">
        <f>IFERROR(VLOOKUP(J981,Jueces!$A$1:$B$11,2,FALSE),"")</f>
        <v>7</v>
      </c>
      <c r="L981" s="83" t="s">
        <v>806</v>
      </c>
      <c r="M981" s="83" t="s">
        <v>694</v>
      </c>
      <c r="N981" s="80"/>
      <c r="O981" s="83" t="str">
        <f t="shared" ca="1" si="57"/>
        <v>NO</v>
      </c>
      <c r="P981" s="83" t="str">
        <f t="shared" si="56"/>
        <v>DIANOSOL</v>
      </c>
      <c r="Q981" s="83" t="s">
        <v>951</v>
      </c>
      <c r="R981" s="83" t="str">
        <f>VLOOKUP($Q981,Resultados!$A$1:$B$49,2,FALSE)</f>
        <v xml:space="preserve"> _</v>
      </c>
      <c r="S981" s="83"/>
      <c r="T981" s="86" t="str">
        <f t="shared" ref="T981:T989" si="58">IF(G981=$J$1,"SI","NO")</f>
        <v>SI</v>
      </c>
      <c r="U981" s="86"/>
      <c r="V981" s="80"/>
      <c r="W981" s="80"/>
      <c r="X981" s="80"/>
      <c r="Y981" s="80"/>
      <c r="Z981" s="80"/>
      <c r="AA981" s="325" t="s">
        <v>2892</v>
      </c>
      <c r="AB981" s="80"/>
      <c r="AC981" s="80"/>
    </row>
    <row r="982" spans="1:29" ht="39.950000000000003" customHeight="1">
      <c r="A982" s="80">
        <v>1010</v>
      </c>
      <c r="B982" s="82">
        <v>45243</v>
      </c>
      <c r="C982" s="394">
        <v>0.41388888888888892</v>
      </c>
      <c r="D982" s="360" t="s">
        <v>2779</v>
      </c>
      <c r="E982" s="84" t="s">
        <v>4041</v>
      </c>
      <c r="F982" s="80">
        <v>7</v>
      </c>
      <c r="G982" s="80" t="s">
        <v>568</v>
      </c>
      <c r="H982" s="82">
        <v>45260</v>
      </c>
      <c r="I982" s="85" t="s">
        <v>1086</v>
      </c>
      <c r="J982" s="82" t="s">
        <v>35</v>
      </c>
      <c r="K982" s="80">
        <f>IFERROR(VLOOKUP(J982,Jueces!$A$1:$B$11,2,FALSE),"")</f>
        <v>3</v>
      </c>
      <c r="L982" s="83" t="s">
        <v>582</v>
      </c>
      <c r="M982" s="431" t="s">
        <v>3420</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80"/>
      <c r="AB982" s="80"/>
      <c r="AC982" s="80" t="s">
        <v>1799</v>
      </c>
    </row>
    <row r="983" spans="1:29" ht="39.950000000000003" customHeight="1">
      <c r="A983" s="80">
        <v>981</v>
      </c>
      <c r="B983" s="82">
        <v>45239</v>
      </c>
      <c r="C983" s="394">
        <v>0.36874999999999997</v>
      </c>
      <c r="D983" s="83" t="s">
        <v>3968</v>
      </c>
      <c r="E983" s="84" t="s">
        <v>4034</v>
      </c>
      <c r="F983" s="80">
        <v>4</v>
      </c>
      <c r="G983" s="80" t="s">
        <v>3362</v>
      </c>
      <c r="H983" s="82">
        <v>45261</v>
      </c>
      <c r="I983" s="85" t="s">
        <v>73</v>
      </c>
      <c r="J983" s="82" t="s">
        <v>2951</v>
      </c>
      <c r="K983" s="83" t="s">
        <v>4116</v>
      </c>
      <c r="L983" s="83" t="s">
        <v>809</v>
      </c>
      <c r="M983" s="83" t="s">
        <v>1874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1170</v>
      </c>
      <c r="AB983" s="80"/>
      <c r="AC983" s="80"/>
    </row>
    <row r="984" spans="1:29" ht="39.950000000000003" customHeight="1">
      <c r="A984" s="80">
        <v>985</v>
      </c>
      <c r="B984" s="82">
        <v>45239</v>
      </c>
      <c r="C984" s="394">
        <v>0.47291666666666665</v>
      </c>
      <c r="D984" s="83" t="s">
        <v>3975</v>
      </c>
      <c r="E984" s="84" t="s">
        <v>3976</v>
      </c>
      <c r="F984" s="80">
        <v>3</v>
      </c>
      <c r="G984" s="80" t="s">
        <v>283</v>
      </c>
      <c r="H984" s="82">
        <v>45261</v>
      </c>
      <c r="I984" s="85" t="s">
        <v>73</v>
      </c>
      <c r="J984" s="82" t="s">
        <v>2948</v>
      </c>
      <c r="K984" s="83" t="s">
        <v>3819</v>
      </c>
      <c r="L984" s="83" t="s">
        <v>810</v>
      </c>
      <c r="M984" s="83" t="s">
        <v>695</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325" t="s">
        <v>2849</v>
      </c>
      <c r="AB984" s="80"/>
      <c r="AC984" s="80"/>
    </row>
    <row r="985" spans="1:29" ht="39.950000000000003" customHeight="1">
      <c r="A985" s="80">
        <v>996</v>
      </c>
      <c r="B985" s="82">
        <v>45240</v>
      </c>
      <c r="C985" s="83" t="s">
        <v>4004</v>
      </c>
      <c r="D985" s="83" t="s">
        <v>2845</v>
      </c>
      <c r="E985" s="84" t="s">
        <v>4005</v>
      </c>
      <c r="F985" s="80">
        <v>8</v>
      </c>
      <c r="G985" s="80" t="s">
        <v>568</v>
      </c>
      <c r="H985" s="82">
        <v>45261</v>
      </c>
      <c r="I985" s="85" t="s">
        <v>73</v>
      </c>
      <c r="J985" s="82" t="s">
        <v>33</v>
      </c>
      <c r="K985" s="80">
        <f>IFERROR(VLOOKUP(J985,Jueces!$A$1:$B$11,2,FALSE),"")</f>
        <v>4</v>
      </c>
      <c r="L985" s="83" t="s">
        <v>800</v>
      </c>
      <c r="M985" s="382" t="s">
        <v>1087</v>
      </c>
      <c r="N985" s="80" t="s">
        <v>4042</v>
      </c>
      <c r="O985" s="83" t="str">
        <f t="shared" ca="1" si="57"/>
        <v>NO</v>
      </c>
      <c r="P985" s="83" t="str">
        <f t="shared" si="56"/>
        <v>DIANOSOL</v>
      </c>
      <c r="Q985" s="83" t="s">
        <v>951</v>
      </c>
      <c r="R985" s="83" t="str">
        <f>VLOOKUP($Q985,Resultados!$A$1:$B$49,2,FALSE)</f>
        <v xml:space="preserve"> _</v>
      </c>
      <c r="S985" s="83"/>
      <c r="T985" s="86" t="str">
        <f t="shared" si="58"/>
        <v>NO</v>
      </c>
      <c r="U985" s="86"/>
      <c r="V985" s="80"/>
      <c r="W985" s="80"/>
      <c r="X985" s="80"/>
      <c r="Y985" s="80"/>
      <c r="Z985" s="80"/>
      <c r="AA985" s="325" t="s">
        <v>1168</v>
      </c>
      <c r="AB985" s="80"/>
      <c r="AC985" s="80"/>
    </row>
    <row r="986" spans="1:29" ht="39.950000000000003" customHeight="1">
      <c r="A986" s="90">
        <v>1006</v>
      </c>
      <c r="B986" s="212">
        <v>45240</v>
      </c>
      <c r="C986" s="429">
        <v>0.39513888888888887</v>
      </c>
      <c r="D986" s="81" t="s">
        <v>4031</v>
      </c>
      <c r="E986" s="211" t="s">
        <v>4032</v>
      </c>
      <c r="F986" s="90">
        <v>5</v>
      </c>
      <c r="G986" s="90" t="s">
        <v>1441</v>
      </c>
      <c r="H986" s="212">
        <v>45261</v>
      </c>
      <c r="I986" s="246" t="s">
        <v>73</v>
      </c>
      <c r="J986" s="212" t="s">
        <v>35</v>
      </c>
      <c r="K986" s="90">
        <f>IFERROR(VLOOKUP(J986,Jueces!$A$1:$B$11,2,FALSE),"")</f>
        <v>3</v>
      </c>
      <c r="L986" s="81" t="s">
        <v>582</v>
      </c>
      <c r="M986" s="433" t="s">
        <v>2140</v>
      </c>
      <c r="N986" s="81" t="s">
        <v>4033</v>
      </c>
      <c r="O986" s="81" t="str">
        <f t="shared" ca="1" si="57"/>
        <v>NO</v>
      </c>
      <c r="P986" s="81" t="str">
        <f t="shared" si="56"/>
        <v>DIANOSOL</v>
      </c>
      <c r="Q986" s="81" t="s">
        <v>951</v>
      </c>
      <c r="R986" s="81" t="str">
        <f>VLOOKUP($Q986,Resultados!$A$1:$B$49,2,FALSE)</f>
        <v xml:space="preserve"> _</v>
      </c>
      <c r="S986" s="81"/>
      <c r="T986" s="388" t="str">
        <f t="shared" si="58"/>
        <v>NO</v>
      </c>
      <c r="U986" s="388"/>
      <c r="V986" s="90"/>
      <c r="W986" s="90"/>
      <c r="X986" s="90"/>
      <c r="Y986" s="90"/>
      <c r="Z986" s="90"/>
      <c r="AA986" s="81"/>
      <c r="AB986" s="90"/>
      <c r="AC986" s="90"/>
    </row>
    <row r="987" spans="1:29" ht="39.950000000000003" customHeight="1">
      <c r="A987" s="80">
        <v>1020</v>
      </c>
      <c r="B987" s="82">
        <v>45245</v>
      </c>
      <c r="C987" s="394">
        <v>0.44930555555555557</v>
      </c>
      <c r="D987" s="83" t="s">
        <v>4099</v>
      </c>
      <c r="E987" s="84" t="s">
        <v>4100</v>
      </c>
      <c r="F987" s="80">
        <v>3</v>
      </c>
      <c r="G987" s="80" t="s">
        <v>2771</v>
      </c>
      <c r="H987" s="82">
        <v>45261</v>
      </c>
      <c r="I987" s="85" t="s">
        <v>73</v>
      </c>
      <c r="J987" s="82" t="s">
        <v>78</v>
      </c>
      <c r="K987" s="80">
        <f>IFERROR(VLOOKUP(J987,Jueces!$A$1:$B$11,2,FALSE),"")</f>
        <v>8</v>
      </c>
      <c r="L987" s="83" t="s">
        <v>4101</v>
      </c>
      <c r="M987" s="235" t="s">
        <v>3798</v>
      </c>
      <c r="N987" s="80"/>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3418</v>
      </c>
      <c r="AB987" s="80"/>
      <c r="AC987" s="80"/>
    </row>
    <row r="988" spans="1:29" ht="39.950000000000003" customHeight="1">
      <c r="A988" s="80">
        <v>995</v>
      </c>
      <c r="B988" s="82">
        <v>45240</v>
      </c>
      <c r="C988" s="394">
        <v>0.37152777777777773</v>
      </c>
      <c r="D988" s="83" t="s">
        <v>4003</v>
      </c>
      <c r="E988" s="84" t="s">
        <v>4024</v>
      </c>
      <c r="F988" s="80">
        <v>3</v>
      </c>
      <c r="G988" s="80" t="s">
        <v>2785</v>
      </c>
      <c r="H988" s="82">
        <v>45261</v>
      </c>
      <c r="I988" s="85" t="s">
        <v>1086</v>
      </c>
      <c r="J988" s="82" t="s">
        <v>1219</v>
      </c>
      <c r="K988" s="80">
        <f>IFERROR(VLOOKUP(J988,Jueces!$A$1:$B$11,2,FALSE),"")</f>
        <v>1</v>
      </c>
      <c r="L988" s="83" t="s">
        <v>813</v>
      </c>
      <c r="M988" s="83" t="s">
        <v>695</v>
      </c>
      <c r="N988" s="393"/>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325" t="s">
        <v>2892</v>
      </c>
      <c r="AB988" s="80"/>
      <c r="AC988" s="80"/>
    </row>
    <row r="989" spans="1:29" ht="39.950000000000003" customHeight="1">
      <c r="A989" s="80">
        <v>1005</v>
      </c>
      <c r="B989" s="82">
        <v>45240</v>
      </c>
      <c r="C989" s="80"/>
      <c r="D989" s="83" t="s">
        <v>4025</v>
      </c>
      <c r="E989" s="84" t="s">
        <v>4026</v>
      </c>
      <c r="F989" s="80">
        <v>4</v>
      </c>
      <c r="G989" s="80" t="s">
        <v>2835</v>
      </c>
      <c r="H989" s="82">
        <v>45261</v>
      </c>
      <c r="I989" s="85" t="s">
        <v>1086</v>
      </c>
      <c r="J989" s="82" t="s">
        <v>1220</v>
      </c>
      <c r="K989" s="80">
        <f>IFERROR(VLOOKUP(J989,Jueces!$A$1:$B$11,2,FALSE),"")</f>
        <v>7</v>
      </c>
      <c r="L989" s="83" t="s">
        <v>802</v>
      </c>
      <c r="M989" s="393" t="s">
        <v>1874</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2849</v>
      </c>
      <c r="AB989" s="80"/>
      <c r="AC989" s="80"/>
    </row>
    <row r="990" spans="1:29" ht="39.950000000000003" customHeight="1">
      <c r="A990" s="364">
        <v>1057</v>
      </c>
      <c r="B990" s="403"/>
      <c r="C990" s="420"/>
      <c r="D990" s="214" t="s">
        <v>3973</v>
      </c>
      <c r="E990" s="215" t="s">
        <v>3974</v>
      </c>
      <c r="F990" s="364">
        <v>3</v>
      </c>
      <c r="G990" s="364" t="s">
        <v>1440</v>
      </c>
      <c r="H990" s="403">
        <v>45261</v>
      </c>
      <c r="I990" s="322" t="s">
        <v>1086</v>
      </c>
      <c r="J990" s="403" t="s">
        <v>31</v>
      </c>
      <c r="K990" s="364">
        <v>2</v>
      </c>
      <c r="L990" s="214" t="s">
        <v>809</v>
      </c>
      <c r="M990" s="434" t="s">
        <v>3420</v>
      </c>
      <c r="N990" s="214" t="s">
        <v>4229</v>
      </c>
      <c r="O990" s="214" t="e">
        <f ca="1">IF(#REF!&lt;&gt;"",IF(#REF!&lt;=TODAY(),"SI","NO"),"LIMBO")</f>
        <v>#REF!</v>
      </c>
      <c r="P990" s="214" t="e">
        <f>IF($P$1=#REF!,"DIASOL", "DIANOSOL")</f>
        <v>#REF!</v>
      </c>
      <c r="Q990" s="214" t="s">
        <v>951</v>
      </c>
      <c r="R990" s="214" t="str">
        <f>VLOOKUP($Q990,Resultados!$A$1:$B$49,2,FALSE)</f>
        <v xml:space="preserve"> _</v>
      </c>
      <c r="S990" s="214"/>
      <c r="T990" s="281" t="e">
        <f>IF(#REF!=$J$1,"SI","NO")</f>
        <v>#REF!</v>
      </c>
      <c r="U990" s="281"/>
      <c r="V990" s="364"/>
      <c r="W990" s="364"/>
      <c r="X990" s="364"/>
      <c r="Y990" s="364"/>
      <c r="Z990" s="364"/>
      <c r="AA990" s="214" t="s">
        <v>3417</v>
      </c>
      <c r="AB990" s="364"/>
      <c r="AC990" s="364"/>
    </row>
    <row r="991" spans="1:29" ht="39.950000000000003" customHeight="1">
      <c r="A991" s="80">
        <v>1003</v>
      </c>
      <c r="B991" s="82">
        <v>45240</v>
      </c>
      <c r="C991" s="394">
        <v>0.54722222222222217</v>
      </c>
      <c r="D991" s="83" t="s">
        <v>4019</v>
      </c>
      <c r="E991" s="84" t="s">
        <v>4020</v>
      </c>
      <c r="F991" s="80">
        <v>4</v>
      </c>
      <c r="G991" s="80" t="s">
        <v>1441</v>
      </c>
      <c r="H991" s="82">
        <v>45264</v>
      </c>
      <c r="I991" s="85" t="s">
        <v>73</v>
      </c>
      <c r="J991" s="82" t="s">
        <v>2951</v>
      </c>
      <c r="K991" s="83" t="s">
        <v>3819</v>
      </c>
      <c r="L991" s="83" t="s">
        <v>813</v>
      </c>
      <c r="M991" s="83" t="s">
        <v>1874</v>
      </c>
      <c r="N991" s="80"/>
      <c r="O991" s="83" t="str">
        <f t="shared" ref="O991:O1022" ca="1" si="59">IF(H991&lt;&gt;"",IF(H991&lt;=TODAY(),"SI","NO"),"LIMBO")</f>
        <v>NO</v>
      </c>
      <c r="P991" s="83" t="str">
        <f t="shared" ref="P991:P1022" si="60">IF($P$1=H991,"DIASOL", "DIANOSOL")</f>
        <v>DIANOSOL</v>
      </c>
      <c r="Q991" s="83" t="s">
        <v>951</v>
      </c>
      <c r="R991" s="83" t="str">
        <f>VLOOKUP($Q991,Resultados!$A$1:$B$49,2,FALSE)</f>
        <v xml:space="preserve"> _</v>
      </c>
      <c r="S991" s="83"/>
      <c r="T991" s="86" t="str">
        <f t="shared" ref="T991:T1022" si="61">IF(G991=$J$1,"SI","NO")</f>
        <v>NO</v>
      </c>
      <c r="U991" s="86"/>
      <c r="V991" s="80"/>
      <c r="W991" s="80"/>
      <c r="X991" s="80"/>
      <c r="Y991" s="80"/>
      <c r="Z991" s="80"/>
      <c r="AA991" s="325" t="s">
        <v>1170</v>
      </c>
      <c r="AB991" s="80"/>
      <c r="AC991" s="80"/>
    </row>
    <row r="992" spans="1:29" ht="39.950000000000003" customHeight="1">
      <c r="A992" s="80">
        <v>1005</v>
      </c>
      <c r="B992" s="82">
        <v>45240</v>
      </c>
      <c r="C992" s="394">
        <v>0.52569444444444446</v>
      </c>
      <c r="D992" s="83" t="s">
        <v>4022</v>
      </c>
      <c r="E992" s="84" t="s">
        <v>4084</v>
      </c>
      <c r="F992" s="80">
        <v>4</v>
      </c>
      <c r="G992" s="80" t="s">
        <v>1442</v>
      </c>
      <c r="H992" s="82">
        <v>45264</v>
      </c>
      <c r="I992" s="85" t="s">
        <v>73</v>
      </c>
      <c r="J992" s="82" t="s">
        <v>33</v>
      </c>
      <c r="K992" s="80">
        <f>IFERROR(VLOOKUP(J992,Jueces!$A$1:$B$11,2,FALSE),"")</f>
        <v>4</v>
      </c>
      <c r="L992" s="83" t="s">
        <v>800</v>
      </c>
      <c r="M992" s="83" t="s">
        <v>3798</v>
      </c>
      <c r="N992" s="80"/>
      <c r="O992" s="83" t="str">
        <f t="shared" ca="1" si="59"/>
        <v>NO</v>
      </c>
      <c r="P992" s="83" t="str">
        <f t="shared" si="60"/>
        <v>DIANOSOL</v>
      </c>
      <c r="Q992" s="83" t="s">
        <v>951</v>
      </c>
      <c r="R992" s="83" t="str">
        <f>VLOOKUP($Q992,Resultados!$A$1:$B$49,2,FALSE)</f>
        <v xml:space="preserve"> _</v>
      </c>
      <c r="S992" s="83"/>
      <c r="T992" s="86" t="str">
        <f t="shared" si="61"/>
        <v>NO</v>
      </c>
      <c r="U992" s="86"/>
      <c r="V992" s="80"/>
      <c r="W992" s="80"/>
      <c r="X992" s="80"/>
      <c r="Y992" s="80"/>
      <c r="Z992" s="80"/>
      <c r="AA992" s="325" t="s">
        <v>3418</v>
      </c>
      <c r="AB992" s="80"/>
      <c r="AC992" s="80"/>
    </row>
    <row r="993" spans="1:29" ht="39.950000000000003" customHeight="1">
      <c r="A993" s="80">
        <v>1045</v>
      </c>
      <c r="B993" s="82"/>
      <c r="C993" s="426"/>
      <c r="D993" s="80" t="s">
        <v>3673</v>
      </c>
      <c r="E993" s="395" t="s">
        <v>3674</v>
      </c>
      <c r="F993" s="80">
        <v>8</v>
      </c>
      <c r="G993" s="80" t="s">
        <v>2771</v>
      </c>
      <c r="H993" s="82">
        <v>45264</v>
      </c>
      <c r="I993" s="85" t="s">
        <v>73</v>
      </c>
      <c r="J993" s="82" t="s">
        <v>35</v>
      </c>
      <c r="K993" s="80">
        <f>IFERROR(VLOOKUP(J993,Jueces!$A$1:$B$11,2,FALSE),"")</f>
        <v>3</v>
      </c>
      <c r="L993" s="83" t="s">
        <v>798</v>
      </c>
      <c r="M993" s="83" t="s">
        <v>3016</v>
      </c>
      <c r="N993" s="83" t="s">
        <v>4262</v>
      </c>
      <c r="O993" s="83" t="str">
        <f t="shared" ca="1" si="59"/>
        <v>NO</v>
      </c>
      <c r="P993" s="83" t="str">
        <f t="shared" si="60"/>
        <v>DIANOSOL</v>
      </c>
      <c r="Q993" s="83" t="s">
        <v>951</v>
      </c>
      <c r="R993" s="83" t="str">
        <f>VLOOKUP($Q993,Resultados!$A$1:$B$49,2,FALSE)</f>
        <v xml:space="preserve"> _</v>
      </c>
      <c r="S993" s="83"/>
      <c r="T993" s="86" t="str">
        <f t="shared" si="61"/>
        <v>NO</v>
      </c>
      <c r="U993" s="86"/>
      <c r="V993" s="80"/>
      <c r="W993" s="80"/>
      <c r="X993" s="80"/>
      <c r="Y993" s="80"/>
      <c r="Z993" s="80"/>
      <c r="AA993" s="83" t="s">
        <v>2892</v>
      </c>
      <c r="AB993" s="80"/>
      <c r="AC993" s="80"/>
    </row>
    <row r="994" spans="1:29" ht="39.950000000000003" customHeight="1">
      <c r="A994" s="80">
        <v>982</v>
      </c>
      <c r="B994" s="82">
        <v>45239</v>
      </c>
      <c r="C994" s="394">
        <v>0.39583333333333331</v>
      </c>
      <c r="D994" s="83" t="s">
        <v>3833</v>
      </c>
      <c r="E994" s="84" t="s">
        <v>4098</v>
      </c>
      <c r="F994" s="80">
        <v>4</v>
      </c>
      <c r="G994" s="80" t="s">
        <v>568</v>
      </c>
      <c r="H994" s="82">
        <v>45264</v>
      </c>
      <c r="I994" s="85" t="s">
        <v>1086</v>
      </c>
      <c r="J994" s="82" t="s">
        <v>1219</v>
      </c>
      <c r="K994" s="80">
        <f>IFERROR(VLOOKUP(J994,Jueces!$A$1:$B$11,2,FALSE),"")</f>
        <v>1</v>
      </c>
      <c r="L994" s="83" t="s">
        <v>800</v>
      </c>
      <c r="M994" s="83" t="s">
        <v>695</v>
      </c>
      <c r="N994" s="80"/>
      <c r="O994" s="83" t="str">
        <f t="shared" ca="1" si="59"/>
        <v>NO</v>
      </c>
      <c r="P994" s="83" t="str">
        <f t="shared" si="60"/>
        <v>DIANOSOL</v>
      </c>
      <c r="Q994" s="83" t="s">
        <v>951</v>
      </c>
      <c r="R994" s="83" t="str">
        <f>VLOOKUP($Q994,Resultados!$A$1:$B$49,2,FALSE)</f>
        <v xml:space="preserve"> _</v>
      </c>
      <c r="S994" s="83"/>
      <c r="T994" s="86" t="str">
        <f t="shared" si="61"/>
        <v>NO</v>
      </c>
      <c r="U994" s="86"/>
      <c r="V994" s="80"/>
      <c r="W994" s="80"/>
      <c r="X994" s="80"/>
      <c r="Y994" s="80"/>
      <c r="Z994" s="80"/>
      <c r="AA994" s="325" t="s">
        <v>3418</v>
      </c>
      <c r="AB994" s="80"/>
      <c r="AC994" s="80"/>
    </row>
    <row r="995" spans="1:29" ht="39.950000000000003" customHeight="1">
      <c r="A995" s="80">
        <v>1008</v>
      </c>
      <c r="B995" s="85">
        <v>45243</v>
      </c>
      <c r="C995" s="394">
        <v>0.3833333333333333</v>
      </c>
      <c r="D995" s="83" t="s">
        <v>4037</v>
      </c>
      <c r="E995" s="84" t="s">
        <v>4038</v>
      </c>
      <c r="F995" s="80">
        <v>3</v>
      </c>
      <c r="G995" s="80" t="s">
        <v>2785</v>
      </c>
      <c r="H995" s="82">
        <v>45264</v>
      </c>
      <c r="I995" s="85" t="s">
        <v>1086</v>
      </c>
      <c r="J995" s="82" t="s">
        <v>31</v>
      </c>
      <c r="K995" s="80">
        <f>IFERROR(VLOOKUP(J995,Jueces!$A$1:$B$11,2,FALSE),"")</f>
        <v>2</v>
      </c>
      <c r="L995" s="83" t="s">
        <v>809</v>
      </c>
      <c r="M995" s="83" t="s">
        <v>3798</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3418</v>
      </c>
      <c r="AB995" s="80"/>
      <c r="AC995" s="80"/>
    </row>
    <row r="996" spans="1:29" ht="39.950000000000003" customHeight="1">
      <c r="A996" s="364">
        <v>1053</v>
      </c>
      <c r="B996" s="403"/>
      <c r="C996" s="420"/>
      <c r="D996" s="364" t="s">
        <v>3892</v>
      </c>
      <c r="E996" s="421" t="s">
        <v>3893</v>
      </c>
      <c r="F996" s="364">
        <v>4</v>
      </c>
      <c r="G996" s="364" t="s">
        <v>3362</v>
      </c>
      <c r="H996" s="403">
        <v>45264</v>
      </c>
      <c r="I996" s="322" t="s">
        <v>1086</v>
      </c>
      <c r="J996" s="403" t="s">
        <v>1220</v>
      </c>
      <c r="K996" s="364">
        <f>IFERROR(VLOOKUP(J996,Jueces!$A$1:$B$11,2,FALSE),"")</f>
        <v>7</v>
      </c>
      <c r="L996" s="214" t="s">
        <v>813</v>
      </c>
      <c r="M996" s="214" t="s">
        <v>1874</v>
      </c>
      <c r="N996" s="214" t="s">
        <v>4216</v>
      </c>
      <c r="O996" s="214" t="str">
        <f t="shared" ca="1" si="59"/>
        <v>NO</v>
      </c>
      <c r="P996" s="214" t="str">
        <f t="shared" si="60"/>
        <v>DIANOSOL</v>
      </c>
      <c r="Q996" s="214" t="s">
        <v>951</v>
      </c>
      <c r="R996" s="214" t="str">
        <f>VLOOKUP($Q996,Resultados!$A$1:$B$49,2,FALSE)</f>
        <v xml:space="preserve"> _</v>
      </c>
      <c r="S996" s="214"/>
      <c r="T996" s="281" t="str">
        <f t="shared" si="61"/>
        <v>NO</v>
      </c>
      <c r="U996" s="281"/>
      <c r="V996" s="364"/>
      <c r="W996" s="364"/>
      <c r="X996" s="364"/>
      <c r="Y996" s="364"/>
      <c r="Z996" s="364"/>
      <c r="AA996" s="214" t="s">
        <v>2849</v>
      </c>
      <c r="AB996" s="364"/>
      <c r="AC996" s="364"/>
    </row>
    <row r="997" spans="1:29" ht="39.950000000000003" customHeight="1">
      <c r="A997" s="80">
        <v>1046</v>
      </c>
      <c r="B997" s="82"/>
      <c r="C997" s="426"/>
      <c r="D997" s="80" t="s">
        <v>4027</v>
      </c>
      <c r="E997" s="395" t="s">
        <v>3621</v>
      </c>
      <c r="F997" s="80">
        <v>3</v>
      </c>
      <c r="G997" s="80" t="s">
        <v>3361</v>
      </c>
      <c r="H997" s="82">
        <v>45264</v>
      </c>
      <c r="I997" s="85" t="s">
        <v>1086</v>
      </c>
      <c r="J997" s="82" t="s">
        <v>78</v>
      </c>
      <c r="K997" s="80">
        <f>IFERROR(VLOOKUP(J997,Jueces!$A$1:$B$11,2,FALSE),"")</f>
        <v>8</v>
      </c>
      <c r="L997" s="83" t="s">
        <v>812</v>
      </c>
      <c r="M997" s="83" t="s">
        <v>694</v>
      </c>
      <c r="N997" s="83" t="s">
        <v>4264</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83" t="s">
        <v>3417</v>
      </c>
      <c r="AB997" s="80"/>
      <c r="AC997" s="80"/>
    </row>
    <row r="998" spans="1:29" ht="39.950000000000003" customHeight="1">
      <c r="A998" s="80">
        <v>1009</v>
      </c>
      <c r="B998" s="82">
        <v>45243</v>
      </c>
      <c r="C998" s="394">
        <v>0.40208333333333335</v>
      </c>
      <c r="D998" s="83" t="s">
        <v>4039</v>
      </c>
      <c r="E998" s="84" t="s">
        <v>4088</v>
      </c>
      <c r="F998" s="80">
        <v>3</v>
      </c>
      <c r="G998" s="80" t="s">
        <v>3361</v>
      </c>
      <c r="H998" s="82">
        <v>45265</v>
      </c>
      <c r="I998" s="85" t="s">
        <v>73</v>
      </c>
      <c r="J998" s="82" t="s">
        <v>33</v>
      </c>
      <c r="K998" s="80">
        <f>IFERROR(VLOOKUP(J998,Jueces!$A$1:$B$11,2,FALSE),"")</f>
        <v>4</v>
      </c>
      <c r="L998" s="83" t="s">
        <v>809</v>
      </c>
      <c r="M998" s="81" t="s">
        <v>695</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3418</v>
      </c>
      <c r="AB998" s="80"/>
      <c r="AC998" s="80"/>
    </row>
    <row r="999" spans="1:29" ht="39.950000000000003" customHeight="1">
      <c r="A999" s="80">
        <v>990</v>
      </c>
      <c r="B999" s="82">
        <v>45239</v>
      </c>
      <c r="C999" s="394">
        <v>0.53125</v>
      </c>
      <c r="D999" s="83" t="s">
        <v>3994</v>
      </c>
      <c r="E999" s="84" t="s">
        <v>3995</v>
      </c>
      <c r="F999" s="80">
        <v>2</v>
      </c>
      <c r="G999" s="80" t="s">
        <v>1441</v>
      </c>
      <c r="H999" s="82">
        <v>45265</v>
      </c>
      <c r="I999" s="85" t="s">
        <v>73</v>
      </c>
      <c r="J999" s="82" t="s">
        <v>1220</v>
      </c>
      <c r="K999" s="80">
        <f>IFERROR(VLOOKUP(J999,Jueces!$A$1:$B$11,2,FALSE),"")</f>
        <v>7</v>
      </c>
      <c r="L999" s="83" t="s">
        <v>810</v>
      </c>
      <c r="M999" s="425" t="s">
        <v>700</v>
      </c>
      <c r="N999" s="83" t="s">
        <v>4210</v>
      </c>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1170</v>
      </c>
      <c r="AB999" s="80"/>
      <c r="AC999" s="80"/>
    </row>
    <row r="1000" spans="1:29" ht="39.950000000000003" customHeight="1">
      <c r="A1000" s="80">
        <v>998</v>
      </c>
      <c r="B1000" s="82">
        <v>45240</v>
      </c>
      <c r="C1000" s="394">
        <v>0.46388888888888885</v>
      </c>
      <c r="D1000" s="83" t="s">
        <v>4011</v>
      </c>
      <c r="E1000" s="84" t="s">
        <v>4012</v>
      </c>
      <c r="F1000" s="80">
        <v>4</v>
      </c>
      <c r="G1000" s="80" t="s">
        <v>3362</v>
      </c>
      <c r="H1000" s="82">
        <v>45265</v>
      </c>
      <c r="I1000" s="85" t="s">
        <v>73</v>
      </c>
      <c r="J1000" s="82" t="s">
        <v>35</v>
      </c>
      <c r="K1000" s="80">
        <f>IFERROR(VLOOKUP(J1000,Jueces!$A$1:$B$11,2,FALSE),"")</f>
        <v>3</v>
      </c>
      <c r="L1000" s="83" t="s">
        <v>791</v>
      </c>
      <c r="M1000" s="83" t="s">
        <v>3798</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83" t="s">
        <v>2892</v>
      </c>
      <c r="AB1000" s="80"/>
      <c r="AC1000" s="80"/>
    </row>
    <row r="1001" spans="1:29" ht="39.950000000000003" customHeight="1">
      <c r="A1001" s="80">
        <v>1011</v>
      </c>
      <c r="B1001" s="82">
        <v>45243</v>
      </c>
      <c r="C1001" s="394">
        <v>0.5131944444444444</v>
      </c>
      <c r="D1001" s="83" t="s">
        <v>4064</v>
      </c>
      <c r="E1001" s="84" t="s">
        <v>4065</v>
      </c>
      <c r="F1001" s="80">
        <v>4</v>
      </c>
      <c r="G1001" s="80" t="s">
        <v>1440</v>
      </c>
      <c r="H1001" s="82">
        <v>45265</v>
      </c>
      <c r="I1001" s="85" t="s">
        <v>73</v>
      </c>
      <c r="J1001" s="82" t="s">
        <v>31</v>
      </c>
      <c r="K1001" s="80">
        <f>IFERROR(VLOOKUP(J1001,Jueces!$A$1:$B$11,2,FALSE),"")</f>
        <v>2</v>
      </c>
      <c r="L1001" s="83" t="s">
        <v>811</v>
      </c>
      <c r="M1001" s="83" t="s">
        <v>1964</v>
      </c>
      <c r="N1001" s="80"/>
      <c r="O1001" s="83" t="str">
        <f t="shared" ca="1" si="59"/>
        <v>NO</v>
      </c>
      <c r="P1001" s="83" t="str">
        <f t="shared" si="60"/>
        <v>DIANOSOL</v>
      </c>
      <c r="Q1001" s="83" t="s">
        <v>951</v>
      </c>
      <c r="R1001" s="83" t="str">
        <f>VLOOKUP($Q1001,Resultados!$A$1:$B$49,2,FALSE)</f>
        <v xml:space="preserve"> _</v>
      </c>
      <c r="S1001" s="83"/>
      <c r="T1001" s="86" t="str">
        <f t="shared" si="61"/>
        <v>SI</v>
      </c>
      <c r="U1001" s="86"/>
      <c r="V1001" s="80"/>
      <c r="W1001" s="80"/>
      <c r="X1001" s="80"/>
      <c r="Y1001" s="80"/>
      <c r="Z1001" s="80"/>
      <c r="AA1001" s="83" t="s">
        <v>2849</v>
      </c>
      <c r="AB1001" s="80"/>
      <c r="AC1001" s="80"/>
    </row>
    <row r="1002" spans="1:29" ht="39.950000000000003" customHeight="1">
      <c r="A1002" s="80">
        <v>1014</v>
      </c>
      <c r="B1002" s="82">
        <v>45244</v>
      </c>
      <c r="C1002" s="394">
        <v>0.4145833333333333</v>
      </c>
      <c r="D1002" s="83" t="s">
        <v>4146</v>
      </c>
      <c r="E1002" s="84" t="s">
        <v>4071</v>
      </c>
      <c r="F1002" s="80">
        <v>4</v>
      </c>
      <c r="G1002" s="83" t="s">
        <v>568</v>
      </c>
      <c r="H1002" s="82">
        <v>45265</v>
      </c>
      <c r="I1002" s="85" t="s">
        <v>73</v>
      </c>
      <c r="J1002" s="82" t="s">
        <v>78</v>
      </c>
      <c r="K1002" s="80">
        <f>IFERROR(VLOOKUP(J1002,Jueces!$A$1:$B$11,2,FALSE),"")</f>
        <v>8</v>
      </c>
      <c r="L1002" s="83" t="s">
        <v>791</v>
      </c>
      <c r="M1002" s="367" t="s">
        <v>4147</v>
      </c>
      <c r="N1002" s="80"/>
      <c r="O1002" s="83" t="str">
        <f t="shared" ca="1" si="59"/>
        <v>NO</v>
      </c>
      <c r="P1002" s="83" t="str">
        <f t="shared" si="60"/>
        <v>DIANOSOL</v>
      </c>
      <c r="Q1002" s="83" t="s">
        <v>951</v>
      </c>
      <c r="R1002" s="83" t="str">
        <f>VLOOKUP($Q1002,Resultados!$A$1:$B$49,2,FALSE)</f>
        <v xml:space="preserve"> _</v>
      </c>
      <c r="S1002" s="83"/>
      <c r="T1002" s="86" t="str">
        <f t="shared" si="61"/>
        <v>NO</v>
      </c>
      <c r="U1002" s="86"/>
      <c r="V1002" s="80"/>
      <c r="W1002" s="80"/>
      <c r="X1002" s="80"/>
      <c r="Y1002" s="80"/>
      <c r="Z1002" s="80"/>
      <c r="AA1002" s="83" t="s">
        <v>3418</v>
      </c>
      <c r="AB1002" s="80"/>
      <c r="AC1002" s="80"/>
    </row>
    <row r="1003" spans="1:29" ht="39.950000000000003" customHeight="1">
      <c r="A1003" s="83" t="s">
        <v>4261</v>
      </c>
      <c r="B1003" s="82">
        <v>45240</v>
      </c>
      <c r="C1003" s="394">
        <v>0.52986111111111112</v>
      </c>
      <c r="D1003" s="83" t="s">
        <v>4021</v>
      </c>
      <c r="E1003" s="84" t="s">
        <v>4190</v>
      </c>
      <c r="F1003" s="80">
        <v>4</v>
      </c>
      <c r="G1003" s="80" t="s">
        <v>1442</v>
      </c>
      <c r="H1003" s="82">
        <v>45265</v>
      </c>
      <c r="I1003" s="85" t="s">
        <v>1086</v>
      </c>
      <c r="J1003" s="82" t="s">
        <v>1219</v>
      </c>
      <c r="K1003" s="80">
        <f>IFERROR(VLOOKUP(J1003,Jueces!$A$1:$B$11,2,FALSE),"")</f>
        <v>1</v>
      </c>
      <c r="L1003" s="83" t="s">
        <v>809</v>
      </c>
      <c r="M1003" s="83" t="s">
        <v>1874</v>
      </c>
      <c r="N1003" s="80"/>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0"/>
      <c r="AC1003" s="80"/>
    </row>
    <row r="1004" spans="1:29" ht="39.950000000000003" customHeight="1">
      <c r="A1004" s="80">
        <v>1016</v>
      </c>
      <c r="B1004" s="82">
        <v>45244</v>
      </c>
      <c r="C1004" s="394">
        <v>0.3833333333333333</v>
      </c>
      <c r="D1004" s="83" t="s">
        <v>4151</v>
      </c>
      <c r="E1004" s="84" t="s">
        <v>4074</v>
      </c>
      <c r="F1004" s="83">
        <v>4</v>
      </c>
      <c r="G1004" s="80" t="s">
        <v>568</v>
      </c>
      <c r="H1004" s="82">
        <v>45266</v>
      </c>
      <c r="I1004" s="85" t="s">
        <v>73</v>
      </c>
      <c r="J1004" s="82" t="s">
        <v>78</v>
      </c>
      <c r="K1004" s="80">
        <f>IFERROR(VLOOKUP(J1004,Jueces!$A$1:$B$11,2,FALSE),"")</f>
        <v>8</v>
      </c>
      <c r="L1004" s="83" t="s">
        <v>809</v>
      </c>
      <c r="M1004" s="83" t="s">
        <v>1964</v>
      </c>
      <c r="N1004" s="80"/>
      <c r="O1004" s="83" t="str">
        <f t="shared" ca="1" si="59"/>
        <v>NO</v>
      </c>
      <c r="P1004" s="83" t="str">
        <f t="shared" si="60"/>
        <v>DIANOSOL</v>
      </c>
      <c r="Q1004" s="83" t="s">
        <v>951</v>
      </c>
      <c r="R1004" s="83" t="str">
        <f>VLOOKUP($Q1004,Resultados!$A$1:$B$49,2,FALSE)</f>
        <v xml:space="preserve"> _</v>
      </c>
      <c r="S1004" s="83"/>
      <c r="T1004" s="86" t="str">
        <f t="shared" si="61"/>
        <v>NO</v>
      </c>
      <c r="U1004" s="86"/>
      <c r="V1004" s="80"/>
      <c r="W1004" s="80"/>
      <c r="X1004" s="80"/>
      <c r="Y1004" s="80"/>
      <c r="Z1004" s="80"/>
      <c r="AA1004" s="83" t="s">
        <v>3418</v>
      </c>
      <c r="AB1004" s="80"/>
      <c r="AC1004" s="80"/>
    </row>
    <row r="1005" spans="1:29" ht="39.950000000000003" customHeight="1">
      <c r="A1005" s="80">
        <v>999</v>
      </c>
      <c r="B1005" s="82">
        <v>45240</v>
      </c>
      <c r="C1005" s="394">
        <v>0.45416666666666666</v>
      </c>
      <c r="D1005" s="83" t="s">
        <v>4013</v>
      </c>
      <c r="E1005" s="84" t="s">
        <v>4152</v>
      </c>
      <c r="F1005" s="80">
        <v>4</v>
      </c>
      <c r="G1005" s="80" t="s">
        <v>3361</v>
      </c>
      <c r="H1005" s="82">
        <v>45266</v>
      </c>
      <c r="I1005" s="85" t="s">
        <v>1086</v>
      </c>
      <c r="J1005" s="82" t="s">
        <v>35</v>
      </c>
      <c r="K1005" s="80">
        <f>IFERROR(VLOOKUP(J1005,Jueces!$A$1:$B$11,2,FALSE),"")</f>
        <v>3</v>
      </c>
      <c r="L1005" s="83" t="s">
        <v>809</v>
      </c>
      <c r="M1005" s="83" t="s">
        <v>1874</v>
      </c>
      <c r="N1005" s="80"/>
      <c r="O1005" s="83" t="str">
        <f t="shared" ca="1" si="59"/>
        <v>NO</v>
      </c>
      <c r="P1005" s="83" t="str">
        <f t="shared" si="60"/>
        <v>DIANOSOL</v>
      </c>
      <c r="Q1005" s="83" t="s">
        <v>951</v>
      </c>
      <c r="R1005" s="83" t="str">
        <f>VLOOKUP($Q1005,Resultados!$A$1:$B$49,2,FALSE)</f>
        <v xml:space="preserve"> _</v>
      </c>
      <c r="S1005" s="83"/>
      <c r="T1005" s="86" t="str">
        <f t="shared" si="61"/>
        <v>NO</v>
      </c>
      <c r="U1005" s="86"/>
      <c r="V1005" s="80"/>
      <c r="W1005" s="80"/>
      <c r="X1005" s="80"/>
      <c r="Y1005" s="80"/>
      <c r="Z1005" s="80"/>
      <c r="AA1005" s="83" t="s">
        <v>2849</v>
      </c>
      <c r="AB1005" s="80"/>
      <c r="AC1005" s="80"/>
    </row>
    <row r="1006" spans="1:29" ht="39.950000000000003" customHeight="1">
      <c r="A1006" s="214">
        <v>882</v>
      </c>
      <c r="B1006" s="322"/>
      <c r="C1006" s="214"/>
      <c r="D1006" s="214" t="s">
        <v>3229</v>
      </c>
      <c r="E1006" s="215" t="s">
        <v>3618</v>
      </c>
      <c r="F1006" s="214">
        <v>2</v>
      </c>
      <c r="G1006" s="214" t="s">
        <v>1441</v>
      </c>
      <c r="H1006" s="322">
        <v>45273</v>
      </c>
      <c r="I1006" s="322" t="s">
        <v>73</v>
      </c>
      <c r="J1006" s="322" t="s">
        <v>35</v>
      </c>
      <c r="K1006" s="214">
        <f>IFERROR(VLOOKUP(J1006,Jueces!$A$1:$B$11,2,FALSE),"")</f>
        <v>3</v>
      </c>
      <c r="L1006" s="214" t="s">
        <v>812</v>
      </c>
      <c r="M1006" s="428" t="s">
        <v>692</v>
      </c>
      <c r="N1006" s="214" t="s">
        <v>3619</v>
      </c>
      <c r="O1006" s="214" t="str">
        <f t="shared" ca="1" si="59"/>
        <v>NO</v>
      </c>
      <c r="P1006" s="214" t="str">
        <f t="shared" si="60"/>
        <v>DIANOSOL</v>
      </c>
      <c r="Q1006" s="214" t="s">
        <v>951</v>
      </c>
      <c r="R1006" s="214" t="str">
        <f>VLOOKUP($Q1006,Resultados!$A$1:$B$49,2,FALSE)</f>
        <v xml:space="preserve"> _</v>
      </c>
      <c r="S1006" s="214"/>
      <c r="T1006" s="281" t="str">
        <f t="shared" si="61"/>
        <v>NO</v>
      </c>
      <c r="U1006" s="281"/>
      <c r="V1006" s="214"/>
      <c r="W1006" s="214"/>
      <c r="X1006" s="214"/>
      <c r="Y1006" s="214"/>
      <c r="Z1006" s="214"/>
      <c r="AA1006" s="214"/>
      <c r="AB1006" s="214"/>
      <c r="AC1006" s="364"/>
    </row>
    <row r="1007" spans="1:29" ht="39.950000000000003" customHeight="1">
      <c r="A1007" s="214">
        <v>827</v>
      </c>
      <c r="B1007" s="322"/>
      <c r="C1007" s="214"/>
      <c r="D1007" s="214" t="s">
        <v>3163</v>
      </c>
      <c r="E1007" s="215" t="s">
        <v>3202</v>
      </c>
      <c r="F1007" s="214">
        <v>2</v>
      </c>
      <c r="G1007" s="214" t="s">
        <v>1442</v>
      </c>
      <c r="H1007" s="322"/>
      <c r="I1007" s="322"/>
      <c r="J1007" s="322" t="s">
        <v>2948</v>
      </c>
      <c r="K1007" s="214" t="s">
        <v>1924</v>
      </c>
      <c r="L1007" s="214" t="s">
        <v>809</v>
      </c>
      <c r="M1007" s="214" t="s">
        <v>692</v>
      </c>
      <c r="N1007" s="214" t="s">
        <v>4043</v>
      </c>
      <c r="O1007" s="214" t="str">
        <f t="shared" ca="1" si="59"/>
        <v>LIMBO</v>
      </c>
      <c r="P1007" s="214" t="str">
        <f t="shared" si="60"/>
        <v>DIANOSOL</v>
      </c>
      <c r="Q1007" s="214" t="s">
        <v>951</v>
      </c>
      <c r="R1007" s="214" t="str">
        <f>VLOOKUP($Q1007,Resultados!$A$1:$B$49,2,FALSE)</f>
        <v xml:space="preserve"> _</v>
      </c>
      <c r="S1007" s="214"/>
      <c r="T1007" s="281" t="str">
        <f t="shared" si="61"/>
        <v>NO</v>
      </c>
      <c r="U1007" s="281"/>
      <c r="V1007" s="214"/>
      <c r="W1007" s="214"/>
      <c r="X1007" s="214"/>
      <c r="Y1007" s="214"/>
      <c r="Z1007" s="214"/>
      <c r="AA1007" s="410" t="s">
        <v>1170</v>
      </c>
      <c r="AB1007" s="214" t="s">
        <v>1173</v>
      </c>
      <c r="AC1007" s="364"/>
    </row>
    <row r="1008" spans="1:29" ht="39.950000000000003" customHeight="1">
      <c r="A1008" s="361">
        <v>991</v>
      </c>
      <c r="B1008" s="378">
        <v>45240</v>
      </c>
      <c r="C1008" s="419">
        <v>0.35347222222222219</v>
      </c>
      <c r="D1008" s="172" t="s">
        <v>3996</v>
      </c>
      <c r="E1008" s="173" t="s">
        <v>3997</v>
      </c>
      <c r="F1008" s="361">
        <v>3</v>
      </c>
      <c r="G1008" s="361"/>
      <c r="H1008" s="378"/>
      <c r="I1008" s="378"/>
      <c r="J1008" s="378"/>
      <c r="K1008" s="361" t="str">
        <f>IFERROR(VLOOKUP(J1008,Jueces!$A$1:$B$11,2,FALSE),"")</f>
        <v/>
      </c>
      <c r="L1008" s="172" t="s">
        <v>812</v>
      </c>
      <c r="M1008" s="172"/>
      <c r="N1008" s="361"/>
      <c r="O1008" s="172" t="str">
        <f t="shared" ca="1" si="59"/>
        <v>LIMBO</v>
      </c>
      <c r="P1008" s="172" t="str">
        <f t="shared" si="60"/>
        <v>DIANOSOL</v>
      </c>
      <c r="Q1008" s="172" t="s">
        <v>951</v>
      </c>
      <c r="R1008" s="172" t="str">
        <f>VLOOKUP($Q1008,Resultados!$A$1:$B$49,2,FALSE)</f>
        <v xml:space="preserve"> _</v>
      </c>
      <c r="S1008" s="172"/>
      <c r="T1008" s="174" t="str">
        <f t="shared" si="61"/>
        <v>NO</v>
      </c>
      <c r="U1008" s="174"/>
      <c r="V1008" s="361"/>
      <c r="W1008" s="361"/>
      <c r="X1008" s="361"/>
      <c r="Y1008" s="361"/>
      <c r="Z1008" s="361"/>
      <c r="AA1008" s="361"/>
      <c r="AB1008" s="361"/>
      <c r="AC1008" s="361"/>
    </row>
    <row r="1009" spans="1:29" ht="39.950000000000003" customHeight="1">
      <c r="A1009" s="361">
        <v>1001</v>
      </c>
      <c r="B1009" s="378">
        <v>45240</v>
      </c>
      <c r="C1009" s="419">
        <v>0.44236111111111115</v>
      </c>
      <c r="D1009" s="172" t="s">
        <v>2508</v>
      </c>
      <c r="E1009" s="173" t="s">
        <v>4016</v>
      </c>
      <c r="F1009" s="361">
        <v>7</v>
      </c>
      <c r="G1009" s="361"/>
      <c r="H1009" s="378"/>
      <c r="I1009" s="378"/>
      <c r="J1009" s="378"/>
      <c r="K1009" s="361" t="str">
        <f>IFERROR(VLOOKUP(J1009,Jueces!$A$1:$B$11,2,FALSE),"")</f>
        <v/>
      </c>
      <c r="L1009" s="172" t="s">
        <v>812</v>
      </c>
      <c r="M1009" s="172"/>
      <c r="N1009" s="361"/>
      <c r="O1009" s="172" t="str">
        <f t="shared" ca="1" si="59"/>
        <v>LIMBO</v>
      </c>
      <c r="P1009" s="172" t="str">
        <f t="shared" si="60"/>
        <v>DIANOSOL</v>
      </c>
      <c r="Q1009" s="172" t="s">
        <v>951</v>
      </c>
      <c r="R1009" s="172" t="str">
        <f>VLOOKUP($Q1009,Resultados!$A$1:$B$49,2,FALSE)</f>
        <v xml:space="preserve"> _</v>
      </c>
      <c r="S1009" s="172"/>
      <c r="T1009" s="174" t="str">
        <f t="shared" si="61"/>
        <v>NO</v>
      </c>
      <c r="U1009" s="174"/>
      <c r="V1009" s="361"/>
      <c r="W1009" s="361"/>
      <c r="X1009" s="361"/>
      <c r="Y1009" s="361"/>
      <c r="Z1009" s="361"/>
      <c r="AA1009" s="361"/>
      <c r="AB1009" s="361"/>
      <c r="AC1009" s="361"/>
    </row>
    <row r="1010" spans="1:29" ht="39.950000000000003" customHeight="1">
      <c r="A1010" s="361">
        <v>1015</v>
      </c>
      <c r="B1010" s="378">
        <v>45244</v>
      </c>
      <c r="C1010" s="419">
        <v>0.38541666666666669</v>
      </c>
      <c r="D1010" s="172" t="s">
        <v>4072</v>
      </c>
      <c r="E1010" s="173" t="s">
        <v>4073</v>
      </c>
      <c r="F1010" s="361">
        <v>4</v>
      </c>
      <c r="G1010" s="361"/>
      <c r="H1010" s="378"/>
      <c r="I1010" s="378"/>
      <c r="J1010" s="378"/>
      <c r="K1010" s="361" t="str">
        <f>IFERROR(VLOOKUP(J1010,Jueces!$A$1:$B$11,2,FALSE),"")</f>
        <v/>
      </c>
      <c r="L1010" s="172" t="s">
        <v>814</v>
      </c>
      <c r="M1010" s="172"/>
      <c r="N1010" s="361"/>
      <c r="O1010" s="172" t="str">
        <f t="shared" ca="1" si="59"/>
        <v>LIMBO</v>
      </c>
      <c r="P1010" s="172" t="str">
        <f t="shared" si="60"/>
        <v>DIANOSOL</v>
      </c>
      <c r="Q1010" s="172" t="s">
        <v>951</v>
      </c>
      <c r="R1010" s="172" t="str">
        <f>VLOOKUP($Q1010,Resultados!$A$1:$B$49,2,FALSE)</f>
        <v xml:space="preserve"> _</v>
      </c>
      <c r="S1010" s="172"/>
      <c r="T1010" s="174" t="str">
        <f t="shared" si="61"/>
        <v>NO</v>
      </c>
      <c r="U1010" s="174"/>
      <c r="V1010" s="361"/>
      <c r="W1010" s="361"/>
      <c r="X1010" s="361"/>
      <c r="Y1010" s="361"/>
      <c r="Z1010" s="361"/>
      <c r="AA1010" s="361"/>
      <c r="AB1010" s="361"/>
      <c r="AC1010" s="361"/>
    </row>
    <row r="1011" spans="1:29" ht="39.950000000000003" customHeight="1">
      <c r="A1011" s="361">
        <v>1017</v>
      </c>
      <c r="B1011" s="378">
        <v>45244</v>
      </c>
      <c r="C1011" s="419">
        <v>0.38125000000000003</v>
      </c>
      <c r="D1011" s="172" t="s">
        <v>4075</v>
      </c>
      <c r="E1011" s="173" t="s">
        <v>4076</v>
      </c>
      <c r="F1011" s="361">
        <v>4</v>
      </c>
      <c r="G1011" s="361"/>
      <c r="H1011" s="378"/>
      <c r="I1011" s="378"/>
      <c r="J1011" s="378"/>
      <c r="K1011" s="361" t="str">
        <f>IFERROR(VLOOKUP(J1011,Jueces!$A$1:$B$11,2,FALSE),"")</f>
        <v/>
      </c>
      <c r="L1011" s="172" t="s">
        <v>812</v>
      </c>
      <c r="M1011" s="172"/>
      <c r="N1011" s="361"/>
      <c r="O1011" s="172" t="str">
        <f t="shared" ca="1" si="59"/>
        <v>LIMBO</v>
      </c>
      <c r="P1011" s="172" t="str">
        <f t="shared" si="60"/>
        <v>DIANOSOL</v>
      </c>
      <c r="Q1011" s="172" t="s">
        <v>951</v>
      </c>
      <c r="R1011" s="172" t="str">
        <f>VLOOKUP($Q1011,Resultados!$A$1:$B$49,2,FALSE)</f>
        <v xml:space="preserve"> _</v>
      </c>
      <c r="S1011" s="172"/>
      <c r="T1011" s="174" t="str">
        <f t="shared" si="61"/>
        <v>NO</v>
      </c>
      <c r="U1011" s="174"/>
      <c r="V1011" s="361"/>
      <c r="W1011" s="361"/>
      <c r="X1011" s="361"/>
      <c r="Y1011" s="361"/>
      <c r="Z1011" s="361"/>
      <c r="AA1011" s="361"/>
      <c r="AB1011" s="361"/>
      <c r="AC1011" s="361"/>
    </row>
    <row r="1012" spans="1:29" ht="39.950000000000003" customHeight="1">
      <c r="A1012" s="383">
        <v>1018</v>
      </c>
      <c r="B1012" s="384">
        <v>45244</v>
      </c>
      <c r="C1012" s="385">
        <v>0.37777777777777777</v>
      </c>
      <c r="D1012" s="244" t="s">
        <v>4077</v>
      </c>
      <c r="E1012" s="247" t="s">
        <v>4078</v>
      </c>
      <c r="F1012" s="383">
        <v>4</v>
      </c>
      <c r="G1012" s="383"/>
      <c r="H1012" s="384"/>
      <c r="I1012" s="384"/>
      <c r="J1012" s="384"/>
      <c r="K1012" s="383" t="str">
        <f>IFERROR(VLOOKUP(J1012,Jueces!$A$1:$B$11,2,FALSE),"")</f>
        <v/>
      </c>
      <c r="L1012" s="244" t="s">
        <v>801</v>
      </c>
      <c r="M1012" s="244" t="s">
        <v>2217</v>
      </c>
      <c r="N1012" s="383"/>
      <c r="O1012" s="244" t="str">
        <f t="shared" ca="1" si="59"/>
        <v>LIMBO</v>
      </c>
      <c r="P1012" s="244" t="str">
        <f t="shared" si="60"/>
        <v>DIANOSOL</v>
      </c>
      <c r="Q1012" s="244" t="s">
        <v>951</v>
      </c>
      <c r="R1012" s="244" t="str">
        <f>VLOOKUP($Q1012,Resultados!$A$1:$B$49,2,FALSE)</f>
        <v xml:space="preserve"> _</v>
      </c>
      <c r="S1012" s="244"/>
      <c r="T1012" s="245" t="str">
        <f t="shared" si="61"/>
        <v>NO</v>
      </c>
      <c r="U1012" s="245"/>
      <c r="V1012" s="383"/>
      <c r="W1012" s="383"/>
      <c r="X1012" s="383"/>
      <c r="Y1012" s="383"/>
      <c r="Z1012" s="383"/>
      <c r="AA1012" s="383"/>
      <c r="AB1012" s="383"/>
      <c r="AC1012" s="383"/>
    </row>
    <row r="1013" spans="1:29" ht="39.950000000000003" customHeight="1">
      <c r="A1013" s="383">
        <v>1019</v>
      </c>
      <c r="B1013" s="384">
        <v>45244</v>
      </c>
      <c r="C1013" s="385">
        <v>0.33333333333333331</v>
      </c>
      <c r="D1013" s="244" t="s">
        <v>4079</v>
      </c>
      <c r="E1013" s="247" t="s">
        <v>4080</v>
      </c>
      <c r="F1013" s="383">
        <v>4</v>
      </c>
      <c r="G1013" s="383"/>
      <c r="H1013" s="384"/>
      <c r="I1013" s="384"/>
      <c r="J1013" s="384"/>
      <c r="K1013" s="383" t="str">
        <f>IFERROR(VLOOKUP(J1013,Jueces!$A$1:$B$11,2,FALSE),"")</f>
        <v/>
      </c>
      <c r="L1013" s="244" t="s">
        <v>799</v>
      </c>
      <c r="M1013" s="244" t="s">
        <v>1964</v>
      </c>
      <c r="N1013" s="383"/>
      <c r="O1013" s="244" t="str">
        <f t="shared" ca="1" si="59"/>
        <v>LIMBO</v>
      </c>
      <c r="P1013" s="244" t="str">
        <f t="shared" si="60"/>
        <v>DIANOSOL</v>
      </c>
      <c r="Q1013" s="244" t="s">
        <v>951</v>
      </c>
      <c r="R1013" s="244" t="str">
        <f>VLOOKUP($Q1013,Resultados!$A$1:$B$49,2,FALSE)</f>
        <v xml:space="preserve"> _</v>
      </c>
      <c r="S1013" s="244"/>
      <c r="T1013" s="245" t="str">
        <f t="shared" si="61"/>
        <v>NO</v>
      </c>
      <c r="U1013" s="245"/>
      <c r="V1013" s="383"/>
      <c r="W1013" s="383"/>
      <c r="X1013" s="383"/>
      <c r="Y1013" s="383"/>
      <c r="Z1013" s="383"/>
      <c r="AA1013" s="383"/>
      <c r="AB1013" s="383"/>
      <c r="AC1013" s="383"/>
    </row>
    <row r="1014" spans="1:29" ht="39.950000000000003" customHeight="1">
      <c r="A1014" s="383">
        <v>1020</v>
      </c>
      <c r="B1014" s="384">
        <v>45244</v>
      </c>
      <c r="C1014" s="385">
        <v>0.5395833333333333</v>
      </c>
      <c r="D1014" s="244" t="s">
        <v>4091</v>
      </c>
      <c r="E1014" s="247" t="s">
        <v>4212</v>
      </c>
      <c r="F1014" s="383">
        <v>4</v>
      </c>
      <c r="G1014" s="383"/>
      <c r="H1014" s="384"/>
      <c r="I1014" s="384"/>
      <c r="J1014" s="384"/>
      <c r="K1014" s="383" t="str">
        <f>IFERROR(VLOOKUP(J1014,Jueces!$A$1:$B$11,2,FALSE),"")</f>
        <v/>
      </c>
      <c r="L1014" s="244" t="s">
        <v>807</v>
      </c>
      <c r="M1014" s="244" t="s">
        <v>1964</v>
      </c>
      <c r="N1014" s="383"/>
      <c r="O1014" s="244" t="str">
        <f t="shared" ca="1" si="59"/>
        <v>LIMBO</v>
      </c>
      <c r="P1014" s="244" t="str">
        <f t="shared" si="60"/>
        <v>DIANOSOL</v>
      </c>
      <c r="Q1014" s="244" t="s">
        <v>951</v>
      </c>
      <c r="R1014" s="244" t="str">
        <f>VLOOKUP($Q1014,Resultados!$A$1:$B$49,2,FALSE)</f>
        <v xml:space="preserve"> _</v>
      </c>
      <c r="S1014" s="244"/>
      <c r="T1014" s="245" t="str">
        <f t="shared" si="61"/>
        <v>NO</v>
      </c>
      <c r="U1014" s="245"/>
      <c r="V1014" s="383"/>
      <c r="W1014" s="383"/>
      <c r="X1014" s="383"/>
      <c r="Y1014" s="383"/>
      <c r="Z1014" s="383"/>
      <c r="AA1014" s="383"/>
      <c r="AB1014" s="383"/>
      <c r="AC1014" s="383"/>
    </row>
    <row r="1015" spans="1:29" ht="39.950000000000003" customHeight="1">
      <c r="A1015" s="383">
        <v>1021</v>
      </c>
      <c r="B1015" s="384">
        <v>45245</v>
      </c>
      <c r="C1015" s="385">
        <v>0.39513888888888887</v>
      </c>
      <c r="D1015" s="244" t="s">
        <v>4092</v>
      </c>
      <c r="E1015" s="247" t="s">
        <v>4093</v>
      </c>
      <c r="F1015" s="383">
        <v>4</v>
      </c>
      <c r="G1015" s="383"/>
      <c r="H1015" s="384"/>
      <c r="I1015" s="384"/>
      <c r="J1015" s="384"/>
      <c r="K1015" s="383" t="str">
        <f>IFERROR(VLOOKUP(J1015,Jueces!$A$1:$B$11,2,FALSE),"")</f>
        <v/>
      </c>
      <c r="L1015" s="244" t="s">
        <v>803</v>
      </c>
      <c r="M1015" s="427" t="s">
        <v>4189</v>
      </c>
      <c r="N1015" s="383"/>
      <c r="O1015" s="244" t="str">
        <f t="shared" ca="1" si="59"/>
        <v>LIMBO</v>
      </c>
      <c r="P1015" s="244" t="str">
        <f t="shared" si="60"/>
        <v>DIANOSOL</v>
      </c>
      <c r="Q1015" s="244" t="s">
        <v>951</v>
      </c>
      <c r="R1015" s="244" t="str">
        <f>VLOOKUP($Q1015,Resultados!$A$1:$B$49,2,FALSE)</f>
        <v xml:space="preserve"> _</v>
      </c>
      <c r="S1015" s="244"/>
      <c r="T1015" s="245" t="str">
        <f t="shared" si="61"/>
        <v>NO</v>
      </c>
      <c r="U1015" s="245"/>
      <c r="V1015" s="383"/>
      <c r="W1015" s="383"/>
      <c r="X1015" s="383"/>
      <c r="Y1015" s="383"/>
      <c r="Z1015" s="383"/>
      <c r="AA1015" s="383"/>
      <c r="AB1015" s="383"/>
      <c r="AC1015" s="383"/>
    </row>
    <row r="1016" spans="1:29" ht="39.950000000000003" customHeight="1">
      <c r="A1016" s="383">
        <v>1022</v>
      </c>
      <c r="B1016" s="384">
        <v>45245</v>
      </c>
      <c r="C1016" s="385">
        <v>0.41736111111111113</v>
      </c>
      <c r="D1016" s="244" t="s">
        <v>4095</v>
      </c>
      <c r="E1016" s="247" t="s">
        <v>4097</v>
      </c>
      <c r="F1016" s="383">
        <v>8</v>
      </c>
      <c r="G1016" s="383"/>
      <c r="H1016" s="384"/>
      <c r="I1016" s="384"/>
      <c r="J1016" s="384"/>
      <c r="K1016" s="383" t="str">
        <f>IFERROR(VLOOKUP(J1016,Jueces!$A$1:$B$11,2,FALSE),"")</f>
        <v/>
      </c>
      <c r="L1016" s="244" t="s">
        <v>2092</v>
      </c>
      <c r="M1016" s="387" t="s">
        <v>4096</v>
      </c>
      <c r="N1016" s="383"/>
      <c r="O1016" s="244" t="str">
        <f t="shared" ca="1" si="59"/>
        <v>LIMBO</v>
      </c>
      <c r="P1016" s="244" t="str">
        <f t="shared" si="60"/>
        <v>DIANOSOL</v>
      </c>
      <c r="Q1016" s="244" t="s">
        <v>951</v>
      </c>
      <c r="R1016" s="244" t="str">
        <f>VLOOKUP($Q1016,Resultados!$A$1:$B$49,2,FALSE)</f>
        <v xml:space="preserve"> _</v>
      </c>
      <c r="S1016" s="244"/>
      <c r="T1016" s="245" t="str">
        <f t="shared" si="61"/>
        <v>NO</v>
      </c>
      <c r="U1016" s="245"/>
      <c r="V1016" s="383"/>
      <c r="W1016" s="383"/>
      <c r="X1016" s="383"/>
      <c r="Y1016" s="383"/>
      <c r="Z1016" s="383"/>
      <c r="AA1016" s="383"/>
      <c r="AB1016" s="383"/>
      <c r="AC1016" s="383"/>
    </row>
    <row r="1017" spans="1:29" ht="39.950000000000003" customHeight="1">
      <c r="A1017" s="383">
        <v>1022</v>
      </c>
      <c r="B1017" s="384">
        <v>45245</v>
      </c>
      <c r="C1017" s="385">
        <v>0.33611111111111108</v>
      </c>
      <c r="D1017" s="383" t="s">
        <v>4103</v>
      </c>
      <c r="E1017" s="396" t="s">
        <v>4104</v>
      </c>
      <c r="F1017" s="383">
        <v>5</v>
      </c>
      <c r="G1017" s="383"/>
      <c r="H1017" s="384"/>
      <c r="I1017" s="384"/>
      <c r="J1017" s="384"/>
      <c r="K1017" s="383" t="str">
        <f>IFERROR(VLOOKUP(J1017,Jueces!$A$1:$B$11,2,FALSE),"")</f>
        <v/>
      </c>
      <c r="L1017" s="244" t="s">
        <v>800</v>
      </c>
      <c r="M1017" s="244" t="s">
        <v>1874</v>
      </c>
      <c r="N1017" s="383"/>
      <c r="O1017" s="244" t="str">
        <f t="shared" ca="1" si="59"/>
        <v>LIMBO</v>
      </c>
      <c r="P1017" s="244" t="str">
        <f t="shared" si="60"/>
        <v>DIANOSOL</v>
      </c>
      <c r="Q1017" s="244" t="s">
        <v>951</v>
      </c>
      <c r="R1017" s="244" t="str">
        <f>VLOOKUP($Q1017,Resultados!$A$1:$B$49,2,FALSE)</f>
        <v xml:space="preserve"> _</v>
      </c>
      <c r="S1017" s="244"/>
      <c r="T1017" s="245" t="str">
        <f t="shared" si="61"/>
        <v>NO</v>
      </c>
      <c r="U1017" s="245"/>
      <c r="V1017" s="383"/>
      <c r="W1017" s="383"/>
      <c r="X1017" s="383"/>
      <c r="Y1017" s="383"/>
      <c r="Z1017" s="383"/>
      <c r="AA1017" s="383"/>
      <c r="AB1017" s="383"/>
      <c r="AC1017" s="383"/>
    </row>
    <row r="1018" spans="1:29" ht="39.950000000000003" customHeight="1">
      <c r="A1018" s="361">
        <v>1023</v>
      </c>
      <c r="B1018" s="378">
        <v>45246</v>
      </c>
      <c r="C1018" s="419">
        <v>0.47916666666666669</v>
      </c>
      <c r="D1018" s="361" t="s">
        <v>2517</v>
      </c>
      <c r="E1018" s="406" t="s">
        <v>2621</v>
      </c>
      <c r="F1018" s="361">
        <v>5</v>
      </c>
      <c r="G1018" s="361"/>
      <c r="H1018" s="378"/>
      <c r="I1018" s="378"/>
      <c r="J1018" s="378"/>
      <c r="K1018" s="361" t="str">
        <f>IFERROR(VLOOKUP(J1018,Jueces!$A$1:$B$11,2,FALSE),"")</f>
        <v/>
      </c>
      <c r="L1018" s="172" t="s">
        <v>569</v>
      </c>
      <c r="M1018" s="172" t="s">
        <v>2123</v>
      </c>
      <c r="N1018" s="361" t="s">
        <v>2518</v>
      </c>
      <c r="O1018" s="172" t="str">
        <f t="shared" ca="1" si="59"/>
        <v>LIMBO</v>
      </c>
      <c r="P1018" s="172" t="str">
        <f t="shared" si="60"/>
        <v>DIANOSOL</v>
      </c>
      <c r="Q1018" s="172" t="s">
        <v>951</v>
      </c>
      <c r="R1018" s="172" t="str">
        <f>VLOOKUP($Q1018,Resultados!$A$1:$B$49,2,FALSE)</f>
        <v xml:space="preserve"> _</v>
      </c>
      <c r="S1018" s="172"/>
      <c r="T1018" s="174" t="str">
        <f t="shared" si="61"/>
        <v>NO</v>
      </c>
      <c r="U1018" s="174"/>
      <c r="V1018" s="361"/>
      <c r="W1018" s="361"/>
      <c r="X1018" s="361"/>
      <c r="Y1018" s="361"/>
      <c r="Z1018" s="361"/>
      <c r="AA1018" s="361"/>
      <c r="AB1018" s="361"/>
      <c r="AC1018" s="361"/>
    </row>
    <row r="1019" spans="1:29" ht="39.950000000000003" customHeight="1">
      <c r="A1019" s="383">
        <v>1024</v>
      </c>
      <c r="B1019" s="384">
        <v>45245</v>
      </c>
      <c r="C1019" s="385">
        <v>0.53749999999999998</v>
      </c>
      <c r="D1019" s="244" t="s">
        <v>4139</v>
      </c>
      <c r="E1019" s="247" t="s">
        <v>4140</v>
      </c>
      <c r="F1019" s="383">
        <v>4</v>
      </c>
      <c r="G1019" s="383"/>
      <c r="H1019" s="384"/>
      <c r="I1019" s="384"/>
      <c r="J1019" s="384"/>
      <c r="K1019" s="383" t="str">
        <f>IFERROR(VLOOKUP(J1019,Jueces!$A$1:$B$11,2,FALSE),"")</f>
        <v/>
      </c>
      <c r="L1019" s="244" t="s">
        <v>798</v>
      </c>
      <c r="M1019" s="244" t="s">
        <v>3798</v>
      </c>
      <c r="N1019" s="383"/>
      <c r="O1019" s="244" t="str">
        <f t="shared" ca="1" si="59"/>
        <v>LIMBO</v>
      </c>
      <c r="P1019" s="244" t="str">
        <f t="shared" si="60"/>
        <v>DIANOSOL</v>
      </c>
      <c r="Q1019" s="244" t="s">
        <v>951</v>
      </c>
      <c r="R1019" s="244" t="str">
        <f>VLOOKUP($Q1019,Resultados!$A$1:$B$49,2,FALSE)</f>
        <v xml:space="preserve"> _</v>
      </c>
      <c r="S1019" s="244"/>
      <c r="T1019" s="245" t="str">
        <f t="shared" si="61"/>
        <v>NO</v>
      </c>
      <c r="U1019" s="245"/>
      <c r="V1019" s="383"/>
      <c r="W1019" s="383"/>
      <c r="X1019" s="383"/>
      <c r="Y1019" s="383"/>
      <c r="Z1019" s="383"/>
      <c r="AA1019" s="383"/>
      <c r="AB1019" s="383"/>
      <c r="AC1019" s="383"/>
    </row>
    <row r="1020" spans="1:29" ht="39.950000000000003" customHeight="1">
      <c r="A1020" s="383">
        <v>1025</v>
      </c>
      <c r="B1020" s="384">
        <v>45245</v>
      </c>
      <c r="C1020" s="385">
        <v>0.52013888888888882</v>
      </c>
      <c r="D1020" s="244" t="s">
        <v>4141</v>
      </c>
      <c r="E1020" s="247" t="s">
        <v>4142</v>
      </c>
      <c r="F1020" s="383">
        <v>4</v>
      </c>
      <c r="G1020" s="383"/>
      <c r="H1020" s="384"/>
      <c r="I1020" s="384"/>
      <c r="J1020" s="384"/>
      <c r="K1020" s="383" t="str">
        <f>IFERROR(VLOOKUP(J1020,Jueces!$A$1:$B$11,2,FALSE),"")</f>
        <v/>
      </c>
      <c r="L1020" s="244" t="s">
        <v>801</v>
      </c>
      <c r="M1020" s="244" t="s">
        <v>1964</v>
      </c>
      <c r="N1020" s="383"/>
      <c r="O1020" s="244" t="str">
        <f t="shared" ca="1" si="59"/>
        <v>LIMBO</v>
      </c>
      <c r="P1020" s="244" t="str">
        <f t="shared" si="60"/>
        <v>DIANOSOL</v>
      </c>
      <c r="Q1020" s="244" t="s">
        <v>951</v>
      </c>
      <c r="R1020" s="244" t="str">
        <f>VLOOKUP($Q1020,Resultados!$A$1:$B$49,2,FALSE)</f>
        <v xml:space="preserve"> _</v>
      </c>
      <c r="S1020" s="244"/>
      <c r="T1020" s="245" t="str">
        <f t="shared" si="61"/>
        <v>NO</v>
      </c>
      <c r="U1020" s="245"/>
      <c r="V1020" s="383"/>
      <c r="W1020" s="383"/>
      <c r="X1020" s="383"/>
      <c r="Y1020" s="383"/>
      <c r="Z1020" s="383"/>
      <c r="AA1020" s="383"/>
      <c r="AB1020" s="383"/>
      <c r="AC1020" s="383"/>
    </row>
    <row r="1021" spans="1:29" ht="39.950000000000003" customHeight="1">
      <c r="A1021" s="383">
        <v>1026</v>
      </c>
      <c r="B1021" s="384">
        <v>45245</v>
      </c>
      <c r="C1021" s="385">
        <v>0.33611111111111108</v>
      </c>
      <c r="D1021" s="244" t="s">
        <v>4143</v>
      </c>
      <c r="E1021" s="247" t="s">
        <v>4144</v>
      </c>
      <c r="F1021" s="383">
        <v>5</v>
      </c>
      <c r="G1021" s="383"/>
      <c r="H1021" s="384"/>
      <c r="I1021" s="384"/>
      <c r="J1021" s="384" t="s">
        <v>1219</v>
      </c>
      <c r="K1021" s="383">
        <f>IFERROR(VLOOKUP(J1021,Jueces!$A$1:$B$11,2,FALSE),"")</f>
        <v>1</v>
      </c>
      <c r="L1021" s="244" t="s">
        <v>800</v>
      </c>
      <c r="M1021" s="244" t="s">
        <v>1874</v>
      </c>
      <c r="N1021" s="407" t="s">
        <v>4173</v>
      </c>
      <c r="O1021" s="244" t="str">
        <f t="shared" ca="1" si="59"/>
        <v>LIMBO</v>
      </c>
      <c r="P1021" s="244" t="str">
        <f t="shared" si="60"/>
        <v>DIANOSOL</v>
      </c>
      <c r="Q1021" s="244" t="s">
        <v>951</v>
      </c>
      <c r="R1021" s="244" t="str">
        <f>VLOOKUP($Q1021,Resultados!$A$1:$B$49,2,FALSE)</f>
        <v xml:space="preserve"> _</v>
      </c>
      <c r="S1021" s="244"/>
      <c r="T1021" s="245" t="str">
        <f t="shared" si="61"/>
        <v>NO</v>
      </c>
      <c r="U1021" s="245"/>
      <c r="V1021" s="383"/>
      <c r="W1021" s="383"/>
      <c r="X1021" s="383"/>
      <c r="Y1021" s="383"/>
      <c r="Z1021" s="383"/>
      <c r="AA1021" s="383"/>
      <c r="AB1021" s="383"/>
      <c r="AC1021" s="383"/>
    </row>
    <row r="1022" spans="1:29" ht="39.950000000000003" customHeight="1">
      <c r="A1022" s="383">
        <v>1027</v>
      </c>
      <c r="B1022" s="384">
        <v>45245</v>
      </c>
      <c r="C1022" s="385">
        <v>0.49305555555555558</v>
      </c>
      <c r="D1022" s="244" t="s">
        <v>4148</v>
      </c>
      <c r="E1022" s="247" t="s">
        <v>4149</v>
      </c>
      <c r="F1022" s="383">
        <v>4</v>
      </c>
      <c r="G1022" s="383"/>
      <c r="H1022" s="384"/>
      <c r="I1022" s="384"/>
      <c r="J1022" s="384"/>
      <c r="K1022" s="383" t="str">
        <f>IFERROR(VLOOKUP(J1022,Jueces!$A$1:$B$11,2,FALSE),"")</f>
        <v/>
      </c>
      <c r="L1022" s="244" t="s">
        <v>810</v>
      </c>
      <c r="M1022" s="408" t="s">
        <v>4150</v>
      </c>
      <c r="N1022" s="383"/>
      <c r="O1022" s="244" t="str">
        <f t="shared" ca="1" si="59"/>
        <v>LIMBO</v>
      </c>
      <c r="P1022" s="244" t="str">
        <f t="shared" si="60"/>
        <v>DIANOSOL</v>
      </c>
      <c r="Q1022" s="244" t="s">
        <v>951</v>
      </c>
      <c r="R1022" s="244" t="str">
        <f>VLOOKUP($Q1022,Resultados!$A$1:$B$49,2,FALSE)</f>
        <v xml:space="preserve"> _</v>
      </c>
      <c r="S1022" s="244"/>
      <c r="T1022" s="245" t="str">
        <f t="shared" si="61"/>
        <v>NO</v>
      </c>
      <c r="U1022" s="245"/>
      <c r="V1022" s="383"/>
      <c r="W1022" s="383"/>
      <c r="X1022" s="383"/>
      <c r="Y1022" s="383"/>
      <c r="Z1022" s="383"/>
      <c r="AA1022" s="383"/>
      <c r="AB1022" s="383"/>
      <c r="AC1022" s="383"/>
    </row>
    <row r="1023" spans="1:29" ht="39.950000000000003" customHeight="1">
      <c r="A1023" s="383">
        <v>1028</v>
      </c>
      <c r="B1023" s="384">
        <v>45246</v>
      </c>
      <c r="C1023" s="385">
        <v>0.33333333333333331</v>
      </c>
      <c r="D1023" s="244" t="s">
        <v>4153</v>
      </c>
      <c r="E1023" s="247" t="s">
        <v>4154</v>
      </c>
      <c r="F1023" s="383">
        <v>3</v>
      </c>
      <c r="G1023" s="383"/>
      <c r="H1023" s="384"/>
      <c r="I1023" s="384"/>
      <c r="J1023" s="384"/>
      <c r="K1023" s="383" t="str">
        <f>IFERROR(VLOOKUP(J1023,Jueces!$A$1:$B$11,2,FALSE),"")</f>
        <v/>
      </c>
      <c r="L1023" s="244" t="s">
        <v>789</v>
      </c>
      <c r="M1023" s="386" t="s">
        <v>4197</v>
      </c>
      <c r="N1023" s="383"/>
      <c r="O1023" s="244" t="str">
        <f t="shared" ref="O1023:O1058" ca="1" si="62">IF(H1023&lt;&gt;"",IF(H1023&lt;=TODAY(),"SI","NO"),"LIMBO")</f>
        <v>LIMBO</v>
      </c>
      <c r="P1023" s="244" t="str">
        <f t="shared" ref="P1023:P1058" si="63">IF($P$1=H1023,"DIASOL", "DIANOSOL")</f>
        <v>DIANOSOL</v>
      </c>
      <c r="Q1023" s="244" t="s">
        <v>951</v>
      </c>
      <c r="R1023" s="244" t="str">
        <f>VLOOKUP($Q1023,Resultados!$A$1:$B$49,2,FALSE)</f>
        <v xml:space="preserve"> _</v>
      </c>
      <c r="S1023" s="244"/>
      <c r="T1023" s="245" t="str">
        <f t="shared" ref="T1023:T1058" si="64">IF(G1023=$J$1,"SI","NO")</f>
        <v>NO</v>
      </c>
      <c r="U1023" s="245"/>
      <c r="V1023" s="383"/>
      <c r="W1023" s="383"/>
      <c r="X1023" s="383"/>
      <c r="Y1023" s="383"/>
      <c r="Z1023" s="383"/>
      <c r="AA1023" s="383"/>
      <c r="AB1023" s="383"/>
      <c r="AC1023" s="383"/>
    </row>
    <row r="1024" spans="1:29" ht="39.950000000000003" customHeight="1">
      <c r="A1024" s="361">
        <v>1029</v>
      </c>
      <c r="B1024" s="378">
        <v>45246</v>
      </c>
      <c r="C1024" s="419">
        <v>0.33333333333333331</v>
      </c>
      <c r="D1024" s="172" t="s">
        <v>4155</v>
      </c>
      <c r="E1024" s="173" t="s">
        <v>4156</v>
      </c>
      <c r="F1024" s="361">
        <v>4</v>
      </c>
      <c r="G1024" s="361"/>
      <c r="H1024" s="378"/>
      <c r="I1024" s="378"/>
      <c r="J1024" s="378"/>
      <c r="K1024" s="361" t="str">
        <f>IFERROR(VLOOKUP(J1024,Jueces!$A$1:$B$11,2,FALSE),"")</f>
        <v/>
      </c>
      <c r="L1024" s="172" t="s">
        <v>810</v>
      </c>
      <c r="M1024" s="172"/>
      <c r="N1024" s="361"/>
      <c r="O1024" s="172" t="str">
        <f t="shared" ca="1" si="62"/>
        <v>LIMBO</v>
      </c>
      <c r="P1024" s="172" t="str">
        <f t="shared" si="63"/>
        <v>DIANOSOL</v>
      </c>
      <c r="Q1024" s="172" t="s">
        <v>951</v>
      </c>
      <c r="R1024" s="172" t="str">
        <f>VLOOKUP($Q1024,Resultados!$A$1:$B$49,2,FALSE)</f>
        <v xml:space="preserve"> _</v>
      </c>
      <c r="S1024" s="172"/>
      <c r="T1024" s="174" t="str">
        <f t="shared" si="64"/>
        <v>NO</v>
      </c>
      <c r="U1024" s="174"/>
      <c r="V1024" s="361"/>
      <c r="W1024" s="361"/>
      <c r="X1024" s="361"/>
      <c r="Y1024" s="361"/>
      <c r="Z1024" s="361"/>
      <c r="AA1024" s="361"/>
      <c r="AB1024" s="361"/>
      <c r="AC1024" s="361"/>
    </row>
    <row r="1025" spans="1:29" ht="39.950000000000003" customHeight="1">
      <c r="A1025" s="383">
        <v>1030</v>
      </c>
      <c r="B1025" s="384">
        <v>45246</v>
      </c>
      <c r="C1025" s="244" t="s">
        <v>1374</v>
      </c>
      <c r="D1025" s="244" t="s">
        <v>4157</v>
      </c>
      <c r="E1025" s="247" t="s">
        <v>4158</v>
      </c>
      <c r="F1025" s="383">
        <v>4</v>
      </c>
      <c r="G1025" s="383"/>
      <c r="H1025" s="384"/>
      <c r="I1025" s="384"/>
      <c r="J1025" s="384"/>
      <c r="K1025" s="383" t="str">
        <f>IFERROR(VLOOKUP(J1025,Jueces!$A$1:$B$11,2,FALSE),"")</f>
        <v/>
      </c>
      <c r="L1025" s="244" t="s">
        <v>813</v>
      </c>
      <c r="M1025" s="244" t="s">
        <v>1964</v>
      </c>
      <c r="N1025" s="383"/>
      <c r="O1025" s="244" t="str">
        <f t="shared" ca="1" si="62"/>
        <v>LIMBO</v>
      </c>
      <c r="P1025" s="244" t="str">
        <f t="shared" si="63"/>
        <v>DIANOSOL</v>
      </c>
      <c r="Q1025" s="244" t="s">
        <v>951</v>
      </c>
      <c r="R1025" s="244" t="str">
        <f>VLOOKUP($Q1025,Resultados!$A$1:$B$49,2,FALSE)</f>
        <v xml:space="preserve"> _</v>
      </c>
      <c r="S1025" s="244"/>
      <c r="T1025" s="245" t="str">
        <f t="shared" si="64"/>
        <v>NO</v>
      </c>
      <c r="U1025" s="245"/>
      <c r="V1025" s="383"/>
      <c r="W1025" s="383"/>
      <c r="X1025" s="383"/>
      <c r="Y1025" s="383"/>
      <c r="Z1025" s="383"/>
      <c r="AA1025" s="383"/>
      <c r="AB1025" s="383"/>
      <c r="AC1025" s="383"/>
    </row>
    <row r="1026" spans="1:29" ht="39.950000000000003" customHeight="1">
      <c r="A1026" s="361">
        <v>1031</v>
      </c>
      <c r="B1026" s="378">
        <v>45246</v>
      </c>
      <c r="C1026" s="172" t="s">
        <v>1498</v>
      </c>
      <c r="D1026" s="172" t="s">
        <v>3905</v>
      </c>
      <c r="E1026" s="173" t="s">
        <v>4159</v>
      </c>
      <c r="F1026" s="361">
        <v>4</v>
      </c>
      <c r="G1026" s="361"/>
      <c r="H1026" s="378"/>
      <c r="I1026" s="378"/>
      <c r="J1026" s="378"/>
      <c r="K1026" s="361" t="str">
        <f>IFERROR(VLOOKUP(J1026,Jueces!$A$1:$B$11,2,FALSE),"")</f>
        <v/>
      </c>
      <c r="L1026" s="172" t="s">
        <v>791</v>
      </c>
      <c r="M1026" s="172"/>
      <c r="N1026" s="361"/>
      <c r="O1026" s="172" t="str">
        <f t="shared" ca="1" si="62"/>
        <v>LIMBO</v>
      </c>
      <c r="P1026" s="172" t="str">
        <f t="shared" si="63"/>
        <v>DIANOSOL</v>
      </c>
      <c r="Q1026" s="172" t="s">
        <v>951</v>
      </c>
      <c r="R1026" s="172" t="str">
        <f>VLOOKUP($Q1026,Resultados!$A$1:$B$49,2,FALSE)</f>
        <v xml:space="preserve"> _</v>
      </c>
      <c r="S1026" s="172"/>
      <c r="T1026" s="174" t="str">
        <f t="shared" si="64"/>
        <v>NO</v>
      </c>
      <c r="U1026" s="174"/>
      <c r="V1026" s="361"/>
      <c r="W1026" s="361"/>
      <c r="X1026" s="361"/>
      <c r="Y1026" s="361"/>
      <c r="Z1026" s="361"/>
      <c r="AA1026" s="361"/>
      <c r="AB1026" s="361"/>
      <c r="AC1026" s="361"/>
    </row>
    <row r="1027" spans="1:29" ht="39.950000000000003" customHeight="1">
      <c r="A1027" s="361">
        <v>1032</v>
      </c>
      <c r="B1027" s="378">
        <v>45246</v>
      </c>
      <c r="C1027" s="419">
        <v>0.38750000000000001</v>
      </c>
      <c r="D1027" s="330" t="s">
        <v>4161</v>
      </c>
      <c r="E1027" s="173" t="s">
        <v>4160</v>
      </c>
      <c r="F1027" s="361">
        <v>4</v>
      </c>
      <c r="G1027" s="361"/>
      <c r="H1027" s="378"/>
      <c r="I1027" s="378"/>
      <c r="J1027" s="378"/>
      <c r="K1027" s="361" t="str">
        <f>IFERROR(VLOOKUP(J1027,Jueces!$A$1:$B$11,2,FALSE),"")</f>
        <v/>
      </c>
      <c r="L1027" s="172" t="s">
        <v>4102</v>
      </c>
      <c r="M1027" s="172"/>
      <c r="N1027" s="361"/>
      <c r="O1027" s="172" t="str">
        <f t="shared" ca="1" si="62"/>
        <v>LIMBO</v>
      </c>
      <c r="P1027" s="172" t="str">
        <f t="shared" si="63"/>
        <v>DIANOSOL</v>
      </c>
      <c r="Q1027" s="172" t="s">
        <v>951</v>
      </c>
      <c r="R1027" s="172" t="str">
        <f>VLOOKUP($Q1027,Resultados!$A$1:$B$49,2,FALSE)</f>
        <v xml:space="preserve"> _</v>
      </c>
      <c r="S1027" s="172"/>
      <c r="T1027" s="174" t="str">
        <f t="shared" si="64"/>
        <v>NO</v>
      </c>
      <c r="U1027" s="174"/>
      <c r="V1027" s="361"/>
      <c r="W1027" s="361"/>
      <c r="X1027" s="361"/>
      <c r="Y1027" s="361"/>
      <c r="Z1027" s="361"/>
      <c r="AA1027" s="361"/>
      <c r="AB1027" s="361"/>
      <c r="AC1027" s="361"/>
    </row>
    <row r="1028" spans="1:29" ht="39.950000000000003" customHeight="1">
      <c r="A1028" s="383">
        <v>1033</v>
      </c>
      <c r="B1028" s="384">
        <v>45246</v>
      </c>
      <c r="C1028" s="385">
        <v>0.40486111111111112</v>
      </c>
      <c r="D1028" s="244" t="s">
        <v>4162</v>
      </c>
      <c r="E1028" s="247" t="s">
        <v>4163</v>
      </c>
      <c r="F1028" s="383">
        <v>2</v>
      </c>
      <c r="G1028" s="383"/>
      <c r="H1028" s="384"/>
      <c r="I1028" s="384"/>
      <c r="J1028" s="384"/>
      <c r="K1028" s="383" t="str">
        <f>IFERROR(VLOOKUP(J1028,Jueces!$A$1:$B$11,2,FALSE),"")</f>
        <v/>
      </c>
      <c r="L1028" s="244" t="s">
        <v>810</v>
      </c>
      <c r="M1028" s="244" t="s">
        <v>3798</v>
      </c>
      <c r="N1028" s="244" t="s">
        <v>4210</v>
      </c>
      <c r="O1028" s="244" t="str">
        <f t="shared" ca="1" si="62"/>
        <v>LIMBO</v>
      </c>
      <c r="P1028" s="244" t="str">
        <f t="shared" si="63"/>
        <v>DIANOSOL</v>
      </c>
      <c r="Q1028" s="244" t="s">
        <v>951</v>
      </c>
      <c r="R1028" s="244" t="str">
        <f>VLOOKUP($Q1028,Resultados!$A$1:$B$49,2,FALSE)</f>
        <v xml:space="preserve"> _</v>
      </c>
      <c r="S1028" s="244"/>
      <c r="T1028" s="245" t="str">
        <f t="shared" si="64"/>
        <v>NO</v>
      </c>
      <c r="U1028" s="245"/>
      <c r="V1028" s="383"/>
      <c r="W1028" s="383"/>
      <c r="X1028" s="383"/>
      <c r="Y1028" s="383"/>
      <c r="Z1028" s="383"/>
      <c r="AA1028" s="383"/>
      <c r="AB1028" s="383"/>
      <c r="AC1028" s="383"/>
    </row>
    <row r="1029" spans="1:29" ht="39.950000000000003" customHeight="1">
      <c r="A1029" s="361">
        <v>1034</v>
      </c>
      <c r="B1029" s="378">
        <v>45246</v>
      </c>
      <c r="C1029" s="419">
        <v>0.54097222222222219</v>
      </c>
      <c r="D1029" s="172" t="s">
        <v>4164</v>
      </c>
      <c r="E1029" s="173" t="s">
        <v>4165</v>
      </c>
      <c r="F1029" s="361">
        <v>4</v>
      </c>
      <c r="G1029" s="361"/>
      <c r="H1029" s="378"/>
      <c r="I1029" s="378"/>
      <c r="J1029" s="378"/>
      <c r="K1029" s="361" t="str">
        <f>IFERROR(VLOOKUP(J1029,Jueces!$A$1:$B$11,2,FALSE),"")</f>
        <v/>
      </c>
      <c r="L1029" s="172" t="s">
        <v>789</v>
      </c>
      <c r="M1029" s="409"/>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c r="A1030" s="361">
        <v>1035</v>
      </c>
      <c r="B1030" s="378">
        <v>45246</v>
      </c>
      <c r="C1030" s="419">
        <v>0.53541666666666665</v>
      </c>
      <c r="D1030" s="172" t="s">
        <v>4166</v>
      </c>
      <c r="E1030" s="173" t="s">
        <v>4167</v>
      </c>
      <c r="F1030" s="361">
        <v>4</v>
      </c>
      <c r="G1030" s="361"/>
      <c r="H1030" s="378"/>
      <c r="I1030" s="378"/>
      <c r="J1030" s="378"/>
      <c r="K1030" s="361" t="str">
        <f>IFERROR(VLOOKUP(J1030,Jueces!$A$1:$B$11,2,FALSE),"")</f>
        <v/>
      </c>
      <c r="L1030" s="172" t="s">
        <v>803</v>
      </c>
      <c r="M1030" s="43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c r="A1031" s="383">
        <v>1037</v>
      </c>
      <c r="B1031" s="384">
        <v>45246</v>
      </c>
      <c r="C1031" s="385">
        <v>0.52916666666666667</v>
      </c>
      <c r="D1031" s="244" t="s">
        <v>4169</v>
      </c>
      <c r="E1031" s="247" t="s">
        <v>4170</v>
      </c>
      <c r="F1031" s="383">
        <v>4</v>
      </c>
      <c r="G1031" s="383"/>
      <c r="H1031" s="384"/>
      <c r="I1031" s="384"/>
      <c r="J1031" s="384"/>
      <c r="K1031" s="383" t="str">
        <f>IFERROR(VLOOKUP(J1031,Jueces!$A$1:$B$11,2,FALSE),"")</f>
        <v/>
      </c>
      <c r="L1031" s="244" t="s">
        <v>789</v>
      </c>
      <c r="M1031" s="244" t="s">
        <v>1964</v>
      </c>
      <c r="N1031" s="383"/>
      <c r="O1031" s="244" t="str">
        <f t="shared" ca="1" si="62"/>
        <v>LIMBO</v>
      </c>
      <c r="P1031" s="244" t="str">
        <f t="shared" si="63"/>
        <v>DIANOSOL</v>
      </c>
      <c r="Q1031" s="244" t="s">
        <v>951</v>
      </c>
      <c r="R1031" s="244" t="str">
        <f>VLOOKUP($Q1031,Resultados!$A$1:$B$49,2,FALSE)</f>
        <v xml:space="preserve"> _</v>
      </c>
      <c r="S1031" s="244"/>
      <c r="T1031" s="245" t="str">
        <f t="shared" si="64"/>
        <v>NO</v>
      </c>
      <c r="U1031" s="245"/>
      <c r="V1031" s="383"/>
      <c r="W1031" s="383"/>
      <c r="X1031" s="383"/>
      <c r="Y1031" s="383"/>
      <c r="Z1031" s="383"/>
      <c r="AA1031" s="383"/>
      <c r="AB1031" s="383"/>
      <c r="AC1031" s="383"/>
    </row>
    <row r="1032" spans="1:29" ht="39.950000000000003" customHeight="1">
      <c r="A1032" s="383">
        <v>1038</v>
      </c>
      <c r="B1032" s="384">
        <v>45246</v>
      </c>
      <c r="C1032" s="385">
        <v>0.52916666666666667</v>
      </c>
      <c r="D1032" s="244" t="s">
        <v>4171</v>
      </c>
      <c r="E1032" s="247" t="s">
        <v>4172</v>
      </c>
      <c r="F1032" s="383">
        <v>4</v>
      </c>
      <c r="G1032" s="383"/>
      <c r="H1032" s="384"/>
      <c r="I1032" s="384"/>
      <c r="J1032" s="384"/>
      <c r="K1032" s="383" t="str">
        <f>IFERROR(VLOOKUP(J1032,Jueces!$A$1:$B$11,2,FALSE),"")</f>
        <v/>
      </c>
      <c r="L1032" s="244" t="s">
        <v>1700</v>
      </c>
      <c r="M1032" s="244" t="s">
        <v>3798</v>
      </c>
      <c r="N1032" s="244" t="s">
        <v>4260</v>
      </c>
      <c r="O1032" s="244" t="str">
        <f t="shared" ca="1" si="62"/>
        <v>LIMBO</v>
      </c>
      <c r="P1032" s="244" t="str">
        <f t="shared" si="63"/>
        <v>DIANOSOL</v>
      </c>
      <c r="Q1032" s="244" t="s">
        <v>951</v>
      </c>
      <c r="R1032" s="244" t="str">
        <f>VLOOKUP($Q1032,Resultados!$A$1:$B$49,2,FALSE)</f>
        <v xml:space="preserve"> _</v>
      </c>
      <c r="S1032" s="244"/>
      <c r="T1032" s="245" t="str">
        <f t="shared" si="64"/>
        <v>NO</v>
      </c>
      <c r="U1032" s="245"/>
      <c r="V1032" s="383"/>
      <c r="W1032" s="383"/>
      <c r="X1032" s="383"/>
      <c r="Y1032" s="383"/>
      <c r="Z1032" s="383"/>
      <c r="AA1032" s="383"/>
      <c r="AB1032" s="383"/>
      <c r="AC1032" s="383"/>
    </row>
    <row r="1033" spans="1:29" ht="39.950000000000003" customHeight="1">
      <c r="A1033" s="383">
        <v>1039</v>
      </c>
      <c r="B1033" s="384">
        <v>45251</v>
      </c>
      <c r="C1033" s="385">
        <v>0.33333333333333331</v>
      </c>
      <c r="D1033" s="244" t="s">
        <v>4174</v>
      </c>
      <c r="E1033" s="247" t="s">
        <v>4175</v>
      </c>
      <c r="F1033" s="383">
        <v>2</v>
      </c>
      <c r="G1033" s="383"/>
      <c r="H1033" s="384"/>
      <c r="I1033" s="384"/>
      <c r="J1033" s="384"/>
      <c r="K1033" s="383" t="str">
        <f>IFERROR(VLOOKUP(J1033,Jueces!$A$1:$B$11,2,FALSE),"")</f>
        <v/>
      </c>
      <c r="L1033" s="244" t="s">
        <v>812</v>
      </c>
      <c r="M1033" s="244" t="s">
        <v>1874</v>
      </c>
      <c r="N1033" s="383"/>
      <c r="O1033" s="244" t="str">
        <f t="shared" ca="1" si="62"/>
        <v>LIMBO</v>
      </c>
      <c r="P1033" s="244" t="str">
        <f t="shared" si="63"/>
        <v>DIANOSOL</v>
      </c>
      <c r="Q1033" s="244" t="s">
        <v>951</v>
      </c>
      <c r="R1033" s="244" t="str">
        <f>VLOOKUP($Q1033,Resultados!$A$1:$B$49,2,FALSE)</f>
        <v xml:space="preserve"> _</v>
      </c>
      <c r="S1033" s="244"/>
      <c r="T1033" s="245" t="str">
        <f t="shared" si="64"/>
        <v>NO</v>
      </c>
      <c r="U1033" s="245"/>
      <c r="V1033" s="383"/>
      <c r="W1033" s="383"/>
      <c r="X1033" s="383"/>
      <c r="Y1033" s="383"/>
      <c r="Z1033" s="383"/>
      <c r="AA1033" s="383"/>
      <c r="AB1033" s="383"/>
      <c r="AC1033" s="383"/>
    </row>
    <row r="1034" spans="1:29" ht="39.950000000000003" customHeight="1">
      <c r="A1034" s="383">
        <v>1040</v>
      </c>
      <c r="B1034" s="384">
        <v>45251</v>
      </c>
      <c r="C1034" s="385">
        <v>0.3444444444444445</v>
      </c>
      <c r="D1034" s="244" t="s">
        <v>4176</v>
      </c>
      <c r="E1034" s="247" t="s">
        <v>4177</v>
      </c>
      <c r="F1034" s="383">
        <v>4</v>
      </c>
      <c r="G1034" s="383"/>
      <c r="H1034" s="384"/>
      <c r="I1034" s="384"/>
      <c r="J1034" s="384"/>
      <c r="K1034" s="383" t="str">
        <f>IFERROR(VLOOKUP(J1034,Jueces!$A$1:$B$11,2,FALSE),"")</f>
        <v/>
      </c>
      <c r="L1034" s="244" t="s">
        <v>807</v>
      </c>
      <c r="M1034" s="408" t="s">
        <v>4272</v>
      </c>
      <c r="N1034" s="383"/>
      <c r="O1034" s="244" t="str">
        <f t="shared" ca="1" si="62"/>
        <v>LIMBO</v>
      </c>
      <c r="P1034" s="244" t="str">
        <f t="shared" si="63"/>
        <v>DIANOSOL</v>
      </c>
      <c r="Q1034" s="244" t="s">
        <v>951</v>
      </c>
      <c r="R1034" s="244" t="str">
        <f>VLOOKUP($Q1034,Resultados!$A$1:$B$49,2,FALSE)</f>
        <v xml:space="preserve"> _</v>
      </c>
      <c r="S1034" s="244"/>
      <c r="T1034" s="245" t="str">
        <f t="shared" si="64"/>
        <v>NO</v>
      </c>
      <c r="U1034" s="245"/>
      <c r="V1034" s="383"/>
      <c r="W1034" s="383"/>
      <c r="X1034" s="383"/>
      <c r="Y1034" s="383"/>
      <c r="Z1034" s="383"/>
      <c r="AA1034" s="383"/>
      <c r="AB1034" s="383"/>
      <c r="AC1034" s="383"/>
    </row>
    <row r="1035" spans="1:29" ht="39.950000000000003" customHeight="1">
      <c r="A1035" s="361">
        <v>1042</v>
      </c>
      <c r="B1035" s="378">
        <v>45251</v>
      </c>
      <c r="C1035" s="405">
        <v>0.35486111111111113</v>
      </c>
      <c r="D1035" s="172" t="s">
        <v>4180</v>
      </c>
      <c r="E1035" s="173" t="s">
        <v>4181</v>
      </c>
      <c r="F1035" s="361">
        <v>4</v>
      </c>
      <c r="G1035" s="361"/>
      <c r="H1035" s="378"/>
      <c r="I1035" s="378"/>
      <c r="J1035" s="378"/>
      <c r="K1035" s="361" t="str">
        <f>IFERROR(VLOOKUP(J1035,Jueces!$A$1:$B$11,2,FALSE),"")</f>
        <v/>
      </c>
      <c r="L1035" s="172" t="s">
        <v>811</v>
      </c>
      <c r="M1035" s="172"/>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c r="A1036" s="361">
        <v>1043</v>
      </c>
      <c r="B1036" s="378">
        <v>45251</v>
      </c>
      <c r="C1036" s="419">
        <v>0.3666666666666667</v>
      </c>
      <c r="D1036" s="172" t="s">
        <v>4182</v>
      </c>
      <c r="E1036" s="173" t="s">
        <v>4183</v>
      </c>
      <c r="F1036" s="361">
        <v>4</v>
      </c>
      <c r="G1036" s="361"/>
      <c r="H1036" s="378"/>
      <c r="I1036" s="378"/>
      <c r="J1036" s="378"/>
      <c r="K1036" s="361" t="str">
        <f>IFERROR(VLOOKUP(J1036,Jueces!$A$1:$B$11,2,FALSE),"")</f>
        <v/>
      </c>
      <c r="L1036" s="172" t="s">
        <v>2092</v>
      </c>
      <c r="M1036" s="17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c r="A1037" s="361">
        <v>1044</v>
      </c>
      <c r="B1037" s="378">
        <v>45251</v>
      </c>
      <c r="C1037" s="419">
        <v>0.36944444444444446</v>
      </c>
      <c r="D1037" s="172" t="s">
        <v>4184</v>
      </c>
      <c r="E1037" s="173" t="s">
        <v>4185</v>
      </c>
      <c r="F1037" s="361">
        <v>4</v>
      </c>
      <c r="G1037" s="361"/>
      <c r="H1037" s="378"/>
      <c r="I1037" s="378"/>
      <c r="J1037" s="378"/>
      <c r="K1037" s="361" t="str">
        <f>IFERROR(VLOOKUP(J1037,Jueces!$A$1:$B$11,2,FALSE),"")</f>
        <v/>
      </c>
      <c r="L1037" s="172" t="s">
        <v>809</v>
      </c>
      <c r="M1037" s="409"/>
      <c r="N1037" s="361"/>
      <c r="O1037" s="172" t="str">
        <f t="shared" ca="1" si="62"/>
        <v>LIMBO</v>
      </c>
      <c r="P1037" s="172" t="str">
        <f t="shared" si="63"/>
        <v>DIANOSOL</v>
      </c>
      <c r="Q1037" s="172" t="s">
        <v>951</v>
      </c>
      <c r="R1037" s="172" t="str">
        <f>VLOOKUP($Q1037,Resultados!$A$1:$B$49,2,FALSE)</f>
        <v xml:space="preserve"> _</v>
      </c>
      <c r="S1037" s="172"/>
      <c r="T1037" s="174" t="str">
        <f t="shared" si="64"/>
        <v>NO</v>
      </c>
      <c r="U1037" s="174"/>
      <c r="V1037" s="361"/>
      <c r="W1037" s="361"/>
      <c r="X1037" s="361"/>
      <c r="Y1037" s="361"/>
      <c r="Z1037" s="361"/>
      <c r="AA1037" s="361"/>
      <c r="AB1037" s="361"/>
      <c r="AC1037" s="361"/>
    </row>
    <row r="1038" spans="1:29" ht="39.950000000000003" customHeight="1">
      <c r="A1038" s="364">
        <v>1045</v>
      </c>
      <c r="B1038" s="403">
        <v>45251</v>
      </c>
      <c r="C1038" s="420">
        <v>0.37777777777777777</v>
      </c>
      <c r="D1038" s="214" t="s">
        <v>4186</v>
      </c>
      <c r="E1038" s="215" t="s">
        <v>4187</v>
      </c>
      <c r="F1038" s="364">
        <v>3</v>
      </c>
      <c r="G1038" s="364"/>
      <c r="H1038" s="403"/>
      <c r="I1038" s="403"/>
      <c r="J1038" s="403"/>
      <c r="K1038" s="364" t="str">
        <f>IFERROR(VLOOKUP(J1038,Jueces!$A$1:$B$11,2,FALSE),"")</f>
        <v/>
      </c>
      <c r="L1038" s="214" t="s">
        <v>791</v>
      </c>
      <c r="M1038" s="214"/>
      <c r="N1038" s="214" t="s">
        <v>4228</v>
      </c>
      <c r="O1038" s="214" t="str">
        <f t="shared" ca="1" si="62"/>
        <v>LIMBO</v>
      </c>
      <c r="P1038" s="214" t="str">
        <f t="shared" si="63"/>
        <v>DIANOSOL</v>
      </c>
      <c r="Q1038" s="214" t="s">
        <v>951</v>
      </c>
      <c r="R1038" s="214" t="str">
        <f>VLOOKUP($Q1038,Resultados!$A$1:$B$49,2,FALSE)</f>
        <v xml:space="preserve"> _</v>
      </c>
      <c r="S1038" s="214"/>
      <c r="T1038" s="281" t="str">
        <f t="shared" si="64"/>
        <v>NO</v>
      </c>
      <c r="U1038" s="281"/>
      <c r="V1038" s="364"/>
      <c r="W1038" s="364"/>
      <c r="X1038" s="364"/>
      <c r="Y1038" s="364"/>
      <c r="Z1038" s="364"/>
      <c r="AA1038" s="364"/>
      <c r="AB1038" s="364"/>
      <c r="AC1038" s="364"/>
    </row>
    <row r="1039" spans="1:29" ht="39.950000000000003" customHeight="1">
      <c r="A1039" s="383">
        <v>1046</v>
      </c>
      <c r="B1039" s="384">
        <v>45251</v>
      </c>
      <c r="C1039" s="385">
        <v>0.39930555555555558</v>
      </c>
      <c r="D1039" s="244" t="s">
        <v>4224</v>
      </c>
      <c r="E1039" s="247" t="s">
        <v>4188</v>
      </c>
      <c r="F1039" s="383">
        <v>3</v>
      </c>
      <c r="G1039" s="383"/>
      <c r="H1039" s="384"/>
      <c r="I1039" s="384"/>
      <c r="J1039" s="384"/>
      <c r="K1039" s="383" t="str">
        <f>IFERROR(VLOOKUP(J1039,Jueces!$A$1:$B$11,2,FALSE),"")</f>
        <v/>
      </c>
      <c r="L1039" s="244" t="s">
        <v>688</v>
      </c>
      <c r="M1039" s="408" t="s">
        <v>700</v>
      </c>
      <c r="N1039" s="383"/>
      <c r="O1039" s="244" t="str">
        <f t="shared" ca="1" si="62"/>
        <v>LIMBO</v>
      </c>
      <c r="P1039" s="244" t="str">
        <f t="shared" si="63"/>
        <v>DIANOSOL</v>
      </c>
      <c r="Q1039" s="244" t="s">
        <v>951</v>
      </c>
      <c r="R1039" s="244" t="str">
        <f>VLOOKUP($Q1039,Resultados!$A$1:$B$49,2,FALSE)</f>
        <v xml:space="preserve"> _</v>
      </c>
      <c r="S1039" s="244"/>
      <c r="T1039" s="245" t="str">
        <f t="shared" si="64"/>
        <v>NO</v>
      </c>
      <c r="U1039" s="245"/>
      <c r="V1039" s="383"/>
      <c r="W1039" s="383"/>
      <c r="X1039" s="383"/>
      <c r="Y1039" s="383"/>
      <c r="Z1039" s="383"/>
      <c r="AA1039" s="383"/>
      <c r="AB1039" s="383"/>
      <c r="AC1039" s="383"/>
    </row>
    <row r="1040" spans="1:29" ht="39.950000000000003" customHeight="1">
      <c r="A1040" s="383">
        <v>1047</v>
      </c>
      <c r="B1040" s="384">
        <v>45251</v>
      </c>
      <c r="C1040" s="385">
        <v>0.3611111111111111</v>
      </c>
      <c r="D1040" s="244" t="s">
        <v>4192</v>
      </c>
      <c r="E1040" s="247" t="s">
        <v>4193</v>
      </c>
      <c r="F1040" s="383">
        <v>3</v>
      </c>
      <c r="G1040" s="383"/>
      <c r="H1040" s="384"/>
      <c r="I1040" s="384"/>
      <c r="J1040" s="384"/>
      <c r="K1040" s="383" t="str">
        <f>IFERROR(VLOOKUP(J1040,Jueces!$A$1:$B$11,2,FALSE),"")</f>
        <v/>
      </c>
      <c r="L1040" s="244" t="s">
        <v>798</v>
      </c>
      <c r="M1040" s="244" t="s">
        <v>723</v>
      </c>
      <c r="N1040" s="383"/>
      <c r="O1040" s="244" t="str">
        <f t="shared" ca="1" si="62"/>
        <v>LIMBO</v>
      </c>
      <c r="P1040" s="244" t="str">
        <f t="shared" si="63"/>
        <v>DIANOSOL</v>
      </c>
      <c r="Q1040" s="244" t="s">
        <v>951</v>
      </c>
      <c r="R1040" s="244" t="str">
        <f>VLOOKUP($Q1040,Resultados!$A$1:$B$49,2,FALSE)</f>
        <v xml:space="preserve"> _</v>
      </c>
      <c r="S1040" s="244"/>
      <c r="T1040" s="245" t="str">
        <f t="shared" si="64"/>
        <v>NO</v>
      </c>
      <c r="U1040" s="245"/>
      <c r="V1040" s="383"/>
      <c r="W1040" s="383"/>
      <c r="X1040" s="383"/>
      <c r="Y1040" s="383"/>
      <c r="Z1040" s="383"/>
      <c r="AA1040" s="383"/>
      <c r="AB1040" s="383"/>
      <c r="AC1040" s="383"/>
    </row>
    <row r="1041" spans="1:29" ht="39.950000000000003" customHeight="1">
      <c r="A1041" s="383">
        <v>1048</v>
      </c>
      <c r="B1041" s="384">
        <v>45251</v>
      </c>
      <c r="C1041" s="385">
        <v>0.48958333333333331</v>
      </c>
      <c r="D1041" s="244" t="s">
        <v>4195</v>
      </c>
      <c r="E1041" s="247" t="s">
        <v>4196</v>
      </c>
      <c r="F1041" s="383">
        <v>3</v>
      </c>
      <c r="G1041" s="383"/>
      <c r="H1041" s="384"/>
      <c r="I1041" s="384"/>
      <c r="J1041" s="384"/>
      <c r="K1041" s="383" t="str">
        <f>IFERROR(VLOOKUP(J1041,Jueces!$A$1:$B$11,2,FALSE),"")</f>
        <v/>
      </c>
      <c r="L1041" s="244" t="s">
        <v>789</v>
      </c>
      <c r="M1041" s="244" t="s">
        <v>3798</v>
      </c>
      <c r="N1041" s="383"/>
      <c r="O1041" s="244" t="str">
        <f t="shared" ca="1" si="62"/>
        <v>LIMBO</v>
      </c>
      <c r="P1041" s="244" t="str">
        <f t="shared" si="63"/>
        <v>DIANOSOL</v>
      </c>
      <c r="Q1041" s="244" t="s">
        <v>951</v>
      </c>
      <c r="R1041" s="244" t="str">
        <f>VLOOKUP($Q1041,Resultados!$A$1:$B$49,2,FALSE)</f>
        <v xml:space="preserve"> _</v>
      </c>
      <c r="S1041" s="244"/>
      <c r="T1041" s="245" t="str">
        <f t="shared" si="64"/>
        <v>NO</v>
      </c>
      <c r="U1041" s="245"/>
      <c r="V1041" s="383"/>
      <c r="W1041" s="383"/>
      <c r="X1041" s="383"/>
      <c r="Y1041" s="383"/>
      <c r="Z1041" s="383"/>
      <c r="AA1041" s="383"/>
      <c r="AB1041" s="383"/>
      <c r="AC1041" s="383"/>
    </row>
    <row r="1042" spans="1:29" ht="39.950000000000003" customHeight="1">
      <c r="A1042" s="383">
        <v>1049</v>
      </c>
      <c r="B1042" s="384"/>
      <c r="C1042" s="383"/>
      <c r="D1042" s="244" t="s">
        <v>4205</v>
      </c>
      <c r="E1042" s="247" t="s">
        <v>4206</v>
      </c>
      <c r="F1042" s="383">
        <v>7</v>
      </c>
      <c r="G1042" s="383"/>
      <c r="H1042" s="384"/>
      <c r="I1042" s="384"/>
      <c r="J1042" s="384"/>
      <c r="K1042" s="383" t="str">
        <f>IFERROR(VLOOKUP(J1042,Jueces!$A$1:$B$11,2,FALSE),"")</f>
        <v/>
      </c>
      <c r="L1042" s="244" t="s">
        <v>569</v>
      </c>
      <c r="M1042" s="244" t="s">
        <v>783</v>
      </c>
      <c r="N1042" s="383"/>
      <c r="O1042" s="244" t="str">
        <f t="shared" ca="1" si="62"/>
        <v>LIMBO</v>
      </c>
      <c r="P1042" s="244" t="str">
        <f t="shared" si="63"/>
        <v>DIANOSOL</v>
      </c>
      <c r="Q1042" s="244" t="s">
        <v>951</v>
      </c>
      <c r="R1042" s="244" t="str">
        <f>VLOOKUP($Q1042,Resultados!$A$1:$B$49,2,FALSE)</f>
        <v xml:space="preserve"> _</v>
      </c>
      <c r="S1042" s="244"/>
      <c r="T1042" s="245" t="str">
        <f t="shared" si="64"/>
        <v>NO</v>
      </c>
      <c r="U1042" s="245"/>
      <c r="V1042" s="383"/>
      <c r="W1042" s="383"/>
      <c r="X1042" s="383"/>
      <c r="Y1042" s="383"/>
      <c r="Z1042" s="383"/>
      <c r="AA1042" s="383"/>
      <c r="AB1042" s="383"/>
      <c r="AC1042" s="383"/>
    </row>
    <row r="1043" spans="1:29" ht="39.950000000000003" customHeight="1">
      <c r="A1043" s="383">
        <v>1050</v>
      </c>
      <c r="B1043" s="384">
        <v>45251</v>
      </c>
      <c r="C1043" s="385">
        <v>0.4375</v>
      </c>
      <c r="D1043" s="244" t="s">
        <v>4208</v>
      </c>
      <c r="E1043" s="247" t="s">
        <v>4209</v>
      </c>
      <c r="F1043" s="383">
        <v>4</v>
      </c>
      <c r="G1043" s="383"/>
      <c r="H1043" s="384"/>
      <c r="I1043" s="384"/>
      <c r="J1043" s="384"/>
      <c r="K1043" s="383" t="str">
        <f>IFERROR(VLOOKUP(J1043,Jueces!$A$1:$B$11,2,FALSE),"")</f>
        <v/>
      </c>
      <c r="L1043" s="244" t="s">
        <v>802</v>
      </c>
      <c r="M1043" s="244" t="s">
        <v>1874</v>
      </c>
      <c r="N1043" s="383"/>
      <c r="O1043" s="244" t="str">
        <f t="shared" ca="1" si="62"/>
        <v>LIMBO</v>
      </c>
      <c r="P1043" s="244" t="str">
        <f t="shared" si="63"/>
        <v>DIANOSOL</v>
      </c>
      <c r="Q1043" s="244" t="s">
        <v>951</v>
      </c>
      <c r="R1043" s="244" t="str">
        <f>VLOOKUP($Q1043,Resultados!$A$1:$B$49,2,FALSE)</f>
        <v xml:space="preserve"> _</v>
      </c>
      <c r="S1043" s="244"/>
      <c r="T1043" s="245" t="str">
        <f t="shared" si="64"/>
        <v>NO</v>
      </c>
      <c r="U1043" s="245"/>
      <c r="V1043" s="383"/>
      <c r="W1043" s="383"/>
      <c r="X1043" s="383"/>
      <c r="Y1043" s="383"/>
      <c r="Z1043" s="383"/>
      <c r="AA1043" s="383"/>
      <c r="AB1043" s="383"/>
      <c r="AC1043" s="383"/>
    </row>
    <row r="1044" spans="1:29" ht="39.950000000000003" customHeight="1">
      <c r="A1044" s="383">
        <v>1051</v>
      </c>
      <c r="B1044" s="384">
        <v>45160</v>
      </c>
      <c r="C1044" s="385">
        <v>0.33333333333333331</v>
      </c>
      <c r="D1044" s="383" t="s">
        <v>3530</v>
      </c>
      <c r="E1044" s="396" t="s">
        <v>3466</v>
      </c>
      <c r="F1044" s="383">
        <v>2</v>
      </c>
      <c r="G1044" s="383"/>
      <c r="H1044" s="384"/>
      <c r="I1044" s="384"/>
      <c r="J1044" s="384"/>
      <c r="K1044" s="383" t="str">
        <f>IFERROR(VLOOKUP(J1044,Jueces!$A$1:$B$11,2,FALSE),"")</f>
        <v/>
      </c>
      <c r="L1044" s="244" t="s">
        <v>2092</v>
      </c>
      <c r="M1044" s="408" t="s">
        <v>2774</v>
      </c>
      <c r="N1044" s="244" t="s">
        <v>4213</v>
      </c>
      <c r="O1044" s="244" t="str">
        <f t="shared" ca="1" si="62"/>
        <v>LIMBO</v>
      </c>
      <c r="P1044" s="244" t="str">
        <f t="shared" si="63"/>
        <v>DIANOSOL</v>
      </c>
      <c r="Q1044" s="244" t="s">
        <v>951</v>
      </c>
      <c r="R1044" s="244" t="str">
        <f>VLOOKUP($Q1044,Resultados!$A$1:$B$49,2,FALSE)</f>
        <v xml:space="preserve"> _</v>
      </c>
      <c r="S1044" s="244"/>
      <c r="T1044" s="245" t="str">
        <f t="shared" si="64"/>
        <v>NO</v>
      </c>
      <c r="U1044" s="245"/>
      <c r="V1044" s="383"/>
      <c r="W1044" s="383"/>
      <c r="X1044" s="383"/>
      <c r="Y1044" s="383"/>
      <c r="Z1044" s="383"/>
      <c r="AA1044" s="383"/>
      <c r="AB1044" s="383"/>
      <c r="AC1044" s="383"/>
    </row>
    <row r="1045" spans="1:29" ht="39.950000000000003" customHeight="1">
      <c r="A1045" s="361">
        <v>1052</v>
      </c>
      <c r="B1045" s="378">
        <v>45252</v>
      </c>
      <c r="C1045" s="419">
        <v>0.33333333333333331</v>
      </c>
      <c r="D1045" s="172" t="s">
        <v>4214</v>
      </c>
      <c r="E1045" s="173" t="s">
        <v>4215</v>
      </c>
      <c r="F1045" s="361">
        <v>3</v>
      </c>
      <c r="G1045" s="361"/>
      <c r="H1045" s="378"/>
      <c r="I1045" s="378"/>
      <c r="J1045" s="378"/>
      <c r="K1045" s="361" t="str">
        <f>IFERROR(VLOOKUP(J1045,Jueces!$A$1:$B$11,2,FALSE),"")</f>
        <v/>
      </c>
      <c r="L1045" s="172" t="s">
        <v>790</v>
      </c>
      <c r="M1045" s="172"/>
      <c r="N1045" s="361"/>
      <c r="O1045" s="172" t="str">
        <f t="shared" ca="1" si="62"/>
        <v>LIMBO</v>
      </c>
      <c r="P1045" s="172" t="str">
        <f t="shared" si="63"/>
        <v>DIANOSOL</v>
      </c>
      <c r="Q1045" s="172" t="s">
        <v>951</v>
      </c>
      <c r="R1045" s="172" t="str">
        <f>VLOOKUP($Q1045,Resultados!$A$1:$B$49,2,FALSE)</f>
        <v xml:space="preserve"> _</v>
      </c>
      <c r="S1045" s="172"/>
      <c r="T1045" s="174" t="str">
        <f t="shared" si="64"/>
        <v>NO</v>
      </c>
      <c r="U1045" s="174"/>
      <c r="V1045" s="361"/>
      <c r="W1045" s="361"/>
      <c r="X1045" s="361"/>
      <c r="Y1045" s="361"/>
      <c r="Z1045" s="361"/>
      <c r="AA1045" s="361"/>
      <c r="AB1045" s="361"/>
      <c r="AC1045" s="361"/>
    </row>
    <row r="1046" spans="1:29" ht="39.950000000000003" customHeight="1">
      <c r="A1046" s="361">
        <v>1054</v>
      </c>
      <c r="B1046" s="378">
        <v>45252</v>
      </c>
      <c r="C1046" s="419">
        <v>0.33333333333333331</v>
      </c>
      <c r="D1046" s="172" t="s">
        <v>4217</v>
      </c>
      <c r="E1046" s="173" t="s">
        <v>4218</v>
      </c>
      <c r="F1046" s="361">
        <v>5</v>
      </c>
      <c r="G1046" s="361"/>
      <c r="H1046" s="378"/>
      <c r="I1046" s="378"/>
      <c r="J1046" s="378"/>
      <c r="K1046" s="361" t="str">
        <f>IFERROR(VLOOKUP(J1046,Jueces!$A$1:$B$11,2,FALSE),"")</f>
        <v/>
      </c>
      <c r="L1046" s="172" t="s">
        <v>812</v>
      </c>
      <c r="M1046" s="172"/>
      <c r="N1046" s="361"/>
      <c r="O1046" s="172" t="str">
        <f t="shared" ca="1" si="62"/>
        <v>LIMBO</v>
      </c>
      <c r="P1046" s="172" t="str">
        <f t="shared" si="63"/>
        <v>DIANOSOL</v>
      </c>
      <c r="Q1046" s="172" t="s">
        <v>951</v>
      </c>
      <c r="R1046" s="172" t="str">
        <f>VLOOKUP($Q1046,Resultados!$A$1:$B$49,2,FALSE)</f>
        <v xml:space="preserve"> _</v>
      </c>
      <c r="S1046" s="172"/>
      <c r="T1046" s="174" t="str">
        <f t="shared" si="64"/>
        <v>NO</v>
      </c>
      <c r="U1046" s="174"/>
      <c r="V1046" s="361"/>
      <c r="W1046" s="361"/>
      <c r="X1046" s="361"/>
      <c r="Y1046" s="361"/>
      <c r="Z1046" s="361"/>
      <c r="AA1046" s="361"/>
      <c r="AB1046" s="361"/>
      <c r="AC1046" s="361"/>
    </row>
    <row r="1047" spans="1:29" ht="39.950000000000003" customHeight="1">
      <c r="A1047" s="383">
        <v>1055</v>
      </c>
      <c r="B1047" s="384">
        <v>45252</v>
      </c>
      <c r="C1047" s="385">
        <v>0.33333333333333331</v>
      </c>
      <c r="D1047" s="383" t="s">
        <v>1314</v>
      </c>
      <c r="E1047" s="396" t="s">
        <v>4219</v>
      </c>
      <c r="F1047" s="383">
        <v>3</v>
      </c>
      <c r="G1047" s="383"/>
      <c r="H1047" s="384"/>
      <c r="I1047" s="384"/>
      <c r="J1047" s="384"/>
      <c r="K1047" s="383" t="str">
        <f>IFERROR(VLOOKUP(J1047,Jueces!$A$1:$B$11,2,FALSE),"")</f>
        <v/>
      </c>
      <c r="L1047" s="244" t="s">
        <v>807</v>
      </c>
      <c r="M1047" s="244" t="s">
        <v>1526</v>
      </c>
      <c r="N1047" s="383"/>
      <c r="O1047" s="244" t="str">
        <f t="shared" ca="1" si="62"/>
        <v>LIMBO</v>
      </c>
      <c r="P1047" s="244" t="str">
        <f t="shared" si="63"/>
        <v>DIANOSOL</v>
      </c>
      <c r="Q1047" s="244" t="s">
        <v>951</v>
      </c>
      <c r="R1047" s="244" t="str">
        <f>VLOOKUP($Q1047,Resultados!$A$1:$B$49,2,FALSE)</f>
        <v xml:space="preserve"> _</v>
      </c>
      <c r="S1047" s="244"/>
      <c r="T1047" s="245" t="str">
        <f t="shared" si="64"/>
        <v>NO</v>
      </c>
      <c r="U1047" s="245"/>
      <c r="V1047" s="383"/>
      <c r="W1047" s="383"/>
      <c r="X1047" s="383"/>
      <c r="Y1047" s="383"/>
      <c r="Z1047" s="383"/>
      <c r="AA1047" s="383"/>
      <c r="AB1047" s="383"/>
      <c r="AC1047" s="383"/>
    </row>
    <row r="1048" spans="1:29" ht="39.950000000000003" customHeight="1">
      <c r="A1048" s="361">
        <v>1056</v>
      </c>
      <c r="B1048" s="378">
        <v>45252</v>
      </c>
      <c r="C1048" s="419">
        <v>0.36041666666666666</v>
      </c>
      <c r="D1048" s="172" t="s">
        <v>4220</v>
      </c>
      <c r="E1048" s="173" t="s">
        <v>4221</v>
      </c>
      <c r="F1048" s="361">
        <v>4</v>
      </c>
      <c r="G1048" s="361"/>
      <c r="H1048" s="378"/>
      <c r="I1048" s="378"/>
      <c r="J1048" s="378"/>
      <c r="K1048" s="361" t="str">
        <f>IFERROR(VLOOKUP(J1048,Jueces!$A$1:$B$11,2,FALSE),"")</f>
        <v/>
      </c>
      <c r="L1048" s="172" t="s">
        <v>807</v>
      </c>
      <c r="M1048" s="172"/>
      <c r="N1048" s="361"/>
      <c r="O1048" s="172" t="str">
        <f t="shared" ca="1" si="62"/>
        <v>LIMBO</v>
      </c>
      <c r="P1048" s="172" t="str">
        <f t="shared" si="63"/>
        <v>DIANOSOL</v>
      </c>
      <c r="Q1048" s="172" t="s">
        <v>951</v>
      </c>
      <c r="R1048" s="172" t="str">
        <f>VLOOKUP($Q1048,Resultados!$A$1:$B$49,2,FALSE)</f>
        <v xml:space="preserve"> _</v>
      </c>
      <c r="S1048" s="172"/>
      <c r="T1048" s="174" t="str">
        <f t="shared" si="64"/>
        <v>NO</v>
      </c>
      <c r="U1048" s="174"/>
      <c r="V1048" s="361"/>
      <c r="W1048" s="361"/>
      <c r="X1048" s="361"/>
      <c r="Y1048" s="361"/>
      <c r="Z1048" s="361"/>
      <c r="AA1048" s="361"/>
      <c r="AB1048" s="361"/>
      <c r="AC1048" s="361"/>
    </row>
    <row r="1049" spans="1:29" ht="39.950000000000003" customHeight="1">
      <c r="A1049" s="361">
        <v>1057</v>
      </c>
      <c r="B1049" s="378">
        <v>45252</v>
      </c>
      <c r="C1049" s="419">
        <v>0.3444444444444445</v>
      </c>
      <c r="D1049" s="172" t="s">
        <v>4222</v>
      </c>
      <c r="E1049" s="173" t="s">
        <v>4223</v>
      </c>
      <c r="F1049" s="361">
        <v>4</v>
      </c>
      <c r="G1049" s="361"/>
      <c r="H1049" s="378"/>
      <c r="I1049" s="378"/>
      <c r="J1049" s="378"/>
      <c r="K1049" s="361" t="str">
        <f>IFERROR(VLOOKUP(J1049,Jueces!$A$1:$B$11,2,FALSE),"")</f>
        <v/>
      </c>
      <c r="L1049" s="172" t="s">
        <v>802</v>
      </c>
      <c r="M1049" s="172"/>
      <c r="N1049" s="361"/>
      <c r="O1049" s="172" t="str">
        <f t="shared" ca="1" si="62"/>
        <v>LIMBO</v>
      </c>
      <c r="P1049" s="172" t="str">
        <f t="shared" si="63"/>
        <v>DIANOSOL</v>
      </c>
      <c r="Q1049" s="172" t="s">
        <v>951</v>
      </c>
      <c r="R1049" s="172" t="str">
        <f>VLOOKUP($Q1049,Resultados!$A$1:$B$49,2,FALSE)</f>
        <v xml:space="preserve"> _</v>
      </c>
      <c r="S1049" s="172"/>
      <c r="T1049" s="174" t="str">
        <f t="shared" si="64"/>
        <v>NO</v>
      </c>
      <c r="U1049" s="174"/>
      <c r="V1049" s="361"/>
      <c r="W1049" s="361"/>
      <c r="X1049" s="361"/>
      <c r="Y1049" s="361"/>
      <c r="Z1049" s="361"/>
      <c r="AA1049" s="361"/>
      <c r="AB1049" s="361"/>
      <c r="AC1049" s="361"/>
    </row>
    <row r="1050" spans="1:29" ht="39.950000000000003" customHeight="1">
      <c r="A1050" s="383">
        <v>1048</v>
      </c>
      <c r="B1050" s="384">
        <v>45252</v>
      </c>
      <c r="C1050" s="385">
        <v>0.43888888888888888</v>
      </c>
      <c r="D1050" s="244" t="s">
        <v>4275</v>
      </c>
      <c r="E1050" s="247" t="s">
        <v>4276</v>
      </c>
      <c r="F1050" s="383">
        <v>3</v>
      </c>
      <c r="G1050" s="383"/>
      <c r="H1050" s="384"/>
      <c r="I1050" s="384"/>
      <c r="J1050" s="384"/>
      <c r="K1050" s="383" t="str">
        <f>IFERROR(VLOOKUP(J1050,Jueces!$A$1:$B$11,2,FALSE),"")</f>
        <v/>
      </c>
      <c r="L1050" s="244" t="s">
        <v>688</v>
      </c>
      <c r="M1050" s="408" t="s">
        <v>700</v>
      </c>
      <c r="N1050" s="383"/>
      <c r="O1050" s="244" t="str">
        <f t="shared" ca="1" si="62"/>
        <v>LIMBO</v>
      </c>
      <c r="P1050" s="244" t="str">
        <f t="shared" si="63"/>
        <v>DIANOSOL</v>
      </c>
      <c r="Q1050" s="244" t="s">
        <v>951</v>
      </c>
      <c r="R1050" s="244" t="str">
        <f>VLOOKUP($Q1050,Resultados!$A$1:$B$49,2,FALSE)</f>
        <v xml:space="preserve"> _</v>
      </c>
      <c r="S1050" s="244"/>
      <c r="T1050" s="245" t="str">
        <f t="shared" si="64"/>
        <v>NO</v>
      </c>
      <c r="U1050" s="245"/>
      <c r="V1050" s="383"/>
      <c r="W1050" s="383"/>
      <c r="X1050" s="383"/>
      <c r="Y1050" s="383"/>
      <c r="Z1050" s="383"/>
      <c r="AA1050" s="383"/>
      <c r="AB1050" s="383"/>
      <c r="AC1050" s="383"/>
    </row>
    <row r="1051" spans="1:29" ht="39.950000000000003" customHeight="1">
      <c r="A1051" s="361">
        <v>1049</v>
      </c>
      <c r="B1051" s="378">
        <v>45252</v>
      </c>
      <c r="C1051" s="419">
        <v>0.53749999999999998</v>
      </c>
      <c r="D1051" s="172" t="s">
        <v>4278</v>
      </c>
      <c r="E1051" s="173" t="s">
        <v>4279</v>
      </c>
      <c r="F1051" s="361">
        <v>4</v>
      </c>
      <c r="G1051" s="361"/>
      <c r="H1051" s="378"/>
      <c r="I1051" s="378"/>
      <c r="J1051" s="378"/>
      <c r="K1051" s="361" t="str">
        <f>IFERROR(VLOOKUP(J1051,Jueces!$A$1:$B$11,2,FALSE),"")</f>
        <v/>
      </c>
      <c r="L1051" s="172" t="s">
        <v>809</v>
      </c>
      <c r="M1051" s="172"/>
      <c r="N1051" s="361"/>
      <c r="O1051" s="172" t="str">
        <f t="shared" ca="1" si="62"/>
        <v>LIMBO</v>
      </c>
      <c r="P1051" s="172" t="str">
        <f t="shared" si="63"/>
        <v>DIANOSOL</v>
      </c>
      <c r="Q1051" s="172" t="s">
        <v>951</v>
      </c>
      <c r="R1051" s="172" t="str">
        <f>VLOOKUP($Q1051,Resultados!$A$1:$B$49,2,FALSE)</f>
        <v xml:space="preserve"> _</v>
      </c>
      <c r="S1051" s="172"/>
      <c r="T1051" s="174" t="str">
        <f t="shared" si="64"/>
        <v>NO</v>
      </c>
      <c r="U1051" s="174"/>
      <c r="V1051" s="361"/>
      <c r="W1051" s="361"/>
      <c r="X1051" s="361"/>
      <c r="Y1051" s="361"/>
      <c r="Z1051" s="361"/>
      <c r="AA1051" s="361"/>
      <c r="AB1051" s="361"/>
      <c r="AC1051" s="361"/>
    </row>
    <row r="1052" spans="1:29" ht="39.950000000000003" customHeight="1">
      <c r="A1052" s="361">
        <v>1050</v>
      </c>
      <c r="B1052" s="378">
        <v>45252</v>
      </c>
      <c r="C1052" s="419">
        <v>0.38958333333333334</v>
      </c>
      <c r="D1052" s="172" t="s">
        <v>4280</v>
      </c>
      <c r="E1052" s="173" t="s">
        <v>4281</v>
      </c>
      <c r="F1052" s="361">
        <v>4</v>
      </c>
      <c r="G1052" s="361"/>
      <c r="H1052" s="378"/>
      <c r="I1052" s="378"/>
      <c r="J1052" s="378"/>
      <c r="K1052" s="361" t="str">
        <f>IFERROR(VLOOKUP(J1052,Jueces!$A$1:$B$11,2,FALSE),"")</f>
        <v/>
      </c>
      <c r="L1052" s="172" t="s">
        <v>789</v>
      </c>
      <c r="M1052" s="172"/>
      <c r="N1052" s="361"/>
      <c r="O1052" s="172" t="str">
        <f t="shared" ca="1" si="62"/>
        <v>LIMBO</v>
      </c>
      <c r="P1052" s="172" t="str">
        <f t="shared" si="63"/>
        <v>DIANOSOL</v>
      </c>
      <c r="Q1052" s="172" t="s">
        <v>951</v>
      </c>
      <c r="R1052" s="172" t="str">
        <f>VLOOKUP($Q1052,Resultados!$A$1:$B$49,2,FALSE)</f>
        <v xml:space="preserve"> _</v>
      </c>
      <c r="S1052" s="172"/>
      <c r="T1052" s="174" t="str">
        <f t="shared" si="64"/>
        <v>NO</v>
      </c>
      <c r="U1052" s="174"/>
      <c r="V1052" s="361"/>
      <c r="W1052" s="361"/>
      <c r="X1052" s="361"/>
      <c r="Y1052" s="361"/>
      <c r="Z1052" s="361"/>
      <c r="AA1052" s="361"/>
      <c r="AB1052" s="361"/>
      <c r="AC1052" s="361"/>
    </row>
    <row r="1053" spans="1:29" ht="39.950000000000003" customHeight="1">
      <c r="A1053" s="361">
        <v>1051</v>
      </c>
      <c r="B1053" s="378">
        <v>45253</v>
      </c>
      <c r="C1053" s="419">
        <v>0.46597222222222223</v>
      </c>
      <c r="D1053" s="172" t="s">
        <v>4282</v>
      </c>
      <c r="E1053" s="173" t="s">
        <v>4283</v>
      </c>
      <c r="F1053" s="361">
        <v>4</v>
      </c>
      <c r="G1053" s="361"/>
      <c r="H1053" s="378"/>
      <c r="I1053" s="378"/>
      <c r="J1053" s="378"/>
      <c r="K1053" s="361" t="str">
        <f>IFERROR(VLOOKUP(J1053,Jueces!$A$1:$B$11,2,FALSE),"")</f>
        <v/>
      </c>
      <c r="L1053" s="172" t="s">
        <v>807</v>
      </c>
      <c r="M1053" s="172"/>
      <c r="N1053" s="361"/>
      <c r="O1053" s="172" t="str">
        <f t="shared" ca="1" si="62"/>
        <v>LIMBO</v>
      </c>
      <c r="P1053" s="172" t="str">
        <f t="shared" si="63"/>
        <v>DIANOSOL</v>
      </c>
      <c r="Q1053" s="172" t="s">
        <v>951</v>
      </c>
      <c r="R1053" s="172" t="str">
        <f>VLOOKUP($Q1053,Resultados!$A$1:$B$49,2,FALSE)</f>
        <v xml:space="preserve"> _</v>
      </c>
      <c r="S1053" s="172"/>
      <c r="T1053" s="174" t="str">
        <f t="shared" si="64"/>
        <v>NO</v>
      </c>
      <c r="U1053" s="174"/>
      <c r="V1053" s="361"/>
      <c r="W1053" s="361"/>
      <c r="X1053" s="361"/>
      <c r="Y1053" s="361"/>
      <c r="Z1053" s="361"/>
      <c r="AA1053" s="361"/>
      <c r="AB1053" s="361"/>
      <c r="AC1053" s="361"/>
    </row>
    <row r="1054" spans="1:29" ht="39.950000000000003" customHeight="1">
      <c r="A1054" s="361">
        <v>1052</v>
      </c>
      <c r="B1054" s="378">
        <v>45253</v>
      </c>
      <c r="C1054" s="419">
        <v>0.45555555555555555</v>
      </c>
      <c r="D1054" s="172" t="s">
        <v>4284</v>
      </c>
      <c r="E1054" s="173" t="s">
        <v>4285</v>
      </c>
      <c r="F1054" s="361">
        <v>5</v>
      </c>
      <c r="G1054" s="361"/>
      <c r="H1054" s="378"/>
      <c r="I1054" s="378"/>
      <c r="J1054" s="378"/>
      <c r="K1054" s="361" t="str">
        <f>IFERROR(VLOOKUP(J1054,Jueces!$A$1:$B$11,2,FALSE),"")</f>
        <v/>
      </c>
      <c r="L1054" s="172" t="s">
        <v>812</v>
      </c>
      <c r="M1054" s="172"/>
      <c r="N1054" s="361"/>
      <c r="O1054" s="172" t="str">
        <f t="shared" ca="1" si="62"/>
        <v>LIMBO</v>
      </c>
      <c r="P1054" s="172" t="str">
        <f t="shared" si="63"/>
        <v>DIANOSOL</v>
      </c>
      <c r="Q1054" s="172" t="s">
        <v>951</v>
      </c>
      <c r="R1054" s="172" t="str">
        <f>VLOOKUP($Q1054,Resultados!$A$1:$B$49,2,FALSE)</f>
        <v xml:space="preserve"> _</v>
      </c>
      <c r="S1054" s="172"/>
      <c r="T1054" s="174" t="str">
        <f t="shared" si="64"/>
        <v>NO</v>
      </c>
      <c r="U1054" s="174"/>
      <c r="V1054" s="361"/>
      <c r="W1054" s="361"/>
      <c r="X1054" s="361"/>
      <c r="Y1054" s="361"/>
      <c r="Z1054" s="361"/>
      <c r="AA1054" s="361"/>
      <c r="AB1054" s="361"/>
      <c r="AC1054" s="361"/>
    </row>
    <row r="1055" spans="1:29" ht="39.950000000000003" customHeight="1">
      <c r="A1055" s="361">
        <v>1053</v>
      </c>
      <c r="B1055" s="378">
        <v>45253</v>
      </c>
      <c r="C1055" s="419">
        <v>0.4375</v>
      </c>
      <c r="D1055" s="172" t="s">
        <v>4286</v>
      </c>
      <c r="E1055" s="173" t="s">
        <v>4287</v>
      </c>
      <c r="F1055" s="361">
        <v>5</v>
      </c>
      <c r="G1055" s="361"/>
      <c r="H1055" s="378"/>
      <c r="I1055" s="378"/>
      <c r="J1055" s="378"/>
      <c r="K1055" s="361" t="str">
        <f>IFERROR(VLOOKUP(J1055,Jueces!$A$1:$B$11,2,FALSE),"")</f>
        <v/>
      </c>
      <c r="L1055" s="172" t="s">
        <v>801</v>
      </c>
      <c r="M1055" s="172"/>
      <c r="N1055" s="361"/>
      <c r="O1055" s="172" t="str">
        <f t="shared" ca="1" si="62"/>
        <v>LIMBO</v>
      </c>
      <c r="P1055" s="172" t="str">
        <f t="shared" si="63"/>
        <v>DIANOSOL</v>
      </c>
      <c r="Q1055" s="172" t="s">
        <v>951</v>
      </c>
      <c r="R1055" s="172" t="str">
        <f>VLOOKUP($Q1055,Resultados!$A$1:$B$49,2,FALSE)</f>
        <v xml:space="preserve"> _</v>
      </c>
      <c r="S1055" s="172"/>
      <c r="T1055" s="174" t="str">
        <f t="shared" si="64"/>
        <v>NO</v>
      </c>
      <c r="U1055" s="174"/>
      <c r="V1055" s="361"/>
      <c r="W1055" s="361"/>
      <c r="X1055" s="361"/>
      <c r="Y1055" s="361"/>
      <c r="Z1055" s="361"/>
      <c r="AA1055" s="361"/>
      <c r="AB1055" s="361"/>
      <c r="AC1055" s="361"/>
    </row>
    <row r="1056" spans="1:29" ht="39.950000000000003" customHeight="1">
      <c r="A1056" s="361">
        <v>1054</v>
      </c>
      <c r="B1056" s="378">
        <v>45253</v>
      </c>
      <c r="C1056" s="419">
        <v>0.4069444444444445</v>
      </c>
      <c r="D1056" s="172" t="s">
        <v>4288</v>
      </c>
      <c r="E1056" s="173" t="s">
        <v>4289</v>
      </c>
      <c r="F1056" s="361">
        <v>4</v>
      </c>
      <c r="G1056" s="361"/>
      <c r="H1056" s="378"/>
      <c r="I1056" s="378"/>
      <c r="J1056" s="378"/>
      <c r="K1056" s="361" t="str">
        <f>IFERROR(VLOOKUP(J1056,Jueces!$A$1:$B$11,2,FALSE),"")</f>
        <v/>
      </c>
      <c r="L1056" s="172" t="s">
        <v>1700</v>
      </c>
      <c r="M1056" s="172"/>
      <c r="N1056" s="361"/>
      <c r="O1056" s="172" t="str">
        <f t="shared" ca="1" si="62"/>
        <v>LIMBO</v>
      </c>
      <c r="P1056" s="172" t="str">
        <f t="shared" si="63"/>
        <v>DIANOSOL</v>
      </c>
      <c r="Q1056" s="172" t="s">
        <v>951</v>
      </c>
      <c r="R1056" s="172" t="str">
        <f>VLOOKUP($Q1056,Resultados!$A$1:$B$49,2,FALSE)</f>
        <v xml:space="preserve"> _</v>
      </c>
      <c r="S1056" s="172"/>
      <c r="T1056" s="174" t="str">
        <f t="shared" si="64"/>
        <v>NO</v>
      </c>
      <c r="U1056" s="174"/>
      <c r="V1056" s="361"/>
      <c r="W1056" s="361"/>
      <c r="X1056" s="361"/>
      <c r="Y1056" s="361"/>
      <c r="Z1056" s="361"/>
      <c r="AA1056" s="361"/>
      <c r="AB1056" s="361"/>
      <c r="AC1056" s="361"/>
    </row>
    <row r="1057" spans="1:29" ht="39.950000000000003" customHeight="1">
      <c r="A1057" s="361">
        <v>1055</v>
      </c>
      <c r="B1057" s="378">
        <v>45253</v>
      </c>
      <c r="C1057" s="419">
        <v>0.35694444444444445</v>
      </c>
      <c r="D1057" s="172" t="s">
        <v>4290</v>
      </c>
      <c r="E1057" s="173" t="s">
        <v>4291</v>
      </c>
      <c r="F1057" s="361">
        <v>4</v>
      </c>
      <c r="G1057" s="361"/>
      <c r="H1057" s="378"/>
      <c r="I1057" s="378"/>
      <c r="J1057" s="378"/>
      <c r="K1057" s="361" t="str">
        <f>IFERROR(VLOOKUP(J1057,Jueces!$A$1:$B$11,2,FALSE),"")</f>
        <v/>
      </c>
      <c r="L1057" s="172" t="s">
        <v>812</v>
      </c>
      <c r="M1057" s="172"/>
      <c r="N1057" s="361"/>
      <c r="O1057" s="172" t="str">
        <f t="shared" ca="1" si="62"/>
        <v>LIMBO</v>
      </c>
      <c r="P1057" s="172" t="str">
        <f t="shared" si="63"/>
        <v>DIANOSOL</v>
      </c>
      <c r="Q1057" s="172" t="s">
        <v>951</v>
      </c>
      <c r="R1057" s="172" t="str">
        <f>VLOOKUP($Q1057,Resultados!$A$1:$B$49,2,FALSE)</f>
        <v xml:space="preserve"> _</v>
      </c>
      <c r="S1057" s="172"/>
      <c r="T1057" s="174" t="str">
        <f t="shared" si="64"/>
        <v>NO</v>
      </c>
      <c r="U1057" s="174"/>
      <c r="V1057" s="361"/>
      <c r="W1057" s="361"/>
      <c r="X1057" s="361"/>
      <c r="Y1057" s="361"/>
      <c r="Z1057" s="361"/>
      <c r="AA1057" s="361"/>
      <c r="AB1057" s="361"/>
      <c r="AC1057" s="361"/>
    </row>
    <row r="1058" spans="1:29" ht="39.950000000000003" customHeight="1">
      <c r="A1058" s="90">
        <v>1056</v>
      </c>
      <c r="B1058" s="212">
        <v>45253</v>
      </c>
      <c r="C1058" s="429">
        <v>0.34861111111111115</v>
      </c>
      <c r="D1058" s="81" t="s">
        <v>4292</v>
      </c>
      <c r="E1058" s="211" t="s">
        <v>4293</v>
      </c>
      <c r="F1058" s="90"/>
      <c r="G1058" s="90"/>
      <c r="H1058" s="212"/>
      <c r="I1058" s="212"/>
      <c r="J1058" s="212"/>
      <c r="K1058" s="90" t="str">
        <f>IFERROR(VLOOKUP(J1058,Jueces!$A$1:$B$11,2,FALSE),"")</f>
        <v/>
      </c>
      <c r="L1058" s="81"/>
      <c r="M1058" s="81"/>
      <c r="N1058" s="90"/>
      <c r="O1058" s="81" t="str">
        <f t="shared" ca="1" si="62"/>
        <v>LIMBO</v>
      </c>
      <c r="P1058" s="81" t="str">
        <f t="shared" si="63"/>
        <v>DIANOSOL</v>
      </c>
      <c r="Q1058" s="81" t="s">
        <v>951</v>
      </c>
      <c r="R1058" s="81" t="str">
        <f>VLOOKUP($Q1058,Resultados!$A$1:$B$49,2,FALSE)</f>
        <v xml:space="preserve"> _</v>
      </c>
      <c r="S1058" s="81"/>
      <c r="T1058" s="388" t="str">
        <f t="shared" si="64"/>
        <v>NO</v>
      </c>
      <c r="U1058" s="388"/>
      <c r="V1058" s="90"/>
      <c r="W1058" s="90"/>
      <c r="X1058" s="90"/>
      <c r="Y1058" s="90"/>
      <c r="Z1058" s="90"/>
      <c r="AA1058" s="90"/>
      <c r="AB1058" s="90"/>
      <c r="AC1058" s="90"/>
    </row>
  </sheetData>
  <autoFilter ref="A2:AC2"/>
  <sortState ref="A3:AC1050">
    <sortCondition ref="H3:H1050"/>
    <sortCondition ref="I3:I1050"/>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6">
    <dataValidation type="list" allowBlank="1" showInputMessage="1" showErrorMessage="1" sqref="R3 R942:R1058">
      <formula1>Resultados!$B$1:$B$30</formula1>
    </dataValidation>
    <dataValidation type="list" allowBlank="1" showInputMessage="1" showErrorMessage="1" sqref="M3:M895 M897:M1058">
      <formula1>defensores!$A$1:$A$200</formula1>
    </dataValidation>
    <dataValidation type="list" allowBlank="1" showInputMessage="1" showErrorMessage="1" sqref="Q3:Q968">
      <formula1>Resultados!$A$1:$A$30</formula1>
    </dataValidation>
    <dataValidation type="list" allowBlank="1" showInputMessage="1" showErrorMessage="1" sqref="J3:J895 J897:J1058">
      <formula1>Jueces!$A$1:$A$20</formula1>
    </dataValidation>
    <dataValidation type="list" allowBlank="1" showInputMessage="1" showErrorMessage="1" sqref="L3:L895 L897:L1058">
      <formula1>'fiscalias penales'!$A$1:$A$64</formula1>
    </dataValidation>
    <dataValidation type="list" allowBlank="1" showInputMessage="1" showErrorMessage="1" sqref="G3:G895 G897:G1058">
      <formula1>Internos!$A$1:$A$25</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[3]Jueces!#REF!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I7" sqref="AI7"/>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4023</v>
      </c>
      <c r="AG5" s="129"/>
      <c r="AH5" s="130"/>
      <c r="AI5" s="125" t="s">
        <v>4204</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3800</v>
      </c>
      <c r="AS27" s="129"/>
      <c r="AT27" s="130"/>
      <c r="AU27" s="125" t="s">
        <v>3801</v>
      </c>
      <c r="AV27" s="129"/>
      <c r="AW27" s="130"/>
      <c r="AX27" s="125" t="s">
        <v>3802</v>
      </c>
      <c r="AY27" s="129"/>
      <c r="AZ27" s="130"/>
      <c r="BA27" s="125" t="s">
        <v>3803</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c r="AC47" s="3"/>
    </row>
    <row r="48" spans="1:55">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D29" sqref="D29"/>
    </sheetView>
  </sheetViews>
  <sheetFormatPr baseColWidth="10" defaultRowHeight="12.75"/>
  <cols>
    <col min="1" max="1" width="25.7109375" customWidth="1"/>
    <col min="2" max="2" width="1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c r="A5" s="412" t="s">
        <v>5</v>
      </c>
      <c r="B5" s="413">
        <v>45253</v>
      </c>
      <c r="D5" s="108" t="s">
        <v>5</v>
      </c>
      <c r="E5" s="181">
        <v>45254</v>
      </c>
      <c r="G5" s="108" t="s">
        <v>5</v>
      </c>
      <c r="H5" s="181">
        <v>45257</v>
      </c>
      <c r="J5" s="108" t="s">
        <v>5</v>
      </c>
      <c r="K5" s="181">
        <v>45260</v>
      </c>
      <c r="L5" s="181"/>
      <c r="M5" s="108" t="s">
        <v>5</v>
      </c>
      <c r="N5" s="181">
        <v>45261</v>
      </c>
      <c r="P5" s="108" t="s">
        <v>5</v>
      </c>
      <c r="Q5" s="181">
        <v>45264</v>
      </c>
      <c r="S5" s="10" t="s">
        <v>3685</v>
      </c>
    </row>
    <row r="6" spans="1:19">
      <c r="A6" s="10"/>
      <c r="B6" s="10" t="s">
        <v>3508</v>
      </c>
      <c r="E6" t="s">
        <v>3508</v>
      </c>
      <c r="H6" t="s">
        <v>3508</v>
      </c>
      <c r="S6" s="10" t="s">
        <v>3686</v>
      </c>
    </row>
    <row r="7" spans="1:19" ht="14.25">
      <c r="A7" s="417" t="s">
        <v>1483</v>
      </c>
      <c r="B7" t="s">
        <v>4023</v>
      </c>
      <c r="D7" s="108" t="s">
        <v>1483</v>
      </c>
      <c r="E7" t="s">
        <v>1224</v>
      </c>
      <c r="G7" s="108" t="s">
        <v>1483</v>
      </c>
      <c r="H7" t="s">
        <v>4204</v>
      </c>
      <c r="J7" s="108" t="s">
        <v>1483</v>
      </c>
      <c r="M7" s="108" t="s">
        <v>1483</v>
      </c>
      <c r="P7" s="108" t="s">
        <v>1483</v>
      </c>
      <c r="S7" s="10" t="s">
        <v>3687</v>
      </c>
    </row>
    <row r="8" spans="1:19" ht="14.25">
      <c r="A8" s="411" t="s">
        <v>31</v>
      </c>
      <c r="B8" t="s">
        <v>29</v>
      </c>
      <c r="D8" s="411" t="s">
        <v>31</v>
      </c>
      <c r="E8" t="s">
        <v>4204</v>
      </c>
      <c r="G8" s="411" t="s">
        <v>31</v>
      </c>
      <c r="H8" t="s">
        <v>1440</v>
      </c>
      <c r="J8" s="411" t="s">
        <v>31</v>
      </c>
      <c r="M8" s="411" t="s">
        <v>31</v>
      </c>
      <c r="P8" s="18" t="s">
        <v>33</v>
      </c>
    </row>
    <row r="9" spans="1:19">
      <c r="A9" s="415" t="s">
        <v>1441</v>
      </c>
      <c r="B9" t="s">
        <v>2772</v>
      </c>
      <c r="D9" s="109" t="s">
        <v>1440</v>
      </c>
      <c r="E9" t="s">
        <v>29</v>
      </c>
      <c r="G9" s="109" t="s">
        <v>3362</v>
      </c>
      <c r="J9" s="109" t="s">
        <v>1441</v>
      </c>
      <c r="M9" s="109" t="s">
        <v>1440</v>
      </c>
      <c r="P9" s="109" t="s">
        <v>1442</v>
      </c>
      <c r="S9" s="10" t="s">
        <v>3688</v>
      </c>
    </row>
    <row r="10" spans="1:19">
      <c r="A10" s="416" t="s">
        <v>1209</v>
      </c>
      <c r="B10" t="s">
        <v>3802</v>
      </c>
      <c r="D10" s="110" t="s">
        <v>1086</v>
      </c>
      <c r="E10" t="s">
        <v>2772</v>
      </c>
      <c r="G10" s="110" t="s">
        <v>73</v>
      </c>
      <c r="J10" s="110" t="s">
        <v>73</v>
      </c>
      <c r="M10" s="110" t="s">
        <v>1086</v>
      </c>
      <c r="P10" s="110" t="s">
        <v>73</v>
      </c>
      <c r="S10" s="10" t="s">
        <v>3689</v>
      </c>
    </row>
    <row r="11" spans="1:19" ht="14.25">
      <c r="A11" s="415" t="s">
        <v>3362</v>
      </c>
      <c r="D11" s="411" t="s">
        <v>35</v>
      </c>
      <c r="E11" t="s">
        <v>3802</v>
      </c>
      <c r="G11" s="411" t="s">
        <v>35</v>
      </c>
      <c r="J11" s="411" t="s">
        <v>35</v>
      </c>
      <c r="M11" s="411" t="s">
        <v>35</v>
      </c>
      <c r="P11" s="18" t="s">
        <v>2951</v>
      </c>
    </row>
    <row r="12" spans="1:19">
      <c r="A12" s="416" t="s">
        <v>73</v>
      </c>
      <c r="D12" s="109" t="s">
        <v>3361</v>
      </c>
      <c r="G12" s="109" t="s">
        <v>568</v>
      </c>
      <c r="J12" s="109" t="s">
        <v>568</v>
      </c>
      <c r="M12" s="109" t="s">
        <v>1441</v>
      </c>
      <c r="P12" s="109" t="s">
        <v>1441</v>
      </c>
      <c r="S12" s="10" t="s">
        <v>3690</v>
      </c>
    </row>
    <row r="13" spans="1:19" ht="14.25">
      <c r="A13" s="411" t="s">
        <v>35</v>
      </c>
      <c r="B13" s="324"/>
      <c r="D13" s="110" t="s">
        <v>73</v>
      </c>
      <c r="E13" s="324"/>
      <c r="G13" s="110" t="s">
        <v>73</v>
      </c>
      <c r="H13" s="324"/>
      <c r="J13" s="110" t="s">
        <v>1086</v>
      </c>
      <c r="K13" s="324"/>
      <c r="L13" s="324"/>
      <c r="M13" s="110" t="s">
        <v>73</v>
      </c>
      <c r="N13" s="324"/>
      <c r="P13" s="110" t="s">
        <v>73</v>
      </c>
      <c r="Q13" s="324"/>
      <c r="S13" s="10" t="s">
        <v>3691</v>
      </c>
    </row>
    <row r="14" spans="1:19">
      <c r="A14" s="415" t="s">
        <v>1442</v>
      </c>
      <c r="B14" s="324"/>
      <c r="D14" s="18" t="s">
        <v>33</v>
      </c>
      <c r="E14" s="324"/>
      <c r="G14" s="109" t="s">
        <v>283</v>
      </c>
      <c r="H14" s="324"/>
      <c r="J14" s="18" t="s">
        <v>33</v>
      </c>
      <c r="K14" s="324"/>
      <c r="L14" s="324"/>
      <c r="M14" s="18" t="s">
        <v>33</v>
      </c>
      <c r="N14" s="324"/>
      <c r="P14" s="18" t="s">
        <v>1484</v>
      </c>
      <c r="Q14" s="324"/>
    </row>
    <row r="15" spans="1:19">
      <c r="A15" s="416" t="s">
        <v>73</v>
      </c>
      <c r="B15" s="324"/>
      <c r="D15" s="109" t="s">
        <v>1442</v>
      </c>
      <c r="E15" s="324"/>
      <c r="G15" s="110" t="s">
        <v>1086</v>
      </c>
      <c r="H15" s="324"/>
      <c r="J15" s="109" t="s">
        <v>283</v>
      </c>
      <c r="K15" s="324"/>
      <c r="L15" s="324"/>
      <c r="M15" s="109" t="s">
        <v>568</v>
      </c>
      <c r="N15" s="324"/>
      <c r="Q15" s="324"/>
      <c r="S15" s="10" t="s">
        <v>3692</v>
      </c>
    </row>
    <row r="16" spans="1:19">
      <c r="A16" s="415" t="s">
        <v>3361</v>
      </c>
      <c r="B16" s="324" t="s">
        <v>3045</v>
      </c>
      <c r="D16" s="110" t="s">
        <v>73</v>
      </c>
      <c r="E16" s="324" t="s">
        <v>3045</v>
      </c>
      <c r="G16" s="18" t="s">
        <v>33</v>
      </c>
      <c r="H16" s="324" t="s">
        <v>3045</v>
      </c>
      <c r="J16" s="110" t="s">
        <v>73</v>
      </c>
      <c r="K16" s="324" t="s">
        <v>3045</v>
      </c>
      <c r="L16" s="324"/>
      <c r="M16" s="110" t="s">
        <v>73</v>
      </c>
      <c r="N16" s="324" t="s">
        <v>3045</v>
      </c>
      <c r="Q16" s="324" t="s">
        <v>3045</v>
      </c>
      <c r="S16" s="10" t="s">
        <v>3693</v>
      </c>
    </row>
    <row r="17" spans="1:19">
      <c r="A17" s="416" t="s">
        <v>1086</v>
      </c>
      <c r="B17" s="324" t="s">
        <v>3044</v>
      </c>
      <c r="D17" s="18" t="s">
        <v>1220</v>
      </c>
      <c r="E17" s="324" t="s">
        <v>3044</v>
      </c>
      <c r="G17" s="109" t="s">
        <v>2771</v>
      </c>
      <c r="H17" s="324" t="s">
        <v>3044</v>
      </c>
      <c r="J17" s="18" t="s">
        <v>1220</v>
      </c>
      <c r="K17" s="324" t="s">
        <v>3044</v>
      </c>
      <c r="L17" s="324"/>
      <c r="M17" s="18" t="s">
        <v>1220</v>
      </c>
      <c r="N17" s="324" t="s">
        <v>3044</v>
      </c>
      <c r="Q17" s="324" t="s">
        <v>3044</v>
      </c>
    </row>
    <row r="18" spans="1:19">
      <c r="A18" s="414" t="s">
        <v>1220</v>
      </c>
      <c r="B18" s="324" t="s">
        <v>3043</v>
      </c>
      <c r="D18" s="109" t="s">
        <v>43</v>
      </c>
      <c r="E18" s="324" t="s">
        <v>3043</v>
      </c>
      <c r="G18" s="110" t="s">
        <v>1086</v>
      </c>
      <c r="H18" s="324" t="s">
        <v>3043</v>
      </c>
      <c r="J18" s="109" t="s">
        <v>1440</v>
      </c>
      <c r="K18" s="324" t="s">
        <v>3043</v>
      </c>
      <c r="L18" s="324"/>
      <c r="M18" s="109" t="s">
        <v>2835</v>
      </c>
      <c r="N18" s="324" t="s">
        <v>3043</v>
      </c>
      <c r="Q18" s="324" t="s">
        <v>3043</v>
      </c>
      <c r="S18" s="10" t="s">
        <v>3694</v>
      </c>
    </row>
    <row r="19" spans="1:19">
      <c r="A19" s="415" t="s">
        <v>1440</v>
      </c>
      <c r="B19" s="324" t="s">
        <v>3048</v>
      </c>
      <c r="D19" s="110" t="s">
        <v>1209</v>
      </c>
      <c r="E19" s="324" t="s">
        <v>3048</v>
      </c>
      <c r="G19" s="18" t="s">
        <v>1220</v>
      </c>
      <c r="H19" s="324" t="s">
        <v>3048</v>
      </c>
      <c r="J19" s="110" t="s">
        <v>1086</v>
      </c>
      <c r="K19" s="324" t="s">
        <v>3048</v>
      </c>
      <c r="L19" s="324"/>
      <c r="M19" s="110" t="s">
        <v>1086</v>
      </c>
      <c r="N19" s="324" t="s">
        <v>3048</v>
      </c>
      <c r="Q19" s="324" t="s">
        <v>3048</v>
      </c>
      <c r="S19" s="10" t="s">
        <v>743</v>
      </c>
    </row>
    <row r="20" spans="1:19">
      <c r="A20" s="416" t="s">
        <v>73</v>
      </c>
      <c r="B20" s="324" t="s">
        <v>3049</v>
      </c>
      <c r="D20" s="109" t="s">
        <v>2835</v>
      </c>
      <c r="E20" s="324" t="s">
        <v>3049</v>
      </c>
      <c r="G20" s="109" t="s">
        <v>2785</v>
      </c>
      <c r="H20" s="324" t="s">
        <v>3049</v>
      </c>
      <c r="J20" s="109" t="s">
        <v>2835</v>
      </c>
      <c r="K20" s="324" t="s">
        <v>3049</v>
      </c>
      <c r="L20" s="324"/>
      <c r="M20" s="18" t="s">
        <v>1219</v>
      </c>
      <c r="N20" s="324" t="s">
        <v>3049</v>
      </c>
      <c r="Q20" s="324" t="s">
        <v>3049</v>
      </c>
    </row>
    <row r="21" spans="1:19">
      <c r="A21" s="414" t="s">
        <v>78</v>
      </c>
      <c r="B21" s="324" t="s">
        <v>3051</v>
      </c>
      <c r="D21" s="110" t="s">
        <v>1086</v>
      </c>
      <c r="E21" s="324" t="s">
        <v>3051</v>
      </c>
      <c r="G21" s="110" t="s">
        <v>73</v>
      </c>
      <c r="H21" s="324" t="s">
        <v>3051</v>
      </c>
      <c r="J21" s="110" t="s">
        <v>73</v>
      </c>
      <c r="K21" s="324" t="s">
        <v>3051</v>
      </c>
      <c r="L21" s="324"/>
      <c r="M21" s="109" t="s">
        <v>2785</v>
      </c>
      <c r="N21" s="324" t="s">
        <v>3051</v>
      </c>
      <c r="Q21" s="324" t="s">
        <v>3051</v>
      </c>
    </row>
    <row r="22" spans="1:19">
      <c r="A22" s="415" t="s">
        <v>2835</v>
      </c>
      <c r="B22" s="324" t="s">
        <v>3053</v>
      </c>
      <c r="D22" s="18" t="s">
        <v>78</v>
      </c>
      <c r="E22" s="324" t="s">
        <v>3053</v>
      </c>
      <c r="G22" s="109" t="s">
        <v>3361</v>
      </c>
      <c r="H22" s="324" t="s">
        <v>3053</v>
      </c>
      <c r="J22" s="18" t="s">
        <v>78</v>
      </c>
      <c r="K22" s="324" t="s">
        <v>3053</v>
      </c>
      <c r="L22" s="324"/>
      <c r="M22" s="110" t="s">
        <v>1086</v>
      </c>
      <c r="N22" s="324" t="s">
        <v>3053</v>
      </c>
      <c r="Q22" s="324" t="s">
        <v>3053</v>
      </c>
    </row>
    <row r="23" spans="1:19">
      <c r="A23" s="416" t="s">
        <v>1086</v>
      </c>
      <c r="B23" s="324" t="s">
        <v>3054</v>
      </c>
      <c r="D23" s="109" t="s">
        <v>3362</v>
      </c>
      <c r="E23" s="324" t="s">
        <v>3054</v>
      </c>
      <c r="G23" s="110" t="s">
        <v>4068</v>
      </c>
      <c r="H23" s="324" t="s">
        <v>3054</v>
      </c>
      <c r="J23" s="109" t="s">
        <v>2785</v>
      </c>
      <c r="K23" s="324" t="s">
        <v>3054</v>
      </c>
      <c r="L23" s="324"/>
      <c r="M23" s="18" t="s">
        <v>2948</v>
      </c>
      <c r="N23" s="324" t="s">
        <v>3054</v>
      </c>
      <c r="Q23" s="324" t="s">
        <v>3054</v>
      </c>
    </row>
    <row r="24" spans="1:19">
      <c r="A24" s="414" t="s">
        <v>1219</v>
      </c>
      <c r="B24" s="324" t="s">
        <v>3419</v>
      </c>
      <c r="D24" s="110" t="s">
        <v>1086</v>
      </c>
      <c r="E24" s="324" t="s">
        <v>3419</v>
      </c>
      <c r="G24" s="18" t="s">
        <v>78</v>
      </c>
      <c r="H24" s="324" t="s">
        <v>3419</v>
      </c>
      <c r="J24" s="110" t="s">
        <v>73</v>
      </c>
      <c r="K24" s="324" t="s">
        <v>3419</v>
      </c>
      <c r="M24" s="109" t="s">
        <v>283</v>
      </c>
      <c r="N24" s="324" t="s">
        <v>3419</v>
      </c>
      <c r="Q24" s="324" t="s">
        <v>3419</v>
      </c>
    </row>
    <row r="25" spans="1:19">
      <c r="A25" s="415" t="s">
        <v>2785</v>
      </c>
      <c r="B25" s="324" t="s">
        <v>3408</v>
      </c>
      <c r="D25" s="18" t="s">
        <v>1219</v>
      </c>
      <c r="E25" s="324" t="s">
        <v>3408</v>
      </c>
      <c r="G25" s="109" t="s">
        <v>1441</v>
      </c>
      <c r="H25" s="324" t="s">
        <v>3408</v>
      </c>
      <c r="J25" s="18" t="s">
        <v>1219</v>
      </c>
      <c r="K25" s="324" t="s">
        <v>3408</v>
      </c>
      <c r="M25" s="110" t="s">
        <v>73</v>
      </c>
      <c r="N25" s="324" t="s">
        <v>3408</v>
      </c>
      <c r="Q25" s="324" t="s">
        <v>3408</v>
      </c>
    </row>
    <row r="26" spans="1:19">
      <c r="A26" s="416" t="s">
        <v>1209</v>
      </c>
      <c r="B26" s="324" t="s">
        <v>3684</v>
      </c>
      <c r="D26" s="109" t="s">
        <v>283</v>
      </c>
      <c r="E26" s="324" t="s">
        <v>3684</v>
      </c>
      <c r="G26" s="110" t="s">
        <v>1086</v>
      </c>
      <c r="H26" s="324" t="s">
        <v>3684</v>
      </c>
      <c r="J26" s="109" t="s">
        <v>43</v>
      </c>
      <c r="K26" s="324" t="s">
        <v>3684</v>
      </c>
      <c r="M26" s="18" t="s">
        <v>2951</v>
      </c>
      <c r="N26" s="324" t="s">
        <v>3684</v>
      </c>
      <c r="Q26" s="324" t="s">
        <v>3684</v>
      </c>
    </row>
    <row r="27" spans="1:19">
      <c r="A27" s="414" t="s">
        <v>2948</v>
      </c>
      <c r="D27" s="110" t="s">
        <v>1086</v>
      </c>
      <c r="E27" s="324"/>
      <c r="G27" s="18" t="s">
        <v>1219</v>
      </c>
      <c r="H27" s="324"/>
      <c r="J27" s="110" t="s">
        <v>73</v>
      </c>
      <c r="K27" s="324"/>
      <c r="M27" s="109" t="s">
        <v>3362</v>
      </c>
      <c r="N27" s="324"/>
      <c r="Q27" s="324"/>
      <c r="S27" s="324" t="s">
        <v>3047</v>
      </c>
    </row>
    <row r="28" spans="1:19">
      <c r="A28" s="415" t="s">
        <v>283</v>
      </c>
      <c r="D28" s="18" t="s">
        <v>1730</v>
      </c>
      <c r="E28" s="324"/>
      <c r="G28" s="109" t="s">
        <v>2835</v>
      </c>
      <c r="H28" s="324"/>
      <c r="J28" s="18" t="s">
        <v>1224</v>
      </c>
      <c r="K28" s="324"/>
      <c r="M28" s="110" t="s">
        <v>73</v>
      </c>
      <c r="N28" s="324"/>
      <c r="Q28" s="324"/>
      <c r="S28" s="324" t="s">
        <v>3046</v>
      </c>
    </row>
    <row r="29" spans="1:19">
      <c r="A29" s="416" t="s">
        <v>73</v>
      </c>
      <c r="D29" s="109" t="s">
        <v>2785</v>
      </c>
      <c r="E29" s="324"/>
      <c r="G29" s="110" t="s">
        <v>1086</v>
      </c>
      <c r="H29" s="324"/>
      <c r="J29" s="109" t="s">
        <v>1442</v>
      </c>
      <c r="K29" s="324"/>
      <c r="M29" s="18" t="s">
        <v>1484</v>
      </c>
      <c r="N29" s="324"/>
      <c r="Q29" s="324"/>
      <c r="S29" s="324" t="s">
        <v>3045</v>
      </c>
    </row>
    <row r="30" spans="1:19">
      <c r="A30" s="414" t="s">
        <v>1484</v>
      </c>
      <c r="D30" s="110" t="s">
        <v>73</v>
      </c>
      <c r="G30" s="18" t="s">
        <v>1484</v>
      </c>
      <c r="J30" s="110" t="s">
        <v>1086</v>
      </c>
      <c r="S30" s="324" t="s">
        <v>3044</v>
      </c>
    </row>
    <row r="31" spans="1:19">
      <c r="D31" s="18" t="s">
        <v>2951</v>
      </c>
      <c r="J31" s="18" t="s">
        <v>1484</v>
      </c>
      <c r="S31" s="324" t="s">
        <v>3043</v>
      </c>
    </row>
    <row r="32" spans="1:19">
      <c r="D32" s="109" t="s">
        <v>568</v>
      </c>
      <c r="S32" s="324" t="s">
        <v>3048</v>
      </c>
    </row>
    <row r="33" spans="4:19">
      <c r="D33" s="110" t="s">
        <v>73</v>
      </c>
      <c r="S33" s="324" t="s">
        <v>3049</v>
      </c>
    </row>
    <row r="34" spans="4:19">
      <c r="D34" s="18" t="s">
        <v>1484</v>
      </c>
      <c r="S34" s="324" t="s">
        <v>3050</v>
      </c>
    </row>
    <row r="35" spans="4:19">
      <c r="S35" s="324" t="s">
        <v>3051</v>
      </c>
    </row>
    <row r="36" spans="4:19">
      <c r="S36" s="324" t="s">
        <v>3052</v>
      </c>
    </row>
    <row r="37" spans="4:19">
      <c r="S37" s="324" t="s">
        <v>3053</v>
      </c>
    </row>
    <row r="38" spans="4:19">
      <c r="S38" s="324" t="s">
        <v>3054</v>
      </c>
    </row>
    <row r="39" spans="4:19">
      <c r="S39" s="324" t="s">
        <v>3419</v>
      </c>
    </row>
    <row r="40" spans="4:19">
      <c r="S40" s="324" t="s">
        <v>3408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2" sqref="C22"/>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35" t="str">
        <f ca="1">"AUDIENCIAS ASIGNADAS  AL DIA: " &amp; TEXT(TODAY(),"DD/MM/YYYY")</f>
        <v>AUDIENCIAS ASIGNADAS  AL DIA: 23/11/2023</v>
      </c>
      <c r="C1" s="435"/>
      <c r="D1" s="435"/>
      <c r="E1" s="435"/>
      <c r="F1" s="435"/>
      <c r="G1" s="435"/>
      <c r="H1" s="435"/>
      <c r="I1" s="435"/>
    </row>
    <row r="3" spans="2:9" ht="28.5" customHeight="1">
      <c r="B3" s="436" t="s">
        <v>2041</v>
      </c>
      <c r="C3" s="437"/>
      <c r="E3" s="436" t="s">
        <v>2351</v>
      </c>
      <c r="F3" s="437"/>
      <c r="H3" s="436" t="s">
        <v>2378</v>
      </c>
      <c r="I3" s="437"/>
    </row>
    <row r="4" spans="2:9" ht="20.100000000000001" customHeight="1">
      <c r="B4" s="12" t="s">
        <v>382</v>
      </c>
      <c r="C4" s="12" t="s">
        <v>362</v>
      </c>
      <c r="E4" s="12" t="s">
        <v>382</v>
      </c>
      <c r="F4" s="12" t="s">
        <v>362</v>
      </c>
      <c r="H4" s="12" t="s">
        <v>382</v>
      </c>
      <c r="I4" s="12" t="s">
        <v>362</v>
      </c>
    </row>
    <row r="5" spans="2:9" ht="24.95" customHeight="1">
      <c r="B5" s="11" t="s">
        <v>35</v>
      </c>
      <c r="C5" s="11">
        <f>COUNTIF(EXPEDIENTES!$J:$J,$B5)</f>
        <v>150</v>
      </c>
      <c r="D5" s="10"/>
      <c r="E5" s="11" t="s">
        <v>1221</v>
      </c>
      <c r="F5" s="11">
        <f>COUNTIF(EXPEDIENTES!$J:$J,$E5)</f>
        <v>29</v>
      </c>
      <c r="H5" s="11" t="s">
        <v>1687</v>
      </c>
      <c r="I5" s="11">
        <f>COUNTIF(EXPEDIENTES!$J:$J,$H5)</f>
        <v>4</v>
      </c>
    </row>
    <row r="6" spans="2:9" ht="24.95" customHeight="1">
      <c r="B6" s="11" t="s">
        <v>31</v>
      </c>
      <c r="C6" s="11">
        <f>COUNTIF(EXPEDIENTES!$J:$J,$B6)</f>
        <v>161</v>
      </c>
      <c r="E6" s="11" t="s">
        <v>1222</v>
      </c>
      <c r="F6" s="11">
        <f>COUNTIF(EXPEDIENTES!$J:$J,$E6)</f>
        <v>27</v>
      </c>
      <c r="H6" s="198" t="s">
        <v>370</v>
      </c>
      <c r="I6" s="60">
        <f>SUM(I5)</f>
        <v>4</v>
      </c>
    </row>
    <row r="7" spans="2:9" ht="24.95" customHeight="1">
      <c r="B7" s="11" t="s">
        <v>33</v>
      </c>
      <c r="C7" s="11">
        <f>COUNTIF(EXPEDIENTES!$J:$J,$B7)</f>
        <v>148</v>
      </c>
      <c r="E7" s="11" t="s">
        <v>1223</v>
      </c>
      <c r="F7" s="11">
        <f>COUNTIF(EXPEDIENTES!$J:$J,$E7)</f>
        <v>19</v>
      </c>
    </row>
    <row r="8" spans="2:9" ht="24.95" customHeight="1">
      <c r="B8" s="11" t="s">
        <v>78</v>
      </c>
      <c r="C8" s="11">
        <f>COUNTIF(EXPEDIENTES!$J:$J,$B8)</f>
        <v>154</v>
      </c>
      <c r="E8" s="11" t="s">
        <v>1623</v>
      </c>
      <c r="F8" s="11">
        <f>COUNTIF(EXPEDIENTES!$J:$J,$E8)</f>
        <v>19</v>
      </c>
    </row>
    <row r="9" spans="2:9" ht="24.95" customHeight="1">
      <c r="B9" s="11" t="s">
        <v>1219</v>
      </c>
      <c r="C9" s="11">
        <f>COUNTIF(EXPEDIENTES!$J:$J,$B9)</f>
        <v>75</v>
      </c>
      <c r="E9" s="11" t="s">
        <v>1491</v>
      </c>
      <c r="F9" s="11">
        <f>COUNTIF(EXPEDIENTES!$J:$J,$E9)</f>
        <v>11</v>
      </c>
    </row>
    <row r="10" spans="2:9" ht="24.95" customHeight="1">
      <c r="B10" s="11" t="s">
        <v>1224</v>
      </c>
      <c r="C10" s="11">
        <f>COUNTIF(EXPEDIENTES!$J:$J,$B10)</f>
        <v>36</v>
      </c>
      <c r="E10" s="11" t="s">
        <v>1730</v>
      </c>
      <c r="F10" s="11">
        <f>COUNTIF(EXPEDIENTES!$J:$J,$E10)</f>
        <v>28</v>
      </c>
      <c r="H10" s="116"/>
      <c r="I10" s="116"/>
    </row>
    <row r="11" spans="2:9" ht="24.95" customHeight="1">
      <c r="B11" s="11" t="s">
        <v>1220</v>
      </c>
      <c r="C11" s="11">
        <f>COUNTIF(EXPEDIENTES!$J:$J,$B11)</f>
        <v>93</v>
      </c>
      <c r="E11" s="345" t="s">
        <v>2948</v>
      </c>
      <c r="F11" s="11">
        <f>COUNTIF(EXPEDIENTES!$J:$J,$E11)</f>
        <v>29</v>
      </c>
      <c r="H11" s="116"/>
      <c r="I11" s="116"/>
    </row>
    <row r="12" spans="2:9" s="341" customFormat="1" ht="24.95" customHeight="1">
      <c r="B12" s="340" t="s">
        <v>370</v>
      </c>
      <c r="C12" s="60">
        <f>SUM(C5:C11)</f>
        <v>817</v>
      </c>
      <c r="E12" s="346" t="s">
        <v>2951</v>
      </c>
      <c r="F12" s="347">
        <f>COUNTIF(EXPEDIENTES!$J:$J,$E12)</f>
        <v>23</v>
      </c>
      <c r="H12" s="342"/>
      <c r="I12" s="342"/>
    </row>
    <row r="13" spans="2:9" s="341" customFormat="1" ht="24.95" customHeight="1">
      <c r="E13" s="198" t="s">
        <v>370</v>
      </c>
      <c r="F13" s="60">
        <f>SUM(F5:F12)</f>
        <v>185</v>
      </c>
      <c r="H13" s="342"/>
      <c r="I13" s="342"/>
    </row>
    <row r="14" spans="2:9" s="341" customFormat="1" ht="24.95" customHeight="1">
      <c r="E14" s="344"/>
      <c r="F14" s="344"/>
      <c r="H14" s="342"/>
      <c r="I14" s="342"/>
    </row>
    <row r="15" spans="2:9" s="341" customFormat="1" ht="24.95" customHeight="1">
      <c r="B15" s="342"/>
      <c r="C15" s="342"/>
      <c r="E15" s="344"/>
      <c r="F15" s="344"/>
      <c r="H15" s="342"/>
      <c r="I15" s="342"/>
    </row>
    <row r="16" spans="2:9" s="341" customFormat="1" ht="24.95" customHeight="1">
      <c r="B16" s="342"/>
      <c r="C16" s="342"/>
    </row>
    <row r="17" spans="2:9" s="341" customFormat="1" ht="24.95" customHeight="1">
      <c r="B17" s="342"/>
      <c r="C17" s="342"/>
      <c r="E17" s="344"/>
      <c r="F17" s="344"/>
      <c r="H17" s="342"/>
      <c r="I17" s="342"/>
    </row>
    <row r="18" spans="2:9" s="341" customFormat="1" ht="24.95" customHeight="1">
      <c r="B18" s="342"/>
      <c r="C18" s="342"/>
      <c r="E18" s="344"/>
      <c r="F18" s="344"/>
      <c r="H18" s="342"/>
      <c r="I18" s="342"/>
    </row>
    <row r="19" spans="2:9" s="341" customFormat="1" ht="24.95" customHeight="1">
      <c r="B19" s="344"/>
      <c r="C19" s="344"/>
      <c r="E19" s="344"/>
      <c r="F19" s="344"/>
      <c r="H19" s="342"/>
      <c r="I19" s="342"/>
    </row>
    <row r="20" spans="2:9" s="341" customFormat="1" ht="24.95" customHeight="1">
      <c r="B20" s="342"/>
      <c r="C20" s="342"/>
      <c r="E20" s="344"/>
      <c r="F20" s="344"/>
      <c r="H20" s="342"/>
      <c r="I20" s="342"/>
    </row>
    <row r="21" spans="2:9" s="341" customFormat="1" ht="24.95" customHeight="1">
      <c r="B21" s="344"/>
      <c r="C21" s="344"/>
      <c r="E21" s="344"/>
      <c r="F21" s="344"/>
      <c r="H21" s="342"/>
      <c r="I21" s="342"/>
    </row>
    <row r="22" spans="2:9" ht="24.95" customHeight="1">
      <c r="B22" s="342"/>
      <c r="C22" s="343"/>
      <c r="E22" s="115"/>
      <c r="F22" s="115"/>
      <c r="H22" s="116"/>
      <c r="I22" s="116"/>
    </row>
    <row r="23" spans="2:9" s="341" customFormat="1" ht="24.95" customHeight="1">
      <c r="B23" s="342"/>
      <c r="C23" s="343"/>
      <c r="E23" s="344"/>
      <c r="F23" s="344"/>
      <c r="H23" s="342"/>
      <c r="I23" s="342"/>
    </row>
    <row r="24" spans="2:9" s="341" customFormat="1" ht="24.95" customHeight="1">
      <c r="B24" s="342"/>
      <c r="C24" s="343"/>
      <c r="E24" s="344"/>
      <c r="F24" s="344"/>
      <c r="H24" s="342"/>
      <c r="I24" s="342"/>
    </row>
    <row r="25" spans="2:9" ht="24.95" customHeight="1">
      <c r="B25" s="116"/>
      <c r="C25" s="116"/>
      <c r="E25" s="115"/>
      <c r="F25" s="115"/>
      <c r="H25" s="116"/>
      <c r="I25" s="116"/>
    </row>
    <row r="26" spans="2:9" ht="24.95" customHeight="1">
      <c r="B26" s="435" t="str">
        <f ca="1">"AUDIENCIAS QUE RESTAN RESOLVER -  AL DIA: " &amp; TEXT(TODAY(),"DD/MM/YYYY")</f>
        <v>AUDIENCIAS QUE RESTAN RESOLVER -  AL DIA: 23/11/2023</v>
      </c>
      <c r="C26" s="435"/>
      <c r="D26" s="435"/>
      <c r="E26" s="435"/>
      <c r="F26" s="435"/>
      <c r="G26" s="435"/>
      <c r="H26" s="435"/>
      <c r="I26" s="435"/>
    </row>
    <row r="27" spans="2:9" ht="24.95" customHeight="1"/>
    <row r="28" spans="2:9" ht="24.95" customHeight="1">
      <c r="B28" s="436" t="s">
        <v>2042</v>
      </c>
      <c r="C28" s="437"/>
      <c r="E28" s="436" t="s">
        <v>2352</v>
      </c>
      <c r="F28" s="437"/>
      <c r="H28" s="436" t="s">
        <v>2043</v>
      </c>
      <c r="I28" s="437"/>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11</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8</v>
      </c>
      <c r="E31" s="11" t="s">
        <v>1222</v>
      </c>
      <c r="F31" s="11">
        <f ca="1">COUNTIFS(EXPEDIENTES!J:J,$E31,EXPEDIENTES!O:O,"NO")</f>
        <v>0</v>
      </c>
      <c r="H31" s="198" t="s">
        <v>370</v>
      </c>
      <c r="I31" s="60">
        <f ca="1">SUM(I30)</f>
        <v>0</v>
      </c>
    </row>
    <row r="32" spans="2:9" ht="20.100000000000001" customHeight="1">
      <c r="B32" s="11" t="s">
        <v>33</v>
      </c>
      <c r="C32" s="11">
        <f ca="1">COUNTIFS(EXPEDIENTES!J:J,$B32,EXPEDIENTES!O:O,"NO")</f>
        <v>8</v>
      </c>
      <c r="E32" s="11" t="s">
        <v>1223</v>
      </c>
      <c r="F32" s="11">
        <f ca="1">COUNTIFS(EXPEDIENTES!J:J,$E32,EXPEDIENTES!O:O,"NO")</f>
        <v>0</v>
      </c>
    </row>
    <row r="33" spans="2:6" ht="20.100000000000001" customHeight="1">
      <c r="B33" s="11" t="s">
        <v>78</v>
      </c>
      <c r="C33" s="11">
        <f ca="1">COUNTIFS(EXPEDIENTES!J:J,$B33,EXPEDIENTES!O:O,"NO")</f>
        <v>10</v>
      </c>
      <c r="E33" s="11" t="s">
        <v>1623</v>
      </c>
      <c r="F33" s="11">
        <f ca="1">COUNTIFS(EXPEDIENTES!J:J,$E33,EXPEDIENTES!O:O,"NO")</f>
        <v>0</v>
      </c>
    </row>
    <row r="34" spans="2:6" ht="20.100000000000001" customHeight="1">
      <c r="B34" s="11" t="s">
        <v>1219</v>
      </c>
      <c r="C34" s="11">
        <f ca="1">COUNTIFS(EXPEDIENTES!J:J,$B34,EXPEDIENTES!O:O,"NO")</f>
        <v>8</v>
      </c>
      <c r="E34" s="11" t="s">
        <v>1491</v>
      </c>
      <c r="F34" s="11">
        <f ca="1">COUNTIFS(EXPEDIENTES!J:J,$E34,EXPEDIENTES!O:O,"NO")</f>
        <v>0</v>
      </c>
    </row>
    <row r="35" spans="2:6" ht="20.100000000000001" customHeight="1">
      <c r="B35" s="11" t="s">
        <v>1224</v>
      </c>
      <c r="C35" s="11">
        <f ca="1">COUNTIFS(EXPEDIENTES!J:J,$B35,EXPEDIENTES!O:O,"NO")</f>
        <v>3</v>
      </c>
      <c r="E35" s="11" t="s">
        <v>1730</v>
      </c>
      <c r="F35" s="11">
        <f ca="1">COUNTIFS(EXPEDIENTES!J:J,$E35,EXPEDIENTES!O:O,"NO")</f>
        <v>0</v>
      </c>
    </row>
    <row r="36" spans="2:6" ht="20.100000000000001" customHeight="1">
      <c r="B36" s="11" t="s">
        <v>1220</v>
      </c>
      <c r="C36" s="11">
        <f ca="1">COUNTIFS(EXPEDIENTES!J:J,$B36,EXPEDIENTES!O:O,"NO")</f>
        <v>11</v>
      </c>
      <c r="E36" s="345" t="s">
        <v>2948</v>
      </c>
      <c r="F36" s="11">
        <f ca="1">COUNTIFS(EXPEDIENTES!J:J,$E36,EXPEDIENTES!O:O,"NO")</f>
        <v>3</v>
      </c>
    </row>
    <row r="37" spans="2:6" ht="20.100000000000001" customHeight="1">
      <c r="B37" s="198" t="s">
        <v>963</v>
      </c>
      <c r="C37" s="60">
        <f ca="1">SUM(C30:C36)</f>
        <v>59</v>
      </c>
      <c r="E37" s="346" t="s">
        <v>2951</v>
      </c>
      <c r="F37" s="11">
        <f ca="1">COUNTIFS(EXPEDIENTES!J:J,$E37,EXPEDIENTES!O:O,"NO")</f>
        <v>5</v>
      </c>
    </row>
    <row r="38" spans="2:6" s="341" customFormat="1" ht="20.100000000000001" customHeight="1">
      <c r="E38" s="198" t="s">
        <v>370</v>
      </c>
      <c r="F38" s="60">
        <f ca="1">SUM(F30:F37)</f>
        <v>8</v>
      </c>
    </row>
    <row r="39" spans="2:6" s="341" customFormat="1" ht="20.100000000000001" customHeight="1"/>
    <row r="40" spans="2:6" s="341" customFormat="1" ht="20.100000000000001" customHeight="1">
      <c r="B40" s="342"/>
      <c r="C40" s="343"/>
    </row>
    <row r="41" spans="2:6" s="341" customFormat="1" ht="20.100000000000001" customHeight="1">
      <c r="B41" s="342"/>
      <c r="C41" s="343"/>
    </row>
    <row r="42" spans="2:6" s="341" customFormat="1" ht="20.100000000000001" customHeight="1">
      <c r="B42" s="342"/>
      <c r="C42" s="343"/>
    </row>
    <row r="43" spans="2:6" s="341" customFormat="1" ht="20.100000000000001" customHeight="1">
      <c r="B43" s="342"/>
      <c r="C43" s="343"/>
    </row>
    <row r="44" spans="2:6" s="341" customFormat="1" ht="20.100000000000001" customHeight="1">
      <c r="B44" s="342"/>
      <c r="C44" s="343"/>
    </row>
    <row r="45" spans="2:6" s="341" customFormat="1" ht="20.100000000000001" customHeight="1">
      <c r="B45" s="342"/>
      <c r="C45" s="343"/>
    </row>
    <row r="46" spans="2:6" s="341" customFormat="1" ht="20.100000000000001" customHeight="1">
      <c r="B46" s="342"/>
      <c r="C46" s="343"/>
    </row>
    <row r="47" spans="2:6" s="341" customFormat="1" ht="20.100000000000001" customHeight="1">
      <c r="B47" s="342"/>
      <c r="C47" s="343"/>
    </row>
    <row r="48" spans="2:6" s="341" customFormat="1" ht="20.100000000000001" customHeight="1">
      <c r="B48" s="342"/>
      <c r="C48" s="343"/>
    </row>
    <row r="49" spans="2:9" s="341" customFormat="1" ht="20.100000000000001" customHeight="1">
      <c r="B49" s="342"/>
      <c r="C49" s="343"/>
    </row>
    <row r="50" spans="2:9" s="341" customFormat="1" ht="20.100000000000001" customHeight="1">
      <c r="B50" s="342"/>
      <c r="C50" s="343"/>
    </row>
    <row r="51" spans="2:9" s="341" customFormat="1" ht="20.100000000000001" customHeight="1">
      <c r="B51" s="342"/>
      <c r="C51" s="343"/>
    </row>
    <row r="52" spans="2:9" s="341" customFormat="1" ht="20.100000000000001" customHeight="1">
      <c r="B52" s="342"/>
      <c r="C52" s="343"/>
    </row>
    <row r="53" spans="2:9" ht="20.100000000000001" customHeight="1">
      <c r="B53" s="435" t="str">
        <f ca="1">"AUDIENCIAS RESUELTAS AL DIA: " &amp; TEXT(TODAY(),"DD/MM/YYYY")</f>
        <v>AUDIENCIAS RESUELTAS AL DIA: 23/11/2023</v>
      </c>
      <c r="C53" s="435"/>
      <c r="D53" s="435"/>
      <c r="E53" s="435"/>
      <c r="F53" s="435"/>
      <c r="G53" s="435"/>
      <c r="H53" s="435"/>
      <c r="I53" s="435"/>
    </row>
    <row r="54" spans="2:9" ht="20.100000000000001" customHeight="1"/>
    <row r="55" spans="2:9" ht="28.35" customHeight="1">
      <c r="B55" s="436" t="s">
        <v>2044</v>
      </c>
      <c r="C55" s="437"/>
      <c r="E55" s="436" t="s">
        <v>2045</v>
      </c>
      <c r="F55" s="437"/>
      <c r="H55" s="436" t="s">
        <v>2046</v>
      </c>
      <c r="I55" s="437"/>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139</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152</v>
      </c>
      <c r="E58" s="11" t="s">
        <v>1222</v>
      </c>
      <c r="F58" s="11">
        <f ca="1">COUNTIFS(EXPEDIENTES!J:J,$E58,EXPEDIENTES!O:O,"SI")</f>
        <v>27</v>
      </c>
      <c r="H58" s="198" t="s">
        <v>370</v>
      </c>
      <c r="I58" s="60">
        <f ca="1">SUM(I57)</f>
        <v>4</v>
      </c>
    </row>
    <row r="59" spans="2:9" ht="24.95" customHeight="1">
      <c r="B59" s="11" t="s">
        <v>33</v>
      </c>
      <c r="C59" s="11">
        <f ca="1">COUNTIFS(EXPEDIENTES!J:J,$B59,EXPEDIENTES!O:O,"SI")</f>
        <v>140</v>
      </c>
      <c r="E59" s="11" t="s">
        <v>1223</v>
      </c>
      <c r="F59" s="11">
        <f ca="1">COUNTIFS(EXPEDIENTES!J:J,$E59,EXPEDIENTES!O:O,"SI")</f>
        <v>19</v>
      </c>
    </row>
    <row r="60" spans="2:9" ht="24.95" customHeight="1">
      <c r="B60" s="11" t="s">
        <v>78</v>
      </c>
      <c r="C60" s="11">
        <f ca="1">COUNTIFS(EXPEDIENTES!J:J,$B60,EXPEDIENTES!O:O,"SI")</f>
        <v>144</v>
      </c>
      <c r="E60" s="11" t="s">
        <v>1623</v>
      </c>
      <c r="F60" s="11">
        <f ca="1">COUNTIFS(EXPEDIENTES!J:J,$E60,EXPEDIENTES!O:O,"SI")</f>
        <v>19</v>
      </c>
    </row>
    <row r="61" spans="2:9" ht="24.95" customHeight="1">
      <c r="B61" s="11" t="s">
        <v>1219</v>
      </c>
      <c r="C61" s="11">
        <f ca="1">COUNTIFS(EXPEDIENTES!J:J,$B61,EXPEDIENTES!O:O,"SI")</f>
        <v>66</v>
      </c>
      <c r="E61" s="11" t="s">
        <v>1491</v>
      </c>
      <c r="F61" s="11">
        <f ca="1">COUNTIFS(EXPEDIENTES!J:J,$E61,EXPEDIENTES!O:O,"SI")</f>
        <v>11</v>
      </c>
    </row>
    <row r="62" spans="2:9" ht="24.95" customHeight="1">
      <c r="B62" s="11" t="s">
        <v>1224</v>
      </c>
      <c r="C62" s="11">
        <f ca="1">COUNTIFS(EXPEDIENTES!J:J,$B62,EXPEDIENTES!O:O,"SI")</f>
        <v>33</v>
      </c>
      <c r="E62" s="11" t="s">
        <v>1730</v>
      </c>
      <c r="F62" s="11">
        <f ca="1">COUNTIFS(EXPEDIENTES!J:J,$E62,EXPEDIENTES!O:O,"SI")</f>
        <v>28</v>
      </c>
      <c r="G62" s="115"/>
      <c r="H62" s="115"/>
    </row>
    <row r="63" spans="2:9" ht="24.95" customHeight="1">
      <c r="B63" s="11" t="s">
        <v>1220</v>
      </c>
      <c r="C63" s="11">
        <f ca="1">COUNTIFS(EXPEDIENTES!J:J,$B63,EXPEDIENTES!O:O,"SI")</f>
        <v>82</v>
      </c>
      <c r="E63" s="345" t="s">
        <v>2948</v>
      </c>
      <c r="F63" s="11">
        <f ca="1">COUNTIFS(EXPEDIENTES!J:J,$E63,EXPEDIENTES!O:O,"SI")</f>
        <v>25</v>
      </c>
      <c r="G63" s="115"/>
      <c r="H63" s="115"/>
    </row>
    <row r="64" spans="2:9" ht="24.95" customHeight="1">
      <c r="B64" s="198" t="s">
        <v>2032</v>
      </c>
      <c r="C64" s="29">
        <f ca="1">SUM(C57:C63)</f>
        <v>756</v>
      </c>
      <c r="E64" s="346" t="s">
        <v>2951</v>
      </c>
      <c r="F64" s="11">
        <f ca="1">COUNTIFS(EXPEDIENTES!J:J,$E64,EXPEDIENTES!O:O,"SI")</f>
        <v>18</v>
      </c>
      <c r="G64" s="115"/>
      <c r="H64" s="115"/>
    </row>
    <row r="65" spans="2:6" ht="24.95" customHeight="1">
      <c r="E65" s="198" t="s">
        <v>370</v>
      </c>
      <c r="F65" s="60">
        <f ca="1">SUM(F57:F64)</f>
        <v>176</v>
      </c>
    </row>
    <row r="66" spans="2:6" ht="24.95" customHeight="1"/>
    <row r="67" spans="2:6" ht="24.95" customHeight="1"/>
    <row r="68" spans="2:6" ht="24.95" customHeight="1">
      <c r="B68" s="438" t="s">
        <v>457</v>
      </c>
      <c r="C68" s="438"/>
    </row>
    <row r="69" spans="2:6" ht="24.95" customHeight="1">
      <c r="B69" s="11" t="s">
        <v>458</v>
      </c>
      <c r="C69" s="11">
        <f>'no realizadas'!N12</f>
        <v>18</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election activeCell="D4" sqref="D4"/>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3158</v>
      </c>
      <c r="D4" s="248">
        <v>45229</v>
      </c>
      <c r="E4" s="274" t="s">
        <v>2584</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2">
        <f>A6/A11</f>
        <v>0.24444444444444444</v>
      </c>
      <c r="C6" s="253" t="s">
        <v>577</v>
      </c>
      <c r="D6" s="61"/>
    </row>
    <row r="7" spans="1:6" ht="30.75" customHeight="1">
      <c r="A7" s="189">
        <f>COUNTIFS(EXPEDIENTES!R:R,"Juicio Abreviado",EXPEDIENTES!H:H,"&gt;=30/10/2023",EXPEDIENTES!H:H,"&lt;=03/11/2023")</f>
        <v>22</v>
      </c>
      <c r="B7" s="372">
        <f>A7/A11</f>
        <v>0.48888888888888887</v>
      </c>
      <c r="C7" s="253" t="s">
        <v>988</v>
      </c>
      <c r="D7" s="61"/>
    </row>
    <row r="8" spans="1:6" ht="30.75" customHeight="1">
      <c r="A8" s="189">
        <f>COUNTIFS(EXPEDIENTES!R:R,"Suspendida",EXPEDIENTES!H:H,"&gt;=30/10/2023",EXPEDIENTES!H:H,"&lt;=03/11/2023")</f>
        <v>1</v>
      </c>
      <c r="B8" s="372">
        <f>A8/A11</f>
        <v>2.2222222222222223E-2</v>
      </c>
      <c r="C8" s="253" t="s">
        <v>911</v>
      </c>
      <c r="D8" s="61"/>
    </row>
    <row r="9" spans="1:6" ht="30.75" customHeight="1">
      <c r="A9" s="189">
        <f>COUNTIFS(EXPEDIENTES!R:R,"Libertad",EXPEDIENTES!H:H,"&gt;=30/10/2023",EXPEDIENTES!H:H,"&lt;=03/11/2023")</f>
        <v>10</v>
      </c>
      <c r="B9" s="372">
        <f>A9/A11</f>
        <v>0.22222222222222221</v>
      </c>
      <c r="C9" s="253" t="s">
        <v>902</v>
      </c>
      <c r="D9" s="61"/>
    </row>
    <row r="10" spans="1:6" ht="32.25" customHeight="1">
      <c r="A10" s="189">
        <f>COUNTIFS(EXPEDIENTES!R:R,"Sobreseimiento",EXPEDIENTES!H:H,"&gt;=30/10/2023",EXPEDIENTES!H:H,"&lt;=03/11/2023")</f>
        <v>1</v>
      </c>
      <c r="B10" s="372">
        <f>A10/A11</f>
        <v>2.2222222222222223E-2</v>
      </c>
      <c r="C10" s="253" t="s">
        <v>1900</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43"/>
      <c r="B1" s="443"/>
      <c r="C1" s="443"/>
      <c r="D1" s="443"/>
      <c r="E1" s="443"/>
      <c r="F1" s="443"/>
      <c r="G1" s="443"/>
      <c r="H1" s="443"/>
      <c r="I1" s="443"/>
      <c r="J1" s="443"/>
      <c r="K1" s="191"/>
      <c r="AQ1" s="443" t="s">
        <v>1997</v>
      </c>
      <c r="AR1" s="443"/>
      <c r="AS1" s="443"/>
      <c r="AT1" s="443"/>
      <c r="AU1" s="443"/>
      <c r="AV1" s="443"/>
      <c r="AW1" s="443"/>
      <c r="AX1" s="443"/>
      <c r="AY1" s="443"/>
      <c r="AZ1" s="443"/>
      <c r="BA1" s="443"/>
    </row>
    <row r="2" spans="1:55" ht="12.75" customHeight="1"/>
    <row r="3" spans="1:55" ht="30.75" customHeight="1">
      <c r="M3" s="191" t="s">
        <v>1320</v>
      </c>
      <c r="N3" s="191" t="s">
        <v>1321</v>
      </c>
      <c r="AK3" s="191" t="s">
        <v>382</v>
      </c>
      <c r="AL3" s="191" t="s">
        <v>31</v>
      </c>
      <c r="AQ3" s="444" t="s">
        <v>1993</v>
      </c>
      <c r="AR3" s="444"/>
      <c r="AS3" s="444"/>
      <c r="AT3" s="444"/>
      <c r="AU3" s="444"/>
      <c r="AV3" s="444"/>
      <c r="AW3" s="444"/>
      <c r="AX3" s="444"/>
      <c r="AY3" s="444"/>
      <c r="AZ3" s="444"/>
      <c r="BA3" s="444"/>
    </row>
    <row r="4" spans="1:55" ht="27" customHeight="1" thickBot="1">
      <c r="A4" s="300"/>
      <c r="B4" s="300"/>
      <c r="C4" s="300"/>
      <c r="M4" s="299" t="s">
        <v>929</v>
      </c>
      <c r="N4" s="298" t="s">
        <v>1297</v>
      </c>
      <c r="O4" s="298" t="s">
        <v>930</v>
      </c>
      <c r="Z4" s="191"/>
      <c r="AK4" s="299" t="s">
        <v>929</v>
      </c>
      <c r="AL4" s="298" t="s">
        <v>1297</v>
      </c>
      <c r="AM4" s="298" t="s">
        <v>930</v>
      </c>
    </row>
    <row r="5" spans="1:55" ht="45" customHeight="1">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424</v>
      </c>
      <c r="AR6" s="204" t="s">
        <v>100</v>
      </c>
      <c r="AU6" s="194"/>
      <c r="AW6" s="193"/>
      <c r="AX6" s="193"/>
      <c r="BC6" s="61"/>
    </row>
    <row r="7" spans="1:55" ht="28.35" customHeight="1">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318</v>
      </c>
      <c r="AR7" s="204" t="s">
        <v>151</v>
      </c>
      <c r="AU7" s="194"/>
      <c r="AW7" s="193"/>
      <c r="AX7" s="193"/>
      <c r="BC7" s="61"/>
    </row>
    <row r="8" spans="1:55" ht="28.35" customHeight="1">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114</v>
      </c>
      <c r="AR8" s="204" t="s">
        <v>902</v>
      </c>
      <c r="AU8" s="194"/>
      <c r="AW8" s="193"/>
      <c r="AX8" s="193"/>
      <c r="BC8" s="61"/>
    </row>
    <row r="9" spans="1:55" ht="28.35" customHeight="1">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27</v>
      </c>
      <c r="AR9" s="204" t="s">
        <v>949</v>
      </c>
      <c r="AU9" s="194"/>
      <c r="AW9" s="193"/>
      <c r="AX9" s="193"/>
      <c r="BC9" s="61"/>
    </row>
    <row r="10" spans="1:55" ht="28.35" customHeight="1">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c r="B14" s="351">
        <f ca="1">COUNTIFS(EXPEDIENTES!H:H,"&gt;=01/10/2023",EXPEDIENTES!H:H,"&lt;=31/10/2023",EXPEDIENTES!O:O,"=SI")</f>
        <v>157</v>
      </c>
      <c r="C14" s="352" t="s">
        <v>3184</v>
      </c>
      <c r="AQ14" s="203">
        <f ca="1">COUNTIFS(EXPEDIENTES!R:R,$AR14,EXPEDIENTES!O:O,"SI")</f>
        <v>5</v>
      </c>
      <c r="AR14" s="418" t="s">
        <v>1900</v>
      </c>
      <c r="AS14" s="201"/>
      <c r="AT14" s="201"/>
      <c r="AU14" s="201"/>
      <c r="AV14" s="201"/>
      <c r="AW14" s="201"/>
      <c r="AX14" s="201"/>
      <c r="AY14" s="201"/>
      <c r="AZ14" s="191"/>
      <c r="BC14" s="61"/>
    </row>
    <row r="15" spans="1:55" ht="28.35" customHeight="1">
      <c r="B15" s="351">
        <f ca="1">COUNTIFS(EXPEDIENTES!H:H,"&gt;=01/11/2023",EXPEDIENTES!H:H,"&lt;=30/11/2023",EXPEDIENTES!O:O,"=SI")</f>
        <v>124</v>
      </c>
      <c r="C15" s="352" t="s">
        <v>3185</v>
      </c>
      <c r="AQ15" s="202">
        <f ca="1">SUM(AQ6:AQ11)</f>
        <v>920</v>
      </c>
      <c r="AR15" s="202" t="s">
        <v>370</v>
      </c>
      <c r="AS15" s="201"/>
      <c r="AT15" s="201"/>
      <c r="AU15" s="201"/>
      <c r="AV15" s="201"/>
      <c r="AW15" s="201"/>
      <c r="AX15" s="201"/>
      <c r="AY15" s="201"/>
      <c r="AZ15" s="191"/>
      <c r="BC15" s="61"/>
    </row>
    <row r="16" spans="1:55" ht="28.35" customHeight="1" thickBot="1">
      <c r="B16" s="351">
        <f ca="1">COUNTIFS(EXPEDIENTES!H:H,"&gt;=01/12/2023",EXPEDIENTES!H:H,"&lt;=31/12/2023",EXPEDIENTES!O:O,"=SI")</f>
        <v>0</v>
      </c>
      <c r="C16" s="353" t="s">
        <v>3186</v>
      </c>
      <c r="AW16" s="193"/>
      <c r="AX16" s="193"/>
      <c r="AZ16" s="196"/>
      <c r="BC16" s="61"/>
    </row>
    <row r="17" spans="2:55" ht="28.35" customHeight="1">
      <c r="B17" s="290">
        <f ca="1">SUM(B6:B16)</f>
        <v>936</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23/11/2023</v>
      </c>
      <c r="BC20" s="61"/>
    </row>
    <row r="21" spans="2:55" ht="28.35" customHeight="1"/>
    <row r="22" spans="2:55" ht="28.35" customHeight="1">
      <c r="AQ22" s="442" t="s">
        <v>1997</v>
      </c>
      <c r="AR22" s="442"/>
      <c r="AS22" s="442"/>
      <c r="AT22" s="442"/>
      <c r="AU22" s="442"/>
      <c r="AV22" s="442"/>
      <c r="AW22" s="442"/>
      <c r="AX22" s="442"/>
      <c r="AY22" s="442"/>
      <c r="AZ22" s="442"/>
      <c r="BA22" s="231"/>
      <c r="BB22" s="231"/>
    </row>
    <row r="24" spans="2:55" ht="26.25">
      <c r="AQ24" s="441" t="s">
        <v>2439</v>
      </c>
      <c r="AR24" s="441"/>
      <c r="AS24" s="441"/>
      <c r="AT24" s="441"/>
      <c r="AU24" s="441"/>
      <c r="AV24" s="441"/>
      <c r="AW24" s="441"/>
      <c r="AX24" s="441"/>
      <c r="AY24" s="441"/>
      <c r="AZ24" s="441"/>
      <c r="BA24" s="232"/>
      <c r="BB24" s="232"/>
    </row>
    <row r="25" spans="2:55" ht="26.25">
      <c r="AQ25" s="441" t="s">
        <v>2930</v>
      </c>
      <c r="AR25" s="441"/>
      <c r="AS25" s="441"/>
      <c r="AT25" s="441"/>
      <c r="AU25" s="441"/>
      <c r="AV25" s="441"/>
      <c r="AW25" s="441"/>
      <c r="AX25" s="441"/>
      <c r="AY25" s="441"/>
      <c r="AZ25" s="441"/>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148</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265</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424</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39" t="s">
        <v>2929</v>
      </c>
      <c r="AR34" s="439"/>
    </row>
    <row r="35" spans="1:52" ht="30" customHeight="1">
      <c r="M35" s="290" t="e">
        <f>SUM(M29:M34)</f>
        <v>#VALUE!</v>
      </c>
      <c r="N35" s="289" t="e">
        <f>SUM(N29:N34)</f>
        <v>#VALUE!</v>
      </c>
      <c r="O35" s="288" t="s">
        <v>370</v>
      </c>
      <c r="AK35" s="290" t="e">
        <f>SUM(AK29:AK34)</f>
        <v>#VALUE!</v>
      </c>
      <c r="AL35" s="289" t="e">
        <f>SUM(AL29:AL34)</f>
        <v>#VALUE!</v>
      </c>
      <c r="AM35" s="288" t="s">
        <v>370</v>
      </c>
      <c r="AQ35" s="439"/>
      <c r="AR35" s="439"/>
    </row>
    <row r="36" spans="1:52" ht="30" customHeight="1">
      <c r="AQ36" s="440">
        <f ca="1">(AQ32*100)/[2]EXPEDIENTES!C1</f>
        <v>68.719611021069696</v>
      </c>
      <c r="AR36" s="440"/>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23/11/2023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42" t="s">
        <v>1997</v>
      </c>
      <c r="AR42" s="442"/>
      <c r="AS42" s="442"/>
      <c r="AT42" s="442"/>
      <c r="AU42" s="442"/>
      <c r="AV42" s="442"/>
      <c r="AW42" s="442"/>
      <c r="AX42" s="442"/>
      <c r="AY42" s="442"/>
      <c r="AZ42" s="442"/>
    </row>
    <row r="43" spans="1:52" ht="30" customHeight="1">
      <c r="A43" s="301"/>
      <c r="B43" s="301"/>
      <c r="C43" s="301"/>
      <c r="AK43" s="293" t="e">
        <f>COUNTIFS([2]EXPEDIENTES!Q:Q,"Libertad",[2]EXPEDIENTES!J:J,"=Dr. Rodriguez Pipino")</f>
        <v>#VALUE!</v>
      </c>
      <c r="AL43" s="292" t="e">
        <f>AK43/AK51</f>
        <v>#VALUE!</v>
      </c>
      <c r="AM43" s="294" t="s">
        <v>902</v>
      </c>
      <c r="AQ43" s="441" t="s">
        <v>2439</v>
      </c>
      <c r="AR43" s="441"/>
      <c r="AS43" s="441"/>
      <c r="AT43" s="441"/>
      <c r="AU43" s="441"/>
      <c r="AV43" s="441"/>
      <c r="AW43" s="441"/>
      <c r="AX43" s="441"/>
      <c r="AY43" s="441"/>
      <c r="AZ43" s="441"/>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148</v>
      </c>
      <c r="AR47" s="311" t="s">
        <v>905</v>
      </c>
    </row>
    <row r="48" spans="1:52" ht="26.25" customHeight="1">
      <c r="A48" s="293" t="e">
        <f>COUNTIF([2]EXPEDIENTES!J:J,"Dr. Rodriguez Pipino")</f>
        <v>#VALUE!</v>
      </c>
      <c r="B48" s="292" t="e">
        <f>A48/A53</f>
        <v>#VALUE!</v>
      </c>
      <c r="C48" s="297" t="s">
        <v>33</v>
      </c>
      <c r="AQ48" s="282">
        <f ca="1">COUNTIFS(EXPEDIENTES!Q:Q,$AR48,EXPEDIENTES!O:O,"SI")</f>
        <v>265</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102</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318</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10</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929</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23/11/2023</v>
      </c>
    </row>
    <row r="62" spans="1:52" ht="24.95" customHeight="1"/>
    <row r="63" spans="1:52" ht="24.95" customHeight="1">
      <c r="AQ63" s="442" t="s">
        <v>1997</v>
      </c>
      <c r="AR63" s="442"/>
      <c r="AS63" s="442"/>
      <c r="AT63" s="442"/>
      <c r="AU63" s="442"/>
      <c r="AV63" s="442"/>
      <c r="AW63" s="442"/>
      <c r="AX63" s="442"/>
      <c r="AY63" s="442"/>
      <c r="AZ63" s="442"/>
    </row>
    <row r="64" spans="1:52" ht="24.95" customHeight="1">
      <c r="AQ64" s="441" t="s">
        <v>2928</v>
      </c>
      <c r="AR64" s="441"/>
      <c r="AS64" s="441"/>
      <c r="AT64" s="441"/>
      <c r="AU64" s="441"/>
      <c r="AV64" s="441"/>
      <c r="AW64" s="441"/>
      <c r="AX64" s="441"/>
      <c r="AY64" s="441"/>
      <c r="AZ64" s="441"/>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424</v>
      </c>
      <c r="AR69" s="307" t="s">
        <v>100</v>
      </c>
    </row>
    <row r="70" spans="1:44" ht="28.35" customHeight="1">
      <c r="AQ70" s="308">
        <f ca="1">COUNTIFS(EXPEDIENTES!R:R,$AR70,EXPEDIENTES!O:O,"SI")</f>
        <v>114</v>
      </c>
      <c r="AR70" s="307" t="s">
        <v>902</v>
      </c>
    </row>
    <row r="71" spans="1:44" ht="28.35" customHeight="1">
      <c r="AQ71" s="308">
        <f ca="1">COUNTIFS(EXPEDIENTES!R:R,$AR71,EXPEDIENTES!O:O,"SI")</f>
        <v>17</v>
      </c>
      <c r="AR71" s="307" t="s">
        <v>913</v>
      </c>
    </row>
    <row r="72" spans="1:44" ht="28.35" customHeight="1">
      <c r="AQ72" s="308">
        <f ca="1">COUNTIFS(EXPEDIENTES!R:R,$AR72,EXPEDIENTES!O:O,"SI")</f>
        <v>318</v>
      </c>
      <c r="AR72" s="307" t="s">
        <v>151</v>
      </c>
    </row>
    <row r="73" spans="1:44" ht="28.35" customHeight="1">
      <c r="AQ73" s="308">
        <f ca="1">COUNTIFS(EXPEDIENTES!R:R,$AR73,EXPEDIENTES!O:O,"SI")</f>
        <v>27</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929</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45253</v>
      </c>
    </row>
    <row r="2" spans="1:16384" ht="21.95" customHeight="1">
      <c r="B2" s="445" t="s">
        <v>393</v>
      </c>
      <c r="C2" s="445"/>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5</v>
      </c>
    </row>
    <row r="7" spans="1:16384" ht="21.95" customHeight="1">
      <c r="B7" s="11" t="s">
        <v>32</v>
      </c>
      <c r="C7" s="11">
        <f ca="1">COUNTIFS(EXPEDIENTES!G:G,B7,EXPEDIENTES!O:O,"NO")</f>
        <v>0</v>
      </c>
    </row>
    <row r="8" spans="1:16384" ht="21.95" customHeight="1">
      <c r="B8" s="11" t="s">
        <v>1440</v>
      </c>
      <c r="C8" s="11">
        <f ca="1">COUNTIFS(EXPEDIENTES!G:G,B8,EXPEDIENTES!O:O,"NO")</f>
        <v>5</v>
      </c>
    </row>
    <row r="9" spans="1:16384" ht="21.95" customHeight="1">
      <c r="B9" s="11" t="s">
        <v>568</v>
      </c>
      <c r="C9" s="11">
        <f ca="1">COUNTIFS(EXPEDIENTES!G:G,B9,EXPEDIENTES!O:O,"NO")</f>
        <v>8</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1</v>
      </c>
    </row>
    <row r="13" spans="1:16384" ht="21.95" customHeight="1">
      <c r="B13" s="279" t="s">
        <v>2771</v>
      </c>
      <c r="C13" s="11">
        <f ca="1">COUNTIFS(EXPEDIENTES!G:G,B13,EXPEDIENTES!O:O,"NO")</f>
        <v>5</v>
      </c>
    </row>
    <row r="14" spans="1:16384" ht="21.95" customHeight="1">
      <c r="B14" s="279" t="s">
        <v>2772</v>
      </c>
      <c r="C14" s="11">
        <f ca="1">COUNTIFS(EXPEDIENTES!G:G,B14,EXPEDIENTES!O:O,"NO")</f>
        <v>2</v>
      </c>
    </row>
    <row r="15" spans="1:16384" ht="27" customHeight="1">
      <c r="B15" s="279" t="s">
        <v>2785</v>
      </c>
      <c r="C15" s="11">
        <f ca="1">COUNTIFS(EXPEDIENTES!G:G,B15,EXPEDIENTES!O:O,"NO")</f>
        <v>6</v>
      </c>
    </row>
    <row r="16" spans="1:16384" ht="21.95" customHeight="1">
      <c r="B16" s="279" t="s">
        <v>2835</v>
      </c>
      <c r="C16" s="11">
        <f ca="1">COUNTIFS(EXPEDIENTES!G:G,B16,EXPEDIENTES!O:O,"NO")</f>
        <v>6</v>
      </c>
    </row>
    <row r="17" spans="2:12" ht="21.95" customHeight="1">
      <c r="B17" s="279" t="s">
        <v>3361</v>
      </c>
      <c r="C17" s="11">
        <f ca="1">COUNTIFS(EXPEDIENTES!G:G,B17,EXPEDIENTES!O:O,"NO")</f>
        <v>6</v>
      </c>
    </row>
    <row r="18" spans="2:12" ht="21.95" customHeight="1">
      <c r="B18" s="279" t="s">
        <v>3362</v>
      </c>
      <c r="C18" s="11">
        <f ca="1">COUNTIFS(EXPEDIENTES!G:G,B18,EXPEDIENTES!O:O,"NO")</f>
        <v>7</v>
      </c>
    </row>
    <row r="19" spans="2:12" ht="21.95" customHeight="1">
      <c r="B19" s="279" t="s">
        <v>3680</v>
      </c>
      <c r="C19" s="11">
        <f ca="1">COUNTIFS(EXPEDIENTES!G:G,B19,EXPEDIENTES!O:O,"NO")</f>
        <v>1</v>
      </c>
    </row>
    <row r="20" spans="2:12" ht="21.95" customHeight="1">
      <c r="B20" s="11" t="s">
        <v>2287</v>
      </c>
      <c r="C20" s="11">
        <f ca="1">H36+'Exp por Encargado - Alvaro'!C5</f>
        <v>0</v>
      </c>
    </row>
    <row r="21" spans="2:12" ht="21.95" customHeight="1">
      <c r="B21" s="25" t="s">
        <v>372</v>
      </c>
      <c r="C21" s="224">
        <f ca="1">SUM(C4:C20)</f>
        <v>67</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45" t="s">
        <v>448</v>
      </c>
      <c r="C28" s="445"/>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106</v>
      </c>
      <c r="F30" s="226"/>
      <c r="G30" s="226"/>
      <c r="H30" s="226"/>
      <c r="I30" s="226"/>
      <c r="J30" s="226"/>
      <c r="K30" s="226"/>
      <c r="L30" s="226"/>
    </row>
    <row r="31" spans="2:12" ht="24.95" customHeight="1">
      <c r="B31" s="11" t="s">
        <v>29</v>
      </c>
      <c r="C31" s="11">
        <f>COUNTIF(EXPEDIENTES!G:G,B31)</f>
        <v>90</v>
      </c>
      <c r="F31" s="226"/>
      <c r="G31" s="226" t="s">
        <v>2289</v>
      </c>
      <c r="H31" s="226"/>
      <c r="I31" s="226"/>
      <c r="J31" s="226"/>
      <c r="K31" s="226"/>
      <c r="L31" s="226"/>
    </row>
    <row r="32" spans="2:12" ht="21.95" customHeight="1">
      <c r="B32" s="11" t="s">
        <v>283</v>
      </c>
      <c r="C32" s="11">
        <f>COUNTIF(EXPEDIENTES!G:G,B32)</f>
        <v>119</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132</v>
      </c>
      <c r="D34" s="10"/>
      <c r="F34" s="226"/>
      <c r="G34" s="24" t="s">
        <v>1740</v>
      </c>
      <c r="H34" s="223">
        <f ca="1">COUNTIFS(EXPEDIENTES!G:G,G34,EXPEDIENTES!O:O,"NO")</f>
        <v>0</v>
      </c>
      <c r="I34" s="226"/>
      <c r="J34" s="226"/>
      <c r="K34" s="226"/>
      <c r="L34" s="226"/>
    </row>
    <row r="35" spans="2:12" ht="21.95" customHeight="1">
      <c r="B35" s="11" t="s">
        <v>568</v>
      </c>
      <c r="C35" s="11">
        <f>COUNTIF(EXPEDIENTES!G:G,B35)</f>
        <v>88</v>
      </c>
      <c r="D35" s="10"/>
      <c r="F35" s="226"/>
      <c r="G35" s="24" t="s">
        <v>2286</v>
      </c>
      <c r="H35" s="223">
        <f>COUNTIFS(EXPEDIENTES!G:G,G35,EXPEDIENTES!O:O,"NO")</f>
        <v>0</v>
      </c>
      <c r="I35" s="226"/>
      <c r="J35" s="226"/>
      <c r="K35" s="226"/>
      <c r="L35" s="226"/>
    </row>
    <row r="36" spans="2:12" ht="21.95" customHeight="1">
      <c r="B36" s="11" t="s">
        <v>1441</v>
      </c>
      <c r="C36" s="11">
        <f>COUNTIF(EXPEDIENTES!G:G,B36)</f>
        <v>81</v>
      </c>
      <c r="F36" s="226"/>
      <c r="G36" s="226"/>
      <c r="H36" s="223">
        <f ca="1">SUM(H32:H35)</f>
        <v>0</v>
      </c>
      <c r="I36" s="226"/>
      <c r="J36" s="226"/>
      <c r="K36" s="226"/>
      <c r="L36" s="226"/>
    </row>
    <row r="37" spans="2:12" ht="21.95" customHeight="1">
      <c r="B37" s="11" t="s">
        <v>1442</v>
      </c>
      <c r="C37" s="11">
        <f>COUNTIF(EXPEDIENTES!G:G,B37)</f>
        <v>82</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810</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105</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114</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126</v>
      </c>
      <c r="F48" s="226"/>
      <c r="G48" s="226"/>
      <c r="H48" s="226"/>
      <c r="I48" s="226"/>
      <c r="J48" s="226"/>
      <c r="K48" s="226"/>
      <c r="L48" s="226"/>
    </row>
    <row r="49" spans="2:12">
      <c r="B49" s="11" t="s">
        <v>568</v>
      </c>
      <c r="C49" s="11">
        <f ca="1">COUNTIFS(EXPEDIENTES!G:G,B49,EXPEDIENTES!O:O,"SI")</f>
        <v>80</v>
      </c>
      <c r="F49" s="226"/>
      <c r="G49" s="226"/>
      <c r="H49" s="226"/>
      <c r="I49" s="226"/>
      <c r="J49" s="226"/>
      <c r="K49" s="226"/>
      <c r="L49" s="226"/>
    </row>
    <row r="50" spans="2:12">
      <c r="B50" s="11" t="s">
        <v>1441</v>
      </c>
      <c r="C50" s="11">
        <f ca="1">COUNTIFS(EXPEDIENTES!G:G,B50,EXPEDIENTES!O:O,"SI")</f>
        <v>73</v>
      </c>
      <c r="F50" s="226"/>
      <c r="G50" s="226"/>
      <c r="H50" s="226"/>
      <c r="I50" s="226"/>
      <c r="J50" s="226"/>
      <c r="K50" s="226"/>
      <c r="L50" s="226"/>
    </row>
    <row r="51" spans="2:12">
      <c r="B51" s="11" t="s">
        <v>1442</v>
      </c>
      <c r="C51" s="11">
        <f ca="1">COUNTIFS(EXPEDIENTES!G:G,B51,EXPEDIENTES!O:O,"SI")</f>
        <v>75</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789</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3361</v>
      </c>
    </row>
    <row r="17" spans="1:1">
      <c r="A17" s="1" t="s">
        <v>3362</v>
      </c>
    </row>
    <row r="18" spans="1:1">
      <c r="A18" s="276" t="s">
        <v>3680</v>
      </c>
    </row>
    <row r="19" spans="1:1">
      <c r="A19" s="276" t="s">
        <v>3834</v>
      </c>
    </row>
    <row r="20" spans="1:1">
      <c r="A20" s="276" t="s">
        <v>3914</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3679</v>
      </c>
    </row>
    <row r="17" spans="1:2" ht="20.100000000000001" customHeight="1">
      <c r="A17" s="44" t="s">
        <v>1700</v>
      </c>
    </row>
    <row r="18" spans="1:2" ht="20.100000000000001" customHeight="1">
      <c r="A18" s="17" t="s">
        <v>4102</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38" t="s">
        <v>3118</v>
      </c>
    </row>
    <row r="58" spans="1:1">
      <c r="A58" s="44" t="s">
        <v>3958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88"/>
  <sheetViews>
    <sheetView topLeftCell="A51" workbookViewId="0">
      <selection activeCell="A63" sqref="A6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4121</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3798</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4272</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3786</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3099</v>
      </c>
    </row>
    <row r="149" spans="1:1">
      <c r="A149" s="65" t="s">
        <v>3214</v>
      </c>
    </row>
    <row r="150" spans="1:1">
      <c r="A150" s="65" t="s">
        <v>3215</v>
      </c>
    </row>
    <row r="151" spans="1:1">
      <c r="A151" s="65" t="s">
        <v>3246</v>
      </c>
    </row>
    <row r="152" spans="1:1">
      <c r="A152" s="65" t="s">
        <v>3330</v>
      </c>
    </row>
    <row r="153" spans="1:1">
      <c r="A153" s="65" t="s">
        <v>3338</v>
      </c>
    </row>
    <row r="154" spans="1:1">
      <c r="A154" s="42" t="s">
        <v>3365</v>
      </c>
    </row>
    <row r="155" spans="1:1">
      <c r="A155" s="65" t="s">
        <v>3388</v>
      </c>
    </row>
    <row r="156" spans="1:1">
      <c r="A156" s="65" t="s">
        <v>3420</v>
      </c>
    </row>
    <row r="157" spans="1:1">
      <c r="A157" s="65" t="s">
        <v>3423</v>
      </c>
    </row>
    <row r="158" spans="1:1">
      <c r="A158" s="65" t="s">
        <v>3433</v>
      </c>
    </row>
    <row r="159" spans="1:1">
      <c r="A159" s="65" t="s">
        <v>3454</v>
      </c>
    </row>
    <row r="160" spans="1:1">
      <c r="A160" s="65" t="s">
        <v>3482</v>
      </c>
    </row>
    <row r="161" spans="1:1">
      <c r="A161" s="65" t="s">
        <v>4267</v>
      </c>
    </row>
    <row r="162" spans="1:1">
      <c r="A162" s="65" t="s">
        <v>3608</v>
      </c>
    </row>
    <row r="163" spans="1:1">
      <c r="A163" s="65" t="s">
        <v>3632</v>
      </c>
    </row>
    <row r="164" spans="1:1">
      <c r="A164" s="42" t="s">
        <v>3672</v>
      </c>
    </row>
    <row r="165" spans="1:1">
      <c r="A165" s="65" t="s">
        <v>3710</v>
      </c>
    </row>
    <row r="166" spans="1:1">
      <c r="A166" s="65" t="s">
        <v>3738</v>
      </c>
    </row>
    <row r="167" spans="1:1">
      <c r="A167" s="65" t="s">
        <v>3741</v>
      </c>
    </row>
    <row r="168" spans="1:1">
      <c r="A168" s="65" t="s">
        <v>3747</v>
      </c>
    </row>
    <row r="169" spans="1:1">
      <c r="A169" s="65" t="s">
        <v>3768</v>
      </c>
    </row>
    <row r="170" spans="1:1">
      <c r="A170" s="65" t="s">
        <v>3772</v>
      </c>
    </row>
    <row r="171" spans="1:1">
      <c r="A171" s="65" t="s">
        <v>3773</v>
      </c>
    </row>
    <row r="172" spans="1:1">
      <c r="A172" s="65" t="s">
        <v>3806</v>
      </c>
    </row>
    <row r="173" spans="1:1">
      <c r="A173" s="65" t="s">
        <v>3862</v>
      </c>
    </row>
    <row r="174" spans="1:1">
      <c r="A174" s="376" t="s">
        <v>3879</v>
      </c>
    </row>
    <row r="175" spans="1:1">
      <c r="A175" s="65" t="s">
        <v>3916</v>
      </c>
    </row>
    <row r="176" spans="1:1">
      <c r="A176" s="65" t="s">
        <v>3920</v>
      </c>
    </row>
    <row r="177" spans="1:1">
      <c r="A177" s="65" t="s">
        <v>4009</v>
      </c>
    </row>
    <row r="178" spans="1:1">
      <c r="A178" s="65" t="s">
        <v>4028</v>
      </c>
    </row>
    <row r="179" spans="1:1">
      <c r="A179" s="65" t="s">
        <v>4029</v>
      </c>
    </row>
    <row r="180" spans="1:1">
      <c r="A180" s="65" t="s">
        <v>4082</v>
      </c>
    </row>
    <row r="181" spans="1:1">
      <c r="A181" s="65" t="s">
        <v>4090</v>
      </c>
    </row>
    <row r="182" spans="1:1">
      <c r="A182" s="42" t="s">
        <v>4096</v>
      </c>
    </row>
    <row r="183" spans="1:1">
      <c r="A183" s="65" t="s">
        <v>1860</v>
      </c>
    </row>
    <row r="184" spans="1:1">
      <c r="A184" s="65" t="s">
        <v>4147</v>
      </c>
    </row>
    <row r="185" spans="1:1">
      <c r="A185" s="65" t="s">
        <v>4150</v>
      </c>
    </row>
    <row r="186" spans="1:1">
      <c r="A186" s="65" t="s">
        <v>4189</v>
      </c>
    </row>
    <row r="187" spans="1:1">
      <c r="A187" s="65" t="s">
        <v>4197</v>
      </c>
    </row>
    <row r="188" spans="1:1">
      <c r="A188" s="65" t="s">
        <v>4270</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7" sqref="B1:B17"/>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2"/>
  <sheetViews>
    <sheetView topLeftCell="A27" zoomScale="85" zoomScaleNormal="85" workbookViewId="0">
      <selection activeCell="K32" sqref="K32"/>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3573</v>
      </c>
    </row>
    <row r="26" spans="1:50" ht="76.5">
      <c r="A26" s="83" t="s">
        <v>2907</v>
      </c>
      <c r="B26" s="84" t="s">
        <v>2908</v>
      </c>
      <c r="C26" s="83">
        <v>8</v>
      </c>
      <c r="D26" s="83" t="s">
        <v>2770</v>
      </c>
      <c r="E26" s="85"/>
      <c r="F26" s="85"/>
      <c r="G26" s="85" t="s">
        <v>2951</v>
      </c>
      <c r="H26" s="83" t="s">
        <v>1924</v>
      </c>
      <c r="I26" s="83" t="s">
        <v>793</v>
      </c>
      <c r="J26" s="83" t="s">
        <v>2119</v>
      </c>
      <c r="K26" s="83" t="s">
        <v>3196</v>
      </c>
    </row>
    <row r="27" spans="1:50" ht="127.5">
      <c r="A27" s="81" t="s">
        <v>1313</v>
      </c>
      <c r="B27" s="211" t="s">
        <v>3606</v>
      </c>
      <c r="C27" s="81">
        <v>2</v>
      </c>
      <c r="D27" s="81" t="s">
        <v>3362</v>
      </c>
      <c r="E27" s="246">
        <v>45243</v>
      </c>
      <c r="F27" s="246" t="s">
        <v>73</v>
      </c>
      <c r="G27" s="246" t="s">
        <v>78</v>
      </c>
      <c r="H27" s="81">
        <f>IFERROR(VLOOKUP(G27,Jueces!$A$1:$B$11,2,FALSE),"")</f>
        <v>8</v>
      </c>
      <c r="I27" s="81" t="s">
        <v>582</v>
      </c>
      <c r="J27" s="81" t="s">
        <v>712</v>
      </c>
      <c r="K27" s="81" t="s">
        <v>3934</v>
      </c>
    </row>
    <row r="28" spans="1:50" s="1" customFormat="1" ht="39.950000000000003" customHeight="1">
      <c r="A28" s="262" t="s">
        <v>3897</v>
      </c>
      <c r="B28" s="263" t="s">
        <v>3919</v>
      </c>
      <c r="C28" s="262">
        <v>3</v>
      </c>
      <c r="D28" s="262" t="s">
        <v>3361</v>
      </c>
      <c r="E28" s="392">
        <v>45257</v>
      </c>
      <c r="F28" s="392" t="s">
        <v>1086</v>
      </c>
      <c r="G28" s="392" t="s">
        <v>1224</v>
      </c>
      <c r="H28" s="50" t="s">
        <v>4069</v>
      </c>
      <c r="I28" s="359"/>
      <c r="J28" s="359"/>
      <c r="K28" s="262" t="s">
        <v>4017</v>
      </c>
      <c r="L28" s="117"/>
      <c r="M28" s="389"/>
      <c r="N28" s="390"/>
      <c r="O28" s="117"/>
      <c r="P28" s="117"/>
      <c r="Q28" s="117"/>
      <c r="R28" s="117"/>
      <c r="S28" s="117"/>
      <c r="T28" s="118"/>
      <c r="U28" s="118"/>
      <c r="V28" s="117"/>
      <c r="W28" s="117"/>
      <c r="X28" s="117"/>
      <c r="Y28" s="117"/>
      <c r="Z28" s="117"/>
      <c r="AA28" s="391"/>
      <c r="AB28" s="117"/>
      <c r="AC28" s="119"/>
    </row>
    <row r="29" spans="1:50" s="1" customFormat="1" ht="39.950000000000003" customHeight="1">
      <c r="A29" s="262" t="s">
        <v>3149</v>
      </c>
      <c r="B29" s="263" t="s">
        <v>3212</v>
      </c>
      <c r="C29" s="262">
        <v>1</v>
      </c>
      <c r="D29" s="262" t="s">
        <v>1440</v>
      </c>
      <c r="E29" s="392">
        <v>45245</v>
      </c>
      <c r="F29" s="392" t="s">
        <v>73</v>
      </c>
      <c r="G29" s="392" t="s">
        <v>1220</v>
      </c>
      <c r="H29" s="262" t="s">
        <v>1924</v>
      </c>
      <c r="I29" s="262" t="s">
        <v>789</v>
      </c>
      <c r="J29" s="262" t="s">
        <v>712</v>
      </c>
      <c r="K29" s="262" t="s">
        <v>4083</v>
      </c>
      <c r="L29" s="119"/>
      <c r="M29" s="119"/>
      <c r="N29" s="119"/>
      <c r="O29" s="117"/>
      <c r="P29" s="117"/>
      <c r="Q29" s="117"/>
      <c r="R29" s="117"/>
      <c r="S29" s="117"/>
      <c r="T29" s="118"/>
      <c r="U29" s="118"/>
      <c r="V29" s="117"/>
      <c r="W29" s="117"/>
      <c r="X29" s="117"/>
      <c r="Y29" s="117"/>
      <c r="Z29" s="117"/>
      <c r="AA29" s="391"/>
      <c r="AB29" s="117"/>
      <c r="AC29" s="119"/>
      <c r="AD29" s="8"/>
      <c r="AE29" s="8"/>
      <c r="AF29" s="8"/>
      <c r="AG29" s="8"/>
      <c r="AH29" s="8"/>
    </row>
    <row r="30" spans="1:50" ht="102">
      <c r="A30" s="83" t="s">
        <v>3771</v>
      </c>
      <c r="B30" s="84" t="s">
        <v>3787</v>
      </c>
      <c r="C30" s="83">
        <v>6</v>
      </c>
      <c r="D30" s="83" t="s">
        <v>1442</v>
      </c>
      <c r="E30" s="85">
        <v>45245</v>
      </c>
      <c r="F30" s="85" t="s">
        <v>73</v>
      </c>
      <c r="G30" s="85" t="s">
        <v>2951</v>
      </c>
      <c r="H30" s="83" t="s">
        <v>3819</v>
      </c>
      <c r="I30" s="83" t="s">
        <v>2092</v>
      </c>
      <c r="J30" s="367" t="s">
        <v>3772</v>
      </c>
      <c r="K30" s="83" t="s">
        <v>4085</v>
      </c>
    </row>
    <row r="31" spans="1:50" ht="63.75">
      <c r="A31" s="83" t="s">
        <v>3826</v>
      </c>
      <c r="B31" s="84" t="s">
        <v>3850</v>
      </c>
      <c r="C31" s="83">
        <v>4</v>
      </c>
      <c r="D31" s="83" t="s">
        <v>1441</v>
      </c>
      <c r="E31" s="85">
        <v>45253</v>
      </c>
      <c r="F31" s="85" t="s">
        <v>1209</v>
      </c>
      <c r="G31" s="85" t="s">
        <v>31</v>
      </c>
      <c r="H31" s="83">
        <f>IFERROR(VLOOKUP(G31,Jueces!$A$1:$B$11,2,FALSE),"")</f>
        <v>2</v>
      </c>
      <c r="I31" s="83" t="s">
        <v>813</v>
      </c>
      <c r="J31" s="83" t="s">
        <v>3798</v>
      </c>
      <c r="K31" s="422" t="s">
        <v>4225</v>
      </c>
    </row>
    <row r="32" spans="1:50" ht="178.5">
      <c r="A32" s="360" t="s">
        <v>159</v>
      </c>
      <c r="B32" s="84" t="s">
        <v>4081</v>
      </c>
      <c r="C32" s="80">
        <v>3</v>
      </c>
      <c r="D32" s="80" t="s">
        <v>43</v>
      </c>
      <c r="E32" s="82">
        <v>45254</v>
      </c>
      <c r="F32" s="85" t="s">
        <v>1209</v>
      </c>
      <c r="G32" s="82" t="s">
        <v>1220</v>
      </c>
      <c r="H32" s="80">
        <f>IFERROR(VLOOKUP(G32,Jueces!$A$1:$B$11,2,FALSE),"")</f>
        <v>7</v>
      </c>
      <c r="I32" s="83" t="s">
        <v>793</v>
      </c>
      <c r="J32" s="381" t="s">
        <v>4082</v>
      </c>
      <c r="K32" s="83" t="s">
        <v>4274</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7">
    <dataValidation type="list" allowBlank="1" showInputMessage="1" showErrorMessage="1" sqref="G3 G5:G10">
      <formula1>"Dr. Pastrana, Dr. Colombo, Dr. Rodriguez Pipino, Dra. Puertas"</formula1>
    </dataValidation>
    <dataValidation type="list" allowBlank="1" showInputMessage="1" showErrorMessage="1" sqref="J27 M28 J29:J32">
      <formula1>defensores!$A$1:$A$200</formula1>
    </dataValidation>
    <dataValidation type="list" allowBlank="1" showInputMessage="1" showErrorMessage="1" sqref="I27 L28 I29:I32">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 type="list" allowBlank="1" showInputMessage="1" showErrorMessage="1" sqref="G27:G32">
      <formula1>Jueces!$A$1:$A$20</formula1>
    </dataValidation>
    <dataValidation type="list" allowBlank="1" showInputMessage="1" showErrorMessage="1" sqref="D27:D32">
      <formula1>Internos!$A$1:$A$25</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46" t="s">
        <v>732</v>
      </c>
      <c r="I1" s="446"/>
      <c r="J1" s="446"/>
      <c r="K1" s="446"/>
      <c r="L1" s="446"/>
      <c r="M1" s="446"/>
      <c r="N1" s="446"/>
      <c r="O1" s="446"/>
      <c r="P1" s="446"/>
      <c r="Q1" s="446"/>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45253</v>
      </c>
    </row>
    <row r="2" spans="2:3" ht="24.95" customHeight="1">
      <c r="B2" s="445" t="s">
        <v>393</v>
      </c>
      <c r="C2" s="445"/>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5</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8</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45" t="s">
        <v>448</v>
      </c>
      <c r="C14" s="445"/>
    </row>
    <row r="15" spans="2:3" ht="24.95" customHeight="1">
      <c r="B15" s="13" t="s">
        <v>3</v>
      </c>
      <c r="C15" s="13" t="s">
        <v>362</v>
      </c>
    </row>
    <row r="16" spans="2:3" ht="24.95" customHeight="1">
      <c r="B16" s="11" t="s">
        <v>43</v>
      </c>
      <c r="C16" s="11">
        <f>COUNTIF(EXPEDIENTES!G:G,B16)</f>
        <v>106</v>
      </c>
    </row>
    <row r="17" spans="2:3" ht="24.95" customHeight="1">
      <c r="B17" s="11" t="s">
        <v>34</v>
      </c>
      <c r="C17" s="11">
        <f>COUNTIF(EXPEDIENTES!G:G,B17)</f>
        <v>34</v>
      </c>
    </row>
    <row r="18" spans="2:3" ht="24.95" customHeight="1">
      <c r="B18" s="11" t="s">
        <v>29</v>
      </c>
      <c r="C18" s="11">
        <f>COUNTIF(EXPEDIENTES!G:G,B18)</f>
        <v>90</v>
      </c>
    </row>
    <row r="19" spans="2:3" ht="24.95" customHeight="1">
      <c r="B19" s="11" t="s">
        <v>283</v>
      </c>
      <c r="C19" s="11">
        <f>COUNTIF(EXPEDIENTES!G:G,B19)</f>
        <v>119</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88</v>
      </c>
    </row>
    <row r="23" spans="2:3" ht="24.95" customHeight="1">
      <c r="B23" s="25" t="s">
        <v>370</v>
      </c>
      <c r="C23" s="28">
        <f>SUM(C16:C22)</f>
        <v>515</v>
      </c>
    </row>
    <row r="24" spans="2:3" ht="23.25" customHeight="1">
      <c r="B24" s="11" t="s">
        <v>450</v>
      </c>
      <c r="C24" s="11">
        <f>'no realizadas'!N10</f>
        <v>0</v>
      </c>
    </row>
    <row r="25" spans="2:3" ht="24.95" customHeight="1">
      <c r="B25" s="14"/>
      <c r="C25" s="14"/>
    </row>
    <row r="26" spans="2:3" ht="24.95" customHeight="1">
      <c r="B26" s="445" t="s">
        <v>449</v>
      </c>
      <c r="C26" s="445"/>
    </row>
    <row r="27" spans="2:3" ht="24.95" customHeight="1">
      <c r="B27" s="13" t="s">
        <v>3</v>
      </c>
      <c r="C27" s="13" t="s">
        <v>362</v>
      </c>
    </row>
    <row r="28" spans="2:3" ht="24.95" customHeight="1">
      <c r="B28" s="11" t="s">
        <v>43</v>
      </c>
      <c r="C28" s="11">
        <f ca="1">COUNTIFS(EXPEDIENTES!G:G,B28,EXPEDIENTES!O:O,"SI")</f>
        <v>105</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114</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80</v>
      </c>
    </row>
    <row r="35" spans="2:3" ht="24.95" customHeight="1">
      <c r="B35" s="25" t="s">
        <v>371</v>
      </c>
      <c r="C35" s="28">
        <f ca="1">SUM(C28:C34)</f>
        <v>501</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07/07/20236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10/07/20233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10/07/20234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11/07/20234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11/07/20239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13/07/20231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13/07/20232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14/07/20231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14/07/20235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17/07/20232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17/07/20233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17/07/20235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18/07/20231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18/07/20232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18/07/20233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18/07/20234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18/07/20235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19/07/20231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19/07/20232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19/07/20233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19/07/20234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19/07/20236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20/07/20231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20/07/20232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20/07/20234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21/07/20231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21/07/20232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21/07/20233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21/07/20234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21/07/20236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21/07/20237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25/07/20231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25/07/20234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25/07/20236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26/07/20231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26/07/20232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26/07/20234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26/07/20235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26/07/20236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27/07/20234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27/07/20235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28/07/20231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28/07/20232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28/07/20233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28/07/20234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28/07/20236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31/07/20231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31/07/20233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31/07/20234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31/07/20235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31/07/20237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01/08/20231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01/08/20232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01/08/20233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01/08/20234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02/08/20231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02/08/20232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02/08/20234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02/08/20235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02/08/20236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03/08/20231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03/08/20232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03/08/20234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03/08/20235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03/08/20236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04/08/20231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04/08/20232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04/08/20234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04/08/20235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04/08/20236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04/08/20237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07/08/20231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07/08/20232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07/08/20233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07/08/20234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07/08/20235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07/08/20236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07/08/20237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08/08/20231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08/08/20232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08/08/20233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08/08/20234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08/08/20235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08/08/20236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09/08/20231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09/08/20232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09/08/20234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09/08/20236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10/08/20231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10/08/20232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10/08/20233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10/08/20234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11/08/20231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11/08/20232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11/08/20233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11/08/20234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11/08/20235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11/08/20236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11/08/20237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14/08/20231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14/08/20232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14/08/20233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14/08/20234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14/08/20235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14/08/20236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15/08/20231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15/08/20233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15/08/20234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15/08/20235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16/08/20231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16/08/20232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16/08/20233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16/08/20234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16/08/20235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16/08/20236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16/08/20237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17/08/20232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17/08/20233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18/08/20231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18/08/20232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18/08/20233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18/08/20234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18/08/20235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18/08/20236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18/08/20237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18/08/20238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22/08/20231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22/08/20232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22/08/20233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22/08/20234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22/08/20235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23/08/20231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23/08/20232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23/08/20233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23/08/20234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23/08/20235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23/08/20236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23/08/20237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24/08/20231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24/08/20232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24/08/20233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24/08/20234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24/08/20235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24/08/20236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24/08/20237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25/08/20231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25/08/20232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25/08/20234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25/08/20235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25/08/20236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29/08/20231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29/08/20233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29/08/20235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30/08/20231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30/08/20233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30/08/20234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31/08/20233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31/08/20236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31/08/20237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01/09/20231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01/09/20232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01/09/20233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01/09/20236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01/09/20237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04/09/20231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04/09/20234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05/09/20231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05/09/20233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05/09/20235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06/09/20232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06/09/20233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06/09/20235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07/09/20232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07/09/20235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08/09/20231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08/09/20232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11/09/20233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11/09/20236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11/09/20237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12/09/20234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12/09/20235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18/09/20232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19/09/20231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19/09/20237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20/09/20235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21/09/20231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21/09/20234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21/09/20235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22/09/20233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22/09/20235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22/09/20237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25/09/20232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25/09/20236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25/09/20237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26/09/20231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26/09/20232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26/09/20235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26/09/20236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26/09/20237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27/09/20232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27/09/20233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27/09/20235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27/09/20237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28/09/20231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28/09/20232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28/09/20234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28/09/20235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29/09/20231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29/09/20233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29/09/20236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29/09/20237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29/09/20238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02/10/20231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02/10/20232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02/10/20234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c r="A662" s="178" t="str">
        <f t="shared" si="20"/>
        <v>02/10/20236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03/10/20231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03/10/20236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04/10/20231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04/10/20232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04/10/20235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04/10/20237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05/10/20231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05/10/20232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05/10/20234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06/10/20233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06/10/20235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06/10/20237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09/10/20232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09/10/20238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10/10/20233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c r="A712" s="178" t="str">
        <f t="shared" si="22"/>
        <v>10/10/20235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10/10/20239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c r="A717" s="178" t="str">
        <f t="shared" si="22"/>
        <v>11/10/20231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c r="A718" s="178" t="str">
        <f t="shared" si="22"/>
        <v>11/10/20232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c r="A719" s="178" t="str">
        <f t="shared" si="22"/>
        <v>11/10/20233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11/10/20234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11/10/20235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c r="A722" s="178" t="str">
        <f t="shared" si="22"/>
        <v>11/10/20236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c r="A723" s="178" t="str">
        <f t="shared" si="22"/>
        <v>11/10/20237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c r="A729" s="178" t="str">
        <f t="shared" si="22"/>
        <v>00/01/19003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00/01/19004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c r="A731" s="178" t="str">
        <f t="shared" si="22"/>
        <v>00/01/19005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c r="A732" s="178" t="str">
        <f t="shared" si="22"/>
        <v>00/01/19006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c r="A733" s="178" t="str">
        <f t="shared" si="22"/>
        <v>00/01/19007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delacruz</cp:lastModifiedBy>
  <cp:lastPrinted>2023-11-23T16:17:38Z</cp:lastPrinted>
  <dcterms:created xsi:type="dcterms:W3CDTF">2023-02-23T14:47:20Z</dcterms:created>
  <dcterms:modified xsi:type="dcterms:W3CDTF">2023-11-23T17:28:06Z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