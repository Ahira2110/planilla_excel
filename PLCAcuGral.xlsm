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EXPEDIENTES!$A$2:$Z$2</definedName>
    <definedName name="A.I._Nº_2___Dr._Flores_Larsen">defensores!$A$1:$A$192</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32"/>
    <pivotCache cacheId="1" r:id="rId33"/>
    <pivotCache cacheId="2" r:id="rId34"/>
    <pivotCache cacheId="3" r:id="rId35"/>
    <pivotCache cacheId="4" r:id="rId36"/>
    <pivotCache cacheId="5"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7" i="1"/>
  <c r="AF16"/>
  <c r="AF15"/>
  <c r="AF14"/>
  <c r="AF13"/>
  <c r="AF12"/>
  <c r="AF11"/>
  <c r="AF10"/>
  <c r="AF9"/>
  <c r="AF8"/>
  <c r="AF7"/>
  <c r="AF6"/>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4" s="1"/>
  <c r="C57" i="6"/>
  <c r="A19" i="23"/>
  <c r="B20"/>
  <c r="C30" i="6"/>
  <c r="C33"/>
  <c r="C32"/>
  <c r="C31"/>
  <c r="C9" i="9"/>
  <c r="C43"/>
  <c r="C46"/>
  <c r="C16"/>
  <c r="C41"/>
  <c r="C40"/>
  <c r="C38"/>
  <c r="C10"/>
  <c r="C44"/>
  <c r="C39"/>
  <c r="C8"/>
  <c r="C5"/>
  <c r="C6"/>
  <c r="C4"/>
  <c r="C7"/>
  <c r="C60" i="6"/>
  <c r="C59"/>
  <c r="C58"/>
  <c r="AG17" i="1" l="1"/>
  <c r="AG13"/>
  <c r="AG10"/>
  <c r="AG5"/>
  <c r="AG11"/>
  <c r="AG14"/>
  <c r="AG7"/>
  <c r="AG6"/>
  <c r="AG15"/>
  <c r="AG3"/>
  <c r="AG8"/>
  <c r="AG12"/>
  <c r="AG9"/>
  <c r="AG16"/>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<sst xmlns="http://schemas.openxmlformats.org/spreadsheetml/2006/main" count="6921" uniqueCount="2284">
  <si>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</si>
  <si>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</si>
  <si>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</si>
  <si>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</si>
  <si>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</si>
  <si>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</si>
  <si>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</si>
  <si>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</si>
  <si>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</si>
  <si>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</si>
  <si>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</si>
  <si>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</si>
  <si>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</si>
  <si>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</si>
  <si>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</si>
  <si>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</si>
  <si>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</si>
  <si>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</si>
  <si>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</si>
  <si>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</si>
  <si>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</si>
  <si>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</si>
  <si>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</si>
  <si>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</si>
  <si>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</si>
  <si>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</si>
  <si>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</si>
  <si>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</si>
  <si>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</si>
  <si>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</si>
  <si>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</si>
  <si>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</si>
  <si>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</si>
  <si>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</si>
  <si>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</si>
  <si>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</si>
  <si>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</si>
  <si>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</si>
  <si>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</si>
  <si>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</si>
  <si>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</si>
  <si>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</si>
  <si>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</si>
  <si>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</si>
  <si>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</si>
  <si>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</si>
  <si>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</si>
  <si>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</si>
  <si>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</si>
  <si>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</si>
  <si>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</si>
  <si>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</si>
  <si>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</si>
  <si>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</si>
  <si>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</si>
  <si>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</si>
  <si>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</si>
  <si>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</si>
  <si>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</si>
  <si>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</si>
  <si>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</si>
  <si>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</si>
  <si>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</si>
  <si>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</si>
  <si>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</si>
  <si>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</si>
  <si>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</si>
  <si>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</si>
  <si>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</si>
  <si>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</si>
  <si>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</si>
  <si>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</si>
  <si>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</si>
  <si>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</si>
  <si>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</si>
  <si>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</si>
  <si>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</si>
  <si>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</si>
  <si>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</si>
  <si>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</si>
  <si>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</si>
  <si>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</si>
  <si>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</si>
  <si>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</si>
  <si>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</si>
  <si>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</si>
  <si>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</si>
  <si>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</si>
  <si>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</si>
  <si>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</si>
  <si>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</si>
  <si>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</si>
  <si>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</si>
  <si>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</si>
  <si>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</si>
  <si>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</si>
  <si>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</si>
  <si>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</si>
  <si>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</si>
  <si>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</si>
  <si>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</si>
  <si>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</si>
  <si>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</si>
  <si>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</si>
  <si>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</si>
  <si>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</si>
  <si>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</si>
  <si>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</si>
  <si>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</si>
  <si>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</si>
  <si>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</si>
  <si>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</si>
  <si>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</si>
  <si>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</si>
  <si>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</si>
  <si>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</si>
  <si>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</si>
  <si>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</si>
  <si>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</si>
  <si>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</si>
  <si>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</si>
  <si>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</si>
  <si>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</si>
  <si>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</si>
  <si>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</si>
  <si>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</si>
  <si>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</si>
  <si>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</si>
  <si>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</si>
  <si>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</si>
  <si>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</si>
  <si>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</si>
  <si>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</si>
  <si>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</si>
  <si>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</si>
  <si>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</si>
  <si>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</si>
  <si>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</si>
  <si>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</si>
  <si>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</si>
  <si>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</si>
  <si>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</si>
  <si>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</si>
  <si>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</si>
  <si>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</si>
  <si>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</si>
  <si>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</si>
  <si>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</si>
  <si>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</si>
  <si>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</si>
  <si>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</si>
  <si>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</si>
  <si>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</si>
  <si>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</si>
  <si>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</si>
  <si>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</si>
  <si>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</si>
  <si>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</si>
  <si>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</si>
  <si>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</si>
  <si>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</si>
  <si>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</si>
  <si>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</si>
  <si>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</si>
  <si>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</si>
  <si>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</si>
  <si>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</si>
  <si>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</si>
  <si>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</si>
  <si>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</si>
  <si>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</si>
  <si>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</si>
  <si>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</si>
  <si>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</si>
  <si>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</si>
  <si>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</si>
  <si>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</si>
  <si>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</si>
  <si>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</si>
  <si>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</si>
  <si>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</si>
  <si>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</si>
  <si>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</si>
  <si>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</si>
  <si>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</si>
  <si>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</si>
  <si>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</si>
  <si>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</si>
  <si>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</si>
  <si>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</si>
  <si>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</si>
  <si>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</si>
  <si>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</si>
  <si>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</si>
  <si>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</si>
  <si>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</si>
  <si>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</si>
  <si>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</si>
  <si>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</si>
  <si>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</si>
  <si>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</si>
  <si>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</si>
  <si>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</si>
  <si>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</si>
  <si>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</si>
  <si>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</si>
  <si>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</si>
  <si>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</si>
  <si>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</si>
  <si>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</si>
  <si>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</si>
  <si>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</si>
  <si>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</si>
  <si>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</si>
  <si>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</si>
  <si>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</si>
  <si>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</si>
  <si>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</si>
  <si>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</si>
  <si>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</si>
  <si>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</si>
  <si>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</si>
  <si>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</si>
  <si>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</si>
  <si>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</si>
  <si>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</si>
  <si>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</si>
  <si>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</si>
  <si>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</si>
  <si>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</si>
  <si>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</si>
  <si>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</si>
  <si>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</si>
  <si>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</si>
  <si>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</si>
  <si>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</si>
  <si>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</si>
  <si>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</si>
  <si>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</si>
  <si>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</si>
  <si>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</si>
  <si>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</si>
  <si>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</si>
  <si>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</si>
  <si>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</si>
  <si>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</si>
  <si>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</si>
  <si>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</si>
  <si>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</si>
  <si>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</si>
  <si>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</si>
  <si>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</si>
  <si>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</si>
  <si>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</si>
  <si>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</si>
  <si>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</si>
  <si>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</si>
  <si>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</si>
  <si>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</si>
  <si>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</si>
  <si>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</si>
  <si>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</si>
  <si>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</si>
  <si>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</si>
  <si>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</si>
  <si>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</si>
  <si>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</si>
  <si>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</si>
  <si>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</si>
  <si>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</si>
  <si>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</si>
  <si>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</si>
  <si>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</si>
  <si>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</si>
  <si>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</si>
  <si>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</si>
  <si>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</si>
  <si>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</si>
  <si>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</si>
  <si>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</si>
  <si>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</si>
  <si>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</si>
  <si>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</si>
  <si>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</si>
  <si>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</si>
  <si>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</si>
  <si>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</si>
  <si>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</si>
  <si>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</si>
  <si>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</si>
  <si>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</si>
  <si>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</si>
  <si>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</si>
  <si>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</si>
  <si>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</si>
  <si>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</si>
  <si>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</si>
  <si>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</si>
  <si>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</si>
  <si>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</si>
  <si>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</si>
  <si>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</si>
  <si>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</si>
  <si>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</si>
  <si>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</si>
  <si>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</si>
  <si>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</si>
  <si>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</si>
  <si>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</si>
  <si>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</si>
  <si>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</si>
  <si>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</si>
  <si>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</si>
  <si>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</si>
  <si>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</si>
  <si>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</si>
  <si>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</si>
  <si>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</si>
  <si>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</si>
  <si>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</si>
  <si>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</si>
  <si>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</si>
  <si>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</si>
  <si>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</si>
  <si>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</si>
  <si>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</si>
  <si>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</si>
  <si>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</si>
  <si>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</si>
  <si>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</si>
  <si>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</si>
  <si>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</si>
  <si>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</si>
  <si>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</si>
  <si>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</si>
  <si>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</si>
  <si>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</si>
  <si>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</si>
  <si>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</si>
  <si>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</si>
  <si>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</si>
  <si>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</si>
  <si>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</si>
  <si>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</si>
  <si>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</si>
  <si>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</si>
  <si>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</si>
  <si>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</si>
  <si>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</si>
  <si>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</si>
  <si>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</si>
  <si>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</si>
  <si>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</si>
  <si>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</si>
  <si>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</si>
  <si>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</si>
  <si>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</si>
  <si>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</si>
  <si>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</si>
  <si>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</si>
  <si>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</si>
  <si>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</si>
  <si>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</si>
  <si>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</si>
  <si>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</si>
  <si>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</si>
  <si>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</si>
  <si>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</si>
  <si>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</si>
  <si>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</si>
  <si>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</si>
  <si>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</si>
  <si>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</si>
  <si>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</si>
  <si>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</si>
  <si>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</si>
  <si>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</si>
  <si>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</si>
  <si>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</si>
  <si>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</si>
  <si>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</si>
  <si>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</si>
  <si>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</si>
  <si>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</si>
  <si>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</si>
  <si>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</si>
  <si>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</si>
  <si>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</si>
  <si>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</si>
  <si>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</si>
  <si>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</si>
  <si>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</si>
  <si>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</si>
  <si>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</si>
  <si>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</si>
  <si>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</si>
  <si>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</si>
  <si>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</si>
  <si>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</si>
  <si>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</si>
  <si>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</si>
  <si>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</si>
  <si>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</si>
  <si>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</si>
  <si>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</si>
  <si>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</si>
  <si>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</si>
  <si>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</si>
  <si>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</si>
  <si>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</si>
  <si>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</si>
  <si>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</si>
  <si>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</si>
  <si>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</si>
  <si>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</si>
  <si>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</si>
  <si>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</si>
  <si>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</si>
  <si>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</si>
  <si>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</si>
  <si>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</si>
  <si>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</si>
  <si>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</si>
  <si>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</si>
  <si>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</si>
  <si>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</si>
  <si>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</si>
  <si>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</si>
  <si>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</si>
  <si>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</si>
  <si>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</si>
  <si>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</si>
  <si>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</si>
  <si>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</si>
  <si>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</si>
  <si>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</si>
  <si>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</si>
  <si>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</si>
  <si>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</si>
  <si>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</si>
  <si>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</si>
  <si>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</si>
  <si>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</si>
  <si>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</si>
  <si>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</si>
  <si>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</si>
  <si>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</si>
  <si>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</si>
  <si>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</si>
  <si>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</si>
  <si>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</si>
  <si>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</si>
  <si>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</si>
  <si>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</si>
  <si>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</si>
  <si>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</si>
  <si>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</si>
  <si>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</si>
  <si>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</si>
  <si>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</si>
  <si>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</si>
  <si>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</si>
  <si>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</si>
  <si>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</si>
  <si>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</si>
  <si>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</si>
  <si>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</si>
  <si>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</si>
  <si>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</si>
  <si>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</si>
  <si>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</si>
  <si>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</si>
  <si>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</si>
  <si>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</si>
  <si>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</si>
  <si>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</si>
  <si>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</si>
  <si>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</si>
  <si>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</si>
  <si>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</si>
  <si>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</si>
  <si>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</si>
  <si>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</si>
  <si>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</si>
  <si>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</si>
  <si>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</si>
  <si>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</si>
  <si>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</si>
  <si>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</si>
  <si>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</si>
  <si>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</si>
  <si>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</si>
  <si>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</si>
  <si>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</si>
  <si>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</si>
  <si>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</si>
  <si>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</si>
  <si>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</si>
  <si>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</si>
  <si>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</si>
  <si>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</si>
  <si>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</si>
  <si>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</si>
  <si>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</si>
  <si>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</si>
  <si>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</si>
  <si>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</si>
  <si>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</si>
  <si>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</si>
  <si>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</si>
  <si>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</si>
  <si>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</si>
  <si>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</si>
  <si>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</si>
  <si>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</si>
  <si>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</si>
  <si>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</si>
  <si>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</si>
  <si>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</si>
  <si>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</si>
  <si>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</si>
  <si>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</si>
  <si>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</si>
  <si>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</si>
  <si>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</si>
  <si>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</si>
  <si>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</si>
  <si>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</si>
  <si>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</si>
  <si>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</si>
  <si>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</si>
  <si>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</si>
  <si>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</si>
  <si>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</si>
  <si>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</si>
  <si>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</si>
  <si>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</si>
  <si>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</si>
  <si>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</si>
  <si>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</si>
  <si>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</si>
  <si>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</si>
  <si>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</si>
  <si>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</si>
  <si>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</si>
  <si>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</si>
  <si>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</si>
  <si>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</si>
  <si>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</si>
  <si>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</si>
  <si>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</si>
  <si>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</si>
  <si>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</si>
  <si>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</si>
  <si>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</si>
  <si>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</si>
  <si>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</si>
  <si>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</si>
  <si>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</si>
  <si>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</si>
  <si>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</si>
  <si>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</si>
  <si>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</si>
  <si>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</si>
  <si>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</si>
  <si>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</si>
  <si>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</si>
  <si>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</si>
  <si>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</si>
  <si>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</si>
  <si>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</si>
  <si>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</si>
  <si>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</si>
  <si>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</si>
  <si>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</si>
  <si>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</si>
  <si>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</si>
  <si>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</si>
  <si>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</si>
  <si>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</si>
  <si>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</si>
  <si>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</si>
  <si>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</si>
  <si>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</si>
  <si>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</si>
  <si>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</si>
  <si>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</si>
  <si>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</si>
  <si>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</si>
  <si>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</si>
  <si>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</si>
  <si>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</si>
  <si>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</si>
  <si>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</si>
  <si>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</si>
  <si>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</si>
  <si>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</si>
  <si>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</si>
  <si>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</si>
  <si>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</si>
  <si>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</si>
  <si>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</si>
  <si>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</si>
  <si>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</si>
  <si>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</si>
  <si>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</si>
  <si>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</si>
  <si>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</si>
  <si>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</si>
  <si>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</si>
  <si>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</si>
  <si>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</si>
  <si>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</si>
  <si>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</si>
  <si>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</si>
  <si>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</si>
  <si>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</si>
  <si>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</si>
  <si>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</si>
  <si>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</si>
  <si>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</si>
  <si>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</si>
  <si>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</si>
  <si>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</si>
  <si>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</si>
  <si>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</si>
  <si>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</si>
  <si>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</si>
  <si>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</si>
  <si>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</si>
  <si>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</si>
  <si>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</si>
  <si>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</si>
  <si>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</si>
  <si>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</si>
  <si>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</si>
  <si>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</si>
  <si>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</si>
  <si>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</si>
  <si>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</si>
  <si>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</si>
  <si>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</si>
  <si>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</si>
  <si>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</si>
  <si>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</si>
  <si>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</si>
  <si>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</si>
  <si>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</si>
  <si>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</si>
  <si>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</si>
  <si>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</si>
  <si>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</si>
  <si>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</si>
  <si>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</si>
  <si>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</si>
  <si>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</si>
  <si>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</si>
  <si>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</si>
  <si>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</si>
  <si>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</si>
  <si>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</si>
  <si>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</si>
  <si>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</si>
  <si>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</si>
  <si>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</si>
  <si>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</si>
  <si>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</si>
  <si>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</si>
  <si>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</si>
  <si>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</si>
  <si>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</si>
  <si>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</si>
  <si>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</si>
  <si>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</si>
  <si>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</si>
  <si>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</si>
  <si>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</si>
  <si>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</si>
  <si>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</si>
  <si>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</si>
  <si>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</si>
  <si>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</si>
  <si>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</si>
  <si>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</si>
  <si>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</si>
  <si>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</si>
  <si>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</si>
  <si>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</si>
  <si>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</si>
  <si>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</si>
  <si>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</si>
  <si>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</si>
  <si>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</si>
  <si>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</si>
  <si>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</si>
  <si>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</si>
  <si>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</si>
  <si>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</si>
  <si>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</si>
  <si>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</si>
  <si>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</si>
  <si>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</si>
  <si>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</si>
  <si>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</si>
  <si>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</si>
  <si>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</si>
  <si>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</si>
  <si>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</si>
  <si>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</si>
  <si>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</si>
  <si>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</si>
  <si>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</si>
  <si>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</si>
  <si>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</si>
  <si>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</si>
  <si>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</si>
  <si>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</si>
  <si>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</si>
  <si>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</si>
  <si>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</si>
  <si>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</si>
  <si>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</si>
  <si>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</si>
  <si>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</si>
  <si>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</si>
  <si>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</si>
  <si>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</si>
  <si>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</si>
  <si>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</si>
  <si>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</si>
  <si>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</si>
  <si>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</si>
  <si>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</si>
  <si>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</si>
  <si>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</si>
  <si>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</si>
  <si>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</si>
  <si>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</si>
  <si>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</si>
  <si>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</si>
  <si>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</si>
  <si>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</si>
  <si>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</si>
  <si>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</si>
  <si>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</si>
  <si>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</si>
  <si>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</si>
  <si>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</si>
  <si>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</si>
  <si>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</si>
  <si>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</si>
  <si>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</si>
  <si>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</si>
  <si>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</si>
  <si>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</si>
  <si>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</si>
  <si>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</si>
  <si>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</si>
  <si>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</si>
  <si>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</si>
  <si>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</si>
  <si>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</si>
  <si>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</si>
  <si>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</si>
  <si>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</si>
  <si>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</si>
  <si>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</si>
  <si>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</si>
  <si>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</si>
  <si>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</si>
  <si>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</si>
  <si>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</si>
  <si>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</si>
  <si>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</si>
  <si>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</si>
  <si>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</si>
  <si>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</si>
  <si>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</si>
  <si>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</si>
  <si>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</si>
  <si>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</si>
  <si>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</si>
  <si>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</si>
  <si>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</si>
  <si>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</si>
  <si>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</si>
  <si>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</si>
  <si>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</si>
  <si>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</si>
  <si>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</si>
  <si>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</si>
  <si>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</si>
  <si>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</si>
  <si>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</si>
  <si>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</si>
  <si>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</si>
  <si>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</si>
  <si>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</si>
  <si>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</si>
  <si>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</si>
  <si>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</si>
  <si>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</si>
  <si>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</si>
  <si>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</si>
  <si>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</si>
  <si>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</si>
  <si>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</si>
  <si>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</si>
  <si>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</si>
  <si>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</si>
  <si>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</si>
  <si>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</si>
  <si>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</si>
  <si>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</si>
  <si>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</si>
  <si>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</si>
  <si>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</si>
  <si>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</si>
  <si>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</si>
  <si>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</si>
  <si>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</si>
  <si>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</si>
  <si>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</si>
  <si>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</si>
  <si>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</si>
  <si>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</si>
  <si>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</si>
  <si>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</si>
  <si>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</si>
  <si>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</si>
  <si>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</si>
  <si>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</si>
  <si>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</si>
  <si>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</si>
  <si>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</si>
  <si>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</si>
  <si>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</si>
  <si>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</si>
  <si>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</si>
  <si>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</si>
  <si>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</si>
  <si>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</si>
  <si>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</si>
  <si>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</si>
  <si>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</si>
  <si>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</si>
  <si>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</si>
  <si>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</si>
  <si>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</si>
  <si>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</si>
  <si>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</si>
  <si>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</si>
  <si>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</si>
  <si>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</si>
  <si>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</si>
  <si>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</si>
  <si>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</si>
  <si>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</si>
  <si>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</si>
  <si>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</si>
  <si>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</si>
  <si>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</si>
  <si>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</si>
  <si>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</si>
  <si>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</si>
  <si>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</si>
  <si>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</si>
  <si>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</si>
  <si>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</si>
  <si>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</si>
  <si>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</si>
  <si>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</si>
  <si>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</si>
  <si>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</si>
  <si>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</si>
  <si>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</si>
  <si>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</si>
  <si>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</si>
  <si>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</si>
  <si>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</si>
  <si>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</si>
  <si>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</si>
  <si>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</si>
  <si>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</si>
  <si>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</si>
  <si>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</si>
  <si>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</si>
  <si>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</si>
  <si>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</si>
  <si>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</si>
  <si>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</si>
  <si>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</si>
  <si>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</si>
  <si>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</si>
  <si>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</si>
  <si>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</si>
  <si>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</si>
  <si>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</si>
  <si>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</si>
  <si>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</si>
  <si>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</si>
  <si>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</si>
  <si>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</si>
  <si>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</si>
  <si>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</si>
  <si>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</si>
  <si>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</si>
  <si>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</si>
  <si>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</si>
  <si>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</si>
  <si>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</si>
  <si>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</si>
  <si>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</si>
  <si>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</si>
  <si>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</si>
  <si>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</si>
  <si>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</si>
  <si>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</si>
  <si>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</si>
  <si>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</si>
  <si>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</si>
  <si>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</si>
  <si>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</si>
  <si>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</si>
  <si>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</si>
  <si>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</si>
  <si>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</si>
  <si>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</si>
  <si>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</si>
  <si>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</si>
  <si>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</si>
  <si>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</si>
  <si>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</si>
  <si>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</si>
  <si>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</si>
  <si>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</si>
  <si>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</si>
  <si>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</si>
  <si>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</si>
  <si>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</si>
  <si>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</si>
  <si>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</si>
  <si>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</si>
  <si>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</si>
  <si>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</si>
  <si>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</si>
  <si>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</si>
  <si>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</si>
  <si>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</si>
  <si>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</si>
  <si>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</si>
  <si>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</si>
  <si>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</si>
  <si>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</si>
  <si>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</si>
  <si>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</si>
  <si>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</si>
  <si>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</si>
  <si>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</si>
  <si>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</si>
  <si>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</si>
  <si>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</si>
  <si>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</si>
  <si>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</si>
  <si>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</si>
  <si>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</si>
  <si>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</si>
  <si>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</si>
  <si>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</si>
  <si>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</si>
  <si>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</si>
  <si>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</si>
  <si>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</si>
  <si>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</si>
  <si>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</si>
  <si>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</si>
  <si>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</si>
  <si>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</si>
  <si>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</si>
  <si>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</si>
  <si>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</si>
  <si>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</si>
  <si>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</si>
  <si>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</si>
  <si>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</si>
  <si>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</si>
  <si>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</si>
  <si>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</si>
  <si>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</si>
  <si>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</si>
  <si>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</si>
  <si>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</si>
  <si>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</si>
  <si>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</si>
  <si>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</si>
  <si>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</si>
  <si>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</si>
  <si>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</si>
  <si>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</si>
  <si>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</si>
  <si>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</si>
  <si>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</si>
  <si>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</si>
  <si>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</si>
  <si>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</si>
  <si>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</si>
  <si>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</si>
  <si>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</si>
  <si>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</si>
  <si>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</si>
  <si>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</si>
  <si>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</si>
  <si>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</si>
  <si>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</si>
  <si>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</si>
  <si>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</si>
  <si>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</si>
  <si>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</si>
  <si>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</si>
  <si>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</si>
  <si>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</si>
  <si>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</si>
  <si>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</si>
  <si>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</si>
  <si>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</si>
  <si>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</si>
  <si>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</si>
  <si>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</si>
  <si>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</si>
  <si>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</si>
  <si>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</si>
  <si>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</si>
  <si>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</si>
  <si>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</si>
  <si>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</si>
  <si>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</si>
  <si>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</si>
  <si>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</si>
  <si>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</si>
  <si>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</si>
  <si>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</si>
  <si>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</si>
  <si>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</si>
  <si>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</si>
  <si>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</si>
  <si>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</si>
  <si>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</si>
  <si>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</si>
  <si>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</si>
  <si>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</si>
  <si>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</si>
  <si>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</si>
  <si>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</si>
  <si>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</si>
  <si>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</si>
  <si>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</si>
  <si>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</si>
  <si>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</si>
  <si>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</si>
  <si>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</si>
  <si>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</si>
  <si>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</si>
  <si>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</si>
  <si>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</si>
  <si>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</si>
  <si>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</si>
  <si>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</si>
  <si>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</si>
  <si>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</si>
  <si>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</si>
  <si>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</si>
  <si>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</si>
  <si>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</si>
  <si>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</si>
  <si>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</si>
  <si>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</si>
  <si>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</si>
  <si>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</si>
  <si>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</si>
  <si>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</si>
  <si>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</si>
  <si>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</si>
  <si>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</si>
  <si>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</si>
  <si>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</si>
  <si>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</si>
  <si>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</si>
  <si>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</si>
  <si>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</si>
  <si>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</si>
  <si>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</si>
  <si>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</si>
  <si>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</si>
  <si>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</si>
  <si>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</si>
  <si>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</si>
  <si>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</si>
  <si>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</si>
  <si>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</si>
  <si>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</si>
  <si>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</si>
  <si>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</si>
  <si>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</si>
  <si>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</si>
  <si>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</si>
  <si>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</si>
  <si>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</si>
  <si>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</si>
  <si>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</si>
  <si>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</si>
  <si>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</si>
  <si>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</si>
  <si>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</si>
  <si>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</si>
  <si>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</si>
  <si>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</si>
  <si>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</si>
  <si>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</si>
  <si>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</si>
  <si>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</si>
  <si>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</si>
  <si>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</si>
  <si>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</si>
  <si>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</si>
  <si>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</si>
  <si>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</si>
  <si>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</si>
  <si>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</si>
  <si>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</si>
  <si>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</si>
  <si>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</si>
  <si>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</si>
  <si>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</si>
  <si>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</si>
  <si>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</si>
  <si>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</si>
  <si>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</si>
  <si>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</si>
  <si>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</si>
  <si>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</si>
  <si>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</si>
  <si>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</si>
  <si>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</si>
  <si>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</si>
  <si>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</si>
  <si>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</si>
  <si>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</si>
  <si>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</si>
  <si>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</si>
  <si>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</si>
  <si>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</si>
  <si>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</si>
  <si>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</si>
  <si>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</si>
  <si>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</si>
  <si>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</si>
  <si>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</si>
  <si>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</si>
  <si>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</si>
  <si>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</si>
  <si>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</si>
  <si>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</si>
  <si>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</si>
  <si>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</si>
  <si>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</si>
  <si>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</si>
  <si>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</si>
  <si>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</si>
  <si>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</si>
  <si>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</si>
  <si>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</si>
  <si>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</si>
  <si>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</si>
  <si>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</si>
  <si>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</si>
  <si>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</si>
  <si>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</si>
  <si>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</si>
  <si>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</si>
  <si>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</si>
  <si>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</si>
  <si>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</si>
  <si>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</si>
  <si>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</si>
  <si>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</si>
  <si>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</si>
  <si>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</si>
  <si>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</si>
  <si>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</si>
  <si>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</si>
  <si>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</si>
  <si>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</si>
  <si>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</si>
  <si>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</si>
  <si>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</si>
  <si>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</si>
  <si>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</si>
  <si>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</si>
  <si>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</si>
  <si>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</si>
  <si>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</si>
  <si>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</si>
  <si>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</si>
  <si>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</si>
  <si>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</si>
  <si>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</si>
  <si>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</si>
  <si>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</si>
  <si>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</si>
  <si>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</si>
  <si>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</si>
  <si>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</si>
  <si>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</si>
  <si>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</si>
  <si>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</si>
  <si>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</si>
  <si>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</si>
  <si>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</si>
  <si>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</si>
  <si>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</si>
  <si>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</si>
  <si>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</si>
  <si>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</si>
  <si>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</si>
  <si>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</si>
  <si>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</si>
  <si>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</si>
  <si>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</si>
  <si>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</si>
  <si>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</si>
  <si>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</si>
  <si>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</si>
  <si>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</si>
  <si>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</si>
  <si>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</si>
  <si>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</si>
  <si>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</si>
  <si>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</si>
  <si>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</si>
  <si>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</si>
  <si>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</si>
  <si>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</si>
  <si>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</si>
  <si>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</si>
  <si>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</si>
  <si>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</si>
  <si>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</si>
  <si>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</si>
  <si>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</si>
  <si>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</si>
  <si>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</si>
  <si>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</si>
  <si>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</si>
  <si>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</si>
  <si>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</si>
  <si>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</si>
  <si>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</si>
  <si>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</si>
  <si>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</si>
  <si>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</si>
  <si>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</si>
  <si>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</si>
  <si>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</si>
  <si>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</si>
  <si>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</si>
  <si>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</si>
  <si>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</si>
  <si>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</si>
  <si>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</si>
  <si>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</si>
  <si>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</si>
  <si>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</si>
  <si>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</si>
  <si>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</si>
  <si>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</si>
  <si>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</si>
  <si>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</si>
  <si>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</si>
  <si>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</si>
  <si>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</si>
  <si>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</si>
  <si>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</si>
  <si>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</si>
  <si>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</si>
  <si>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</si>
  <si>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</si>
  <si>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</si>
  <si>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</si>
  <si>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</si>
  <si>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</si>
  <si>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</si>
  <si>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</si>
  <si>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</si>
  <si>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</si>
  <si>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</si>
  <si>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</si>
  <si>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</si>
  <si>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</si>
  <si>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</si>
  <si>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</si>
  <si>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</si>
  <si>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</si>
  <si>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</si>
  <si>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</si>
  <si>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</si>
  <si>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</si>
  <si>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</si>
  <si>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</si>
  <si>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</si>
  <si>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</si>
  <si>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</si>
  <si>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</si>
  <si>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</si>
  <si>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</si>
  <si>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</si>
  <si>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</si>
  <si>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</si>
  <si>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</si>
  <si>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</si>
  <si>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</si>
  <si>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</si>
  <si>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</si>
  <si>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</si>
  <si>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</si>
  <si>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</si>
  <si>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</si>
  <si>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</si>
  <si>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</si>
  <si>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</si>
  <si>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</si>
  <si>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</si>
  <si>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</si>
  <si>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</si>
  <si>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</si>
  <si>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</si>
  <si>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</si>
  <si>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</si>
  <si>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</si>
  <si>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</si>
  <si>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</si>
  <si>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</si>
  <si>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</si>
  <si>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</si>
  <si>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</si>
  <si>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</si>
  <si>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</si>
  <si>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</si>
  <si>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</si>
  <si>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</si>
  <si>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</si>
  <si>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</si>
  <si>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</si>
  <si>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</si>
  <si>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</si>
  <si>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</si>
  <si>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</si>
  <si>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</si>
  <si>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</si>
  <si>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</si>
  <si>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</si>
  <si>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</si>
  <si>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</si>
  <si>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</si>
  <si>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</si>
  <si>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</si>
  <si>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</si>
  <si>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</si>
  <si>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</si>
  <si>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</si>
  <si>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</si>
  <si>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</si>
  <si>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</si>
  <si>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</si>
  <si>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</si>
  <si>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</si>
  <si>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</si>
  <si>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</si>
  <si>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</si>
  <si>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</si>
  <si>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</si>
  <si>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</si>
  <si>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</si>
  <si>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</si>
  <si>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</si>
  <si>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</si>
  <si>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</si>
  <si>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</si>
  <si>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</si>
  <si>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</si>
  <si>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</si>
  <si>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</si>
  <si>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</si>
  <si>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</si>
  <si>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</si>
  <si>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</si>
  <si>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</si>
  <si>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</si>
  <si>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</si>
  <si>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</si>
  <si>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</si>
  <si>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</si>
  <si>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</si>
  <si>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</si>
  <si>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</si>
  <si>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</si>
  <si>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</si>
  <si>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</si>
  <si>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</si>
  <si>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</si>
  <si>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</si>
  <si>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</si>
  <si>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</si>
  <si>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</si>
  <si>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</si>
  <si>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</si>
  <si>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</si>
  <si>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</si>
  <si>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</si>
  <si>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</si>
  <si>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</si>
  <si>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</si>
  <si>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</si>
  <si>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</si>
  <si>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</si>
  <si>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</si>
  <si>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</si>
  <si>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</si>
  <si>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</si>
  <si>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</si>
  <si>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</si>
  <si>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</si>
  <si>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</si>
  <si>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</si>
  <si>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</si>
  <si>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</si>
  <si>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</si>
  <si>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</si>
  <si>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</si>
  <si>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</si>
  <si>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</si>
  <si>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</si>
  <si>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</si>
  <si>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</si>
  <si>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</si>
  <si>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</si>
  <si>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</si>
  <si>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</si>
  <si>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</si>
  <si>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</si>
  <si>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</si>
  <si>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</si>
  <si>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</si>
  <si>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</si>
  <si>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</si>
  <si>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</si>
  <si>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</si>
  <si>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</si>
  <si>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</si>
  <si>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</si>
  <si>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</si>
  <si>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</si>
  <si>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</si>
  <si>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</si>
  <si>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</si>
  <si>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</si>
  <si>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</si>
  <si>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</si>
  <si>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</si>
  <si>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</si>
  <si>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</si>
  <si>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</si>
  <si>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</si>
  <si>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</si>
  <si>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</si>
  <si>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</si>
  <si>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</si>
  <si>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</si>
  <si>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</si>
  <si>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</si>
  <si>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</si>
  <si>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</si>
  <si>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</si>
  <si>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</si>
  <si>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</si>
  <si>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</si>
  <si>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</si>
  <si>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</si>
  <si>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</si>
  <si>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</si>
  <si>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</si>
  <si>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</si>
  <si>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</si>
  <si>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</si>
  <si>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</si>
  <si>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</si>
  <si>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</si>
  <si>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</si>
  <si>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</si>
  <si>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</si>
  <si>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</si>
  <si>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</si>
  <si>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</si>
  <si>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</si>
  <si>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</si>
  <si>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</si>
  <si>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</si>
  <si>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</si>
  <si>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</si>
  <si>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</si>
  <si>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</si>
  <si>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</si>
  <si>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</si>
  <si>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</si>
  <si>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</si>
  <si>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</si>
  <si>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</si>
  <si>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</si>
  <si>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</si>
  <si>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</si>
  <si>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</si>
  <si>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</si>
  <si>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</si>
  <si>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</si>
  <si>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</si>
  <si>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</si>
  <si>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</si>
  <si>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</si>
  <si>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</si>
  <si>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</si>
  <si>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</si>
  <si>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</si>
  <si>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</si>
  <si>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</si>
  <si>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</si>
  <si>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</si>
  <si>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</si>
  <si>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</si>
  <si>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</si>
  <si>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</si>
  <si>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</si>
  <si>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</si>
  <si>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</si>
  <si>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</si>
  <si>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</si>
  <si>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</si>
  <si>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</si>
  <si>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</si>
  <si>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</si>
  <si>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</si>
  <si>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</si>
  <si>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</si>
  <si>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</si>
  <si>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</si>
  <si>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</si>
  <si>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</si>
  <si>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</si>
  <si>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</si>
  <si>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</si>
  <si>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</si>
  <si>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</si>
  <si>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</si>
  <si>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</si>
  <si>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</si>
  <si>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</si>
  <si>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</si>
  <si>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</si>
  <si>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</si>
  <si>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</si>
  <si>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</si>
  <si>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</si>
  <si>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</si>
  <si>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</si>
  <si>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</si>
  <si>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</si>
  <si>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</si>
  <si>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</si>
  <si>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</si>
  <si>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</si>
  <si>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</si>
  <si>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</si>
  <si>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</si>
  <si>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</si>
  <si>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</si>
  <si>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</si>
  <si>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</si>
  <si>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</si>
  <si>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</si>
  <si>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</si>
  <si>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</si>
  <si>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</si>
  <si>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</si>
  <si>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</si>
  <si>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</si>
  <si>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</si>
  <si>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</si>
  <si>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</si>
  <si>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</si>
  <si>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</si>
  <si>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</si>
  <si>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</si>
  <si>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</si>
  <si>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</si>
  <si>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</si>
  <si>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</si>
  <si>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</si>
  <si>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</si>
  <si>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</si>
  <si>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</si>
  <si>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</si>
  <si>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</si>
  <si>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</si>
  <si>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</si>
  <si>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</si>
  <si>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</si>
  <si>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</si>
  <si>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</si>
  <si>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</si>
  <si>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</si>
  <si>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</si>
  <si>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</si>
  <si>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</si>
  <si>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</si>
  <si>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</si>
  <si>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</si>
  <si>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</si>
  <si>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</si>
  <si>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</si>
  <si>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</si>
  <si>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</si>
  <si>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</si>
  <si>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</si>
  <si>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</si>
  <si>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</si>
  <si>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</si>
  <si>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</si>
  <si>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</si>
  <si>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</si>
  <si>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</si>
  <si>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</si>
  <si>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</si>
  <si>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</si>
  <si>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</si>
  <si>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</si>
  <si>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</si>
  <si>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</si>
  <si>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</si>
  <si>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</si>
  <si>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</si>
  <si>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</si>
  <si>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</si>
  <si>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</si>
  <si>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</si>
  <si>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</si>
  <si>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</si>
  <si>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</si>
  <si>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</si>
  <si>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</si>
  <si>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</si>
  <si>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</si>
  <si>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</si>
  <si>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</si>
  <si>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</si>
  <si>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</si>
  <si>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</si>
  <si>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</si>
  <si>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</si>
  <si>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</si>
  <si>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</si>
  <si>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</si>
  <si>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</si>
  <si>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</si>
  <si>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</si>
  <si>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</si>
  <si>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</si>
  <si>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</si>
  <si>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</si>
  <si>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</si>
  <si>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</si>
  <si>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</si>
  <si>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</si>
  <si>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</si>
  <si>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</si>
  <si>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</si>
  <si>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</si>
  <si>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</si>
  <si>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</si>
  <si>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</si>
  <si>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</si>
  <si>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</si>
  <si>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</si>
  <si>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</si>
  <si>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</si>
  <si>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</si>
  <si>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</si>
  <si>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</si>
  <si>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</si>
  <si>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</si>
  <si>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</si>
  <si>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</si>
  <si>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</si>
  <si>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</si>
  <si>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</si>
  <si>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</si>
  <si>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</si>
  <si>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</si>
  <si>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</si>
  <si>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</si>
  <si>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</si>
  <si>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</si>
  <si>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</si>
  <si>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</si>
  <si>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</si>
  <si>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</si>
  <si>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</si>
  <si>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</si>
  <si>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</si>
  <si>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</si>
  <si>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</si>
  <si>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</si>
  <si>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</si>
  <si>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</si>
  <si>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</si>
  <si>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</si>
  <si>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</si>
  <si>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</si>
  <si>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</si>
  <si>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</si>
  <si>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</si>
  <si>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</si>
  <si>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</si>
  <si>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</si>
  <si>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</si>
  <si>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</si>
  <si>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</si>
  <si>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</si>
  <si>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</si>
  <si>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</si>
  <si>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</si>
  <si>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</si>
  <si>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</si>
  <si>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</si>
  <si>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</si>
  <si>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</si>
  <si>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</si>
  <si>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</si>
  <si>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</si>
  <si>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</si>
  <si>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</si>
  <si>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</si>
  <si>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</si>
  <si>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</si>
  <si>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</si>
  <si>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</si>
  <si>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</si>
  <si>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</si>
  <si>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</si>
  <si>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</si>
  <si>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</si>
  <si>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</si>
  <si>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</si>
  <si>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</si>
  <si>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</si>
  <si>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</si>
  <si>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</si>
  <si>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</si>
  <si>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</si>
  <si>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</si>
  <si>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</si>
  <si>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</si>
  <si>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</si>
  <si>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</si>
  <si>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</si>
  <si>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</si>
  <si>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</si>
  <si>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</si>
  <si>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</si>
  <si>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</si>
  <si>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</si>
  <si>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</si>
  <si>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</si>
  <si>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</si>
  <si>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</si>
  <si>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</si>
  <si>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</si>
  <si>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</si>
  <si>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</si>
  <si>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</si>
  <si>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</si>
  <si>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</si>
  <si>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</si>
  <si>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</si>
  <si>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</si>
  <si>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</si>
  <si>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</si>
  <si>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</si>
  <si>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</si>
  <si>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</si>
  <si>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</si>
  <si>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</si>
  <si>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</si>
  <si>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</si>
  <si>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</si>
  <si>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</si>
  <si>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</si>
  <si>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</si>
  <si>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</si>
  <si>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</si>
  <si>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</si>
  <si>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</si>
  <si>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</si>
  <si>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</si>
  <si>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</si>
  <si>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</si>
  <si>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</si>
  <si>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</si>
  <si>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</si>
  <si>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</si>
  <si>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</si>
  <si>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</si>
  <si>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</si>
  <si>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</si>
  <si>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</si>
  <si>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</si>
  <si>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</si>
  <si>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</si>
  <si>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</si>
  <si>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</si>
  <si>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</si>
  <si>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</si>
  <si>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</si>
  <si>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</si>
  <si>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</si>
  <si>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</si>
  <si>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</si>
  <si>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</si>
  <si>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</si>
  <si>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</si>
  <si>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</si>
  <si>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</si>
  <si>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</si>
  <si>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</si>
  <si>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</si>
  <si>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</si>
  <si>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</si>
  <si>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</si>
  <si>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</si>
  <si>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</si>
  <si>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</si>
  <si>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</si>
  <si>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</si>
  <si>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</si>
  <si>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</si>
  <si>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</si>
  <si>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</si>
  <si>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</si>
  <si>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</si>
  <si>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</si>
  <si>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</si>
  <si>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</si>
  <si>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</si>
  <si>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</si>
  <si>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</si>
  <si>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</si>
  <si>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</si>
  <si>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</si>
  <si>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</si>
  <si>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</si>
  <si>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</si>
  <si>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</si>
  <si>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</si>
  <si>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</si>
  <si>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</si>
  <si>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</si>
  <si>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</si>
  <si>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</si>
  <si>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</si>
  <si>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</si>
  <si>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</si>
  <si>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</si>
  <si>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</si>
  <si>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</si>
  <si>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</si>
  <si>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</si>
  <si>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</si>
  <si>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</si>
  <si>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</si>
  <si>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</si>
  <si>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</si>
  <si>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</si>
  <si>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</si>
  <si>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</si>
  <si>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</si>
  <si>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</si>
  <si>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</si>
  <si>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</si>
  <si>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</si>
  <si>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</si>
  <si>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</si>
  <si>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</si>
  <si>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</si>
  <si>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</si>
  <si>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</si>
  <si>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</si>
  <si>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</si>
  <si>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</si>
  <si>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</si>
  <si>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</si>
  <si>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</si>
  <si>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</si>
  <si>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</si>
  <si>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</si>
  <si>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</si>
  <si>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</si>
  <si>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</si>
  <si>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</si>
  <si>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</si>
  <si>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</si>
  <si>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</si>
  <si>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</si>
  <si>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</si>
  <si>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</si>
  <si>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</si>
  <si>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</si>
  <si>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</si>
  <si>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</si>
  <si>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</si>
  <si>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</si>
  <si>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</si>
  <si>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</si>
  <si>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</si>
  <si>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</si>
  <si>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</si>
  <si>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</si>
  <si>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</si>
  <si>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</si>
  <si>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</si>
  <si>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</si>
  <si>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</si>
  <si>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</si>
  <si>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</si>
  <si>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</si>
  <si>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</si>
  <si>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</si>
  <si>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</si>
  <si>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</si>
  <si>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</si>
  <si>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</si>
  <si>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</si>
  <si>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</si>
  <si>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</si>
  <si>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</si>
  <si>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</si>
  <si>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</si>
  <si>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</si>
  <si>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</si>
  <si>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</si>
  <si>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</si>
  <si>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</si>
  <si>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</si>
  <si>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</si>
  <si>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</si>
  <si>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</si>
  <si>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</si>
  <si>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</si>
  <si>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</si>
  <si>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</si>
  <si>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</si>
  <si>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</si>
  <si>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</si>
  <si>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</si>
  <si>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</si>
  <si>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</si>
  <si>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</si>
  <si>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</si>
  <si>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</si>
  <si>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</si>
  <si>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</si>
  <si>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</si>
  <si>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</si>
  <si>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</si>
  <si>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</si>
  <si>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</si>
  <si>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</si>
  <si>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</si>
  <si>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</si>
  <si>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</si>
  <si>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</si>
  <si>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</si>
  <si>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</si>
  <si>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</si>
  <si>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</si>
  <si>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</si>
  <si>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</si>
  <si>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</si>
  <si>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</si>
  <si>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</si>
  <si>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</si>
  <si>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</si>
  <si>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</si>
  <si>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</si>
  <si>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</si>
  <si>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</si>
  <si>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</si>
  <si>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</si>
  <si>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</si>
  <si>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</si>
  <si>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</si>
  <si>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</si>
  <si>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</si>
  <si>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</si>
  <si>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</si>
  <si>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</si>
  <si>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</si>
  <si>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</si>
  <si>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</si>
  <si>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</si>
  <si>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</si>
  <si>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</si>
  <si>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</si>
  <si>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</si>
  <si>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</si>
  <si>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</si>
  <si>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</si>
  <si>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</si>
  <si>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</si>
  <si>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</si>
  <si>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</si>
  <si>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</si>
  <si>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</si>
  <si>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</si>
  <si>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</si>
  <si>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</si>
  <si>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</si>
  <si>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</si>
  <si>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</si>
  <si>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</si>
  <si>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</si>
  <si>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</si>
  <si>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</si>
  <si>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</si>
  <si>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</si>
  <si>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</si>
  <si>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</si>
  <si>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</si>
  <si>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</si>
  <si>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</si>
  <si>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</si>
  <si>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</si>
  <si>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</si>
  <si>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</si>
  <si>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</si>
  <si>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</si>
  <si>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</si>
  <si>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</si>
  <si>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</si>
  <si>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</si>
  <si>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</si>
  <si>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</si>
  <si>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</si>
  <si>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</si>
  <si>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</si>
  <si>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</si>
  <si>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</si>
  <si>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</si>
  <si>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</si>
  <si>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</si>
  <si>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</si>
  <si>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</si>
  <si>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</si>
  <si>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</si>
  <si>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</si>
  <si>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</si>
  <si>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</si>
  <si>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</si>
  <si>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</si>
  <si>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</si>
  <si>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</si>
  <si>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</si>
  <si>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</si>
  <si>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</si>
  <si>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</si>
  <si>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</si>
  <si>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</si>
  <si>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</si>
  <si>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</si>
  <si>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</si>
  <si>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</si>
  <si>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</si>
  <si>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</si>
  <si>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</si>
  <si>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</si>
  <si>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</si>
  <si>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</si>
  <si>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</si>
  <si>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</si>
  <si>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</si>
  <si>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</si>
  <si>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</si>
  <si>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</si>
  <si>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</si>
  <si>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</si>
  <si>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</si>
  <si>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</si>
  <si>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</si>
  <si>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</si>
  <si>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</si>
  <si>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</si>
  <si>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</si>
  <si>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</si>
  <si>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</si>
  <si>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</si>
  <si>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</si>
  <si>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</si>
  <si>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</si>
  <si>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</si>
  <si>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</si>
  <si>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</si>
  <si>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</si>
  <si>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</si>
  <si>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</si>
  <si>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</si>
  <si>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</si>
  <si>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</si>
  <si>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</si>
  <si>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</si>
  <si>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</si>
  <si>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</si>
  <si>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</si>
  <si>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</si>
  <si>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</si>
  <si>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</si>
  <si>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</si>
  <si>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</si>
  <si>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</si>
  <si>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</si>
  <si>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</si>
  <si>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</si>
  <si>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</si>
  <si>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</si>
  <si>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FP UDIS 4 - Dr. Pablo Paz</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</si>
  <si>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</si>
  <si>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</si>
  <si>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</si>
  <si>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</si>
  <si>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</si>
  <si>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</si>
  <si>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</si>
  <si>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</si>
  <si>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</si>
  <si>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</si>
  <si>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</si>
  <si>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</si>
  <si>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</si>
  <si>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</si>
  <si>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</si>
  <si>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</si>
  <si>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</si>
  <si>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</si>
  <si>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GARNICA, LUCAS FERNANDO ULISES POR LESINOES Y AMENAZAS CON ARMA AGRAVADA POR EL VINCULO en perjuicio de Barrionuevo, Daniela María</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</si>
  <si>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</si>
  <si>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</si>
  <si>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</si>
  <si>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</si>
  <si>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</si>
  <si>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</si>
  <si>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</si>
  <si>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</si>
  <si>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</si>
  <si>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</si>
  <si>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</si>
  <si>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</si>
  <si>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</si>
  <si>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</si>
  <si>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</si>
  <si>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</si>
  <si>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</si>
  <si>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</si>
  <si>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</si>
  <si>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</si>
  <si>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</si>
  <si>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</si>
  <si>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</si>
  <si>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</si>
  <si>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</si>
  <si>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</si>
  <si>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</si>
  <si>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</si>
  <si>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</si>
  <si>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</si>
  <si>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</si>
  <si>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</si>
  <si>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</si>
  <si>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</si>
  <si>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</si>
  <si>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</si>
  <si>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</si>
  <si>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</si>
  <si>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</si>
  <si>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</si>
  <si>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</si>
  <si>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</si>
  <si>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</si>
  <si>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</si>
  <si>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</si>
  <si>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</si>
  <si>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</si>
  <si>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</si>
  <si>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</si>
  <si>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</si>
  <si>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</si>
  <si>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</si>
  <si>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VILLABA, ENRIQUE SEBASTIAN POR ROBO CALIFICADO POR LAS CIRCUANTANCIAS DE HURTO CALIFICADO EN PERJUICIO DE SORUCCO GARCIA, CARMEN SILVIA</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</si>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</sst>
</file>

<file path=xl/styles.xml><?xml version="1.0" encoding="utf-8"?>
<styleSheet xmlns="http://schemas.openxmlformats.org/spreadsheetml/2006/main">
  <numFmts count="2">
    <numFmt numFmtId="164" formatCode="dd/mm/yyyy;@"/>
    <numFmt numFmtId="165" formatCode="0.0%"/>
  </numFmts>
  <fonts count="50">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39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8" fillId="0" borderId="0" xfId="1" applyFont="1" applyAlignment="1"/>
    <xf numFmtId="0" fontId="38" fillId="0" borderId="0" xfId="1" applyFont="1" applyBorder="1" applyAlignment="1">
      <alignment vertical="center"/>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7"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164" fontId="4" fillId="0" borderId="2" xfId="0" applyNumberFormat="1" applyFont="1" applyFill="1" applyBorder="1" applyAlignment="1">
      <alignment horizontal="center" vertical="center" wrapText="1"/>
    </xf>
    <xf numFmtId="164" fontId="4" fillId="0" borderId="1" xfId="0" applyNumberFormat="1" applyFont="1" applyFill="1" applyBorder="1" applyAlignment="1">
      <alignment horizontal="center" vertical="center" wrapText="1"/>
    </xf>
    <xf numFmtId="164" fontId="0" fillId="0" borderId="0" xfId="0" applyNumberFormat="1" applyFill="1" applyAlignment="1">
      <alignment horizontal="center" vertical="center" wrapText="1"/>
    </xf>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49" fontId="2" fillId="13" borderId="0" xfId="0" applyNumberFormat="1" applyFont="1" applyFill="1" applyAlignment="1">
      <alignment horizontal="center" vertical="center"/>
    </xf>
    <xf numFmtId="0" fontId="2" fillId="13"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7"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2" fillId="10" borderId="1"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37"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164" fontId="0" fillId="11" borderId="12" xfId="0" applyNumberFormat="1" applyFill="1" applyBorder="1" applyAlignment="1">
      <alignment horizontal="center" vertical="center" wrapText="1"/>
    </xf>
    <xf numFmtId="164" fontId="4" fillId="11" borderId="12" xfId="0" applyNumberFormat="1" applyFont="1" applyFill="1" applyBorder="1" applyAlignment="1">
      <alignment horizontal="center" vertical="center" wrapText="1"/>
    </xf>
    <xf numFmtId="0" fontId="0" fillId="11" borderId="0" xfId="0" applyFill="1" applyAlignment="1">
      <alignment horizontal="center" vertical="center" wrapText="1"/>
    </xf>
    <xf numFmtId="0" fontId="2" fillId="11" borderId="2" xfId="0" applyNumberFormat="1" applyFont="1" applyFill="1" applyBorder="1" applyAlignment="1">
      <alignment horizontal="left"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49" fontId="0" fillId="11" borderId="1" xfId="0" applyNumberForma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1" fontId="2" fillId="11" borderId="6" xfId="0" applyNumberFormat="1" applyFont="1" applyFill="1" applyBorder="1" applyAlignment="1">
      <alignment horizontal="center" vertical="center" wrapText="1"/>
    </xf>
    <xf numFmtId="0" fontId="0" fillId="11" borderId="1" xfId="0" applyFill="1" applyBorder="1" applyAlignment="1">
      <alignment horizontal="center" vertical="center" wrapText="1"/>
    </xf>
    <xf numFmtId="0" fontId="0" fillId="11" borderId="3" xfId="0"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xf numFmtId="49" fontId="2" fillId="13" borderId="1" xfId="0" applyNumberFormat="1" applyFont="1" applyFill="1" applyBorder="1" applyAlignment="1">
      <alignment horizontal="center" vertical="center"/>
    </xf>
    <xf numFmtId="0" fontId="0" fillId="13" borderId="1" xfId="0" applyFill="1" applyBorder="1" applyAlignment="1">
      <alignment horizontal="center" vertical="center" wrapText="1"/>
    </xf>
    <xf numFmtId="20" fontId="0" fillId="13" borderId="1" xfId="0" applyNumberFormat="1" applyFill="1" applyBorder="1" applyAlignment="1">
      <alignment horizontal="center" vertical="center" wrapText="1"/>
    </xf>
    <xf numFmtId="0" fontId="2" fillId="13" borderId="1" xfId="0" applyNumberFormat="1" applyFont="1" applyFill="1" applyBorder="1" applyAlignment="1">
      <alignment horizontal="left" vertical="center" wrapText="1"/>
    </xf>
    <xf numFmtId="49" fontId="2" fillId="13" borderId="0" xfId="0" applyNumberFormat="1" applyFont="1" applyFill="1" applyAlignment="1">
      <alignment horizontal="center" vertical="center" wrapText="1"/>
    </xf>
    <xf numFmtId="49" fontId="2" fillId="13" borderId="2" xfId="0" applyNumberFormat="1" applyFont="1" applyFill="1" applyBorder="1" applyAlignment="1">
      <alignment horizontal="center" vertical="center"/>
    </xf>
    <xf numFmtId="49" fontId="2" fillId="13" borderId="1" xfId="0" applyNumberFormat="1" applyFont="1" applyFill="1" applyBorder="1" applyAlignment="1">
      <alignment horizontal="center" vertical="center" wrapText="1"/>
    </xf>
    <xf numFmtId="49" fontId="2" fillId="13" borderId="2" xfId="0" applyNumberFormat="1" applyFont="1" applyFill="1" applyBorder="1" applyAlignment="1">
      <alignment horizontal="center" vertical="center" wrapText="1"/>
    </xf>
  </cellXfs>
  <cellStyles count="3">
    <cellStyle name="Normal" xfId="0" builtinId="0"/>
    <cellStyle name="Normal 2" xfId="1"/>
    <cellStyle name="Porcentual" xfId="2" builtinId="5"/>
  </cellStyles>
  <dxfs count="430">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Ana Irazust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5716"/>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76644864"/>
        <c:axId val="176646400"/>
      </c:barChart>
      <c:catAx>
        <c:axId val="176644864"/>
        <c:scaling>
          <c:orientation val="minMax"/>
        </c:scaling>
        <c:axPos val="b"/>
        <c:majorTickMark val="none"/>
        <c:tickLblPos val="nextTo"/>
        <c:txPr>
          <a:bodyPr/>
          <a:lstStyle/>
          <a:p>
            <a:pPr>
              <a:defRPr lang="es-ES"/>
            </a:pPr>
            <a:endParaRPr lang="es-ES"/>
          </a:p>
        </c:txPr>
        <c:crossAx val="176646400"/>
        <c:crosses val="autoZero"/>
        <c:auto val="1"/>
        <c:lblAlgn val="ctr"/>
        <c:lblOffset val="100"/>
      </c:catAx>
      <c:valAx>
        <c:axId val="176646400"/>
        <c:scaling>
          <c:orientation val="minMax"/>
        </c:scaling>
        <c:axPos val="l"/>
        <c:majorGridlines/>
        <c:numFmt formatCode="General" sourceLinked="1"/>
        <c:majorTickMark val="none"/>
        <c:tickLblPos val="nextTo"/>
        <c:txPr>
          <a:bodyPr/>
          <a:lstStyle/>
          <a:p>
            <a:pPr>
              <a:defRPr lang="es-ES"/>
            </a:pPr>
            <a:endParaRPr lang="es-ES"/>
          </a:p>
        </c:txPr>
        <c:crossAx val="176644864"/>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75207552"/>
        <c:axId val="175209088"/>
      </c:barChart>
      <c:catAx>
        <c:axId val="175207552"/>
        <c:scaling>
          <c:orientation val="minMax"/>
        </c:scaling>
        <c:axPos val="b"/>
        <c:majorTickMark val="none"/>
        <c:tickLblPos val="nextTo"/>
        <c:txPr>
          <a:bodyPr/>
          <a:lstStyle/>
          <a:p>
            <a:pPr>
              <a:defRPr lang="es-ES"/>
            </a:pPr>
            <a:endParaRPr lang="es-ES"/>
          </a:p>
        </c:txPr>
        <c:crossAx val="175209088"/>
        <c:crosses val="autoZero"/>
        <c:auto val="1"/>
        <c:lblAlgn val="ctr"/>
        <c:lblOffset val="100"/>
      </c:catAx>
      <c:valAx>
        <c:axId val="175209088"/>
        <c:scaling>
          <c:orientation val="minMax"/>
        </c:scaling>
        <c:axPos val="l"/>
        <c:majorGridlines/>
        <c:numFmt formatCode="General" sourceLinked="1"/>
        <c:majorTickMark val="none"/>
        <c:tickLblPos val="nextTo"/>
        <c:txPr>
          <a:bodyPr/>
          <a:lstStyle/>
          <a:p>
            <a:pPr>
              <a:defRPr lang="es-ES"/>
            </a:pPr>
            <a:endParaRPr lang="es-ES"/>
          </a:p>
        </c:txPr>
        <c:crossAx val="17520755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76777088"/>
        <c:axId val="176778624"/>
      </c:barChart>
      <c:catAx>
        <c:axId val="176777088"/>
        <c:scaling>
          <c:orientation val="minMax"/>
        </c:scaling>
        <c:axPos val="b"/>
        <c:majorTickMark val="none"/>
        <c:tickLblPos val="nextTo"/>
        <c:txPr>
          <a:bodyPr/>
          <a:lstStyle/>
          <a:p>
            <a:pPr>
              <a:defRPr lang="es-ES"/>
            </a:pPr>
            <a:endParaRPr lang="es-ES"/>
          </a:p>
        </c:txPr>
        <c:crossAx val="176778624"/>
        <c:crosses val="autoZero"/>
        <c:auto val="1"/>
        <c:lblAlgn val="ctr"/>
        <c:lblOffset val="100"/>
      </c:catAx>
      <c:valAx>
        <c:axId val="17677862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677708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76814336"/>
        <c:axId val="176562176"/>
      </c:barChart>
      <c:catAx>
        <c:axId val="176814336"/>
        <c:scaling>
          <c:orientation val="minMax"/>
        </c:scaling>
        <c:axPos val="b"/>
        <c:majorTickMark val="none"/>
        <c:tickLblPos val="nextTo"/>
        <c:txPr>
          <a:bodyPr/>
          <a:lstStyle/>
          <a:p>
            <a:pPr>
              <a:defRPr lang="es-ES"/>
            </a:pPr>
            <a:endParaRPr lang="es-ES"/>
          </a:p>
        </c:txPr>
        <c:crossAx val="176562176"/>
        <c:crosses val="autoZero"/>
        <c:auto val="1"/>
        <c:lblAlgn val="ctr"/>
        <c:lblOffset val="100"/>
      </c:catAx>
      <c:valAx>
        <c:axId val="17656217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681433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823"/>
                  <c:y val="-0.1338971461923037"/>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558"/>
                  <c:y val="-3.3544289550938321E-2"/>
                </c:manualLayout>
              </c:layout>
              <c:showVal val="1"/>
              <c:showCatName val="1"/>
              <c:showPercent val="1"/>
            </c:dLbl>
            <c:dLbl>
              <c:idx val="4"/>
              <c:layout>
                <c:manualLayout>
                  <c:x val="-0.14314243785878275"/>
                  <c:y val="-7.8679703455466363E-2"/>
                </c:manualLayout>
              </c:layout>
              <c:showVal val="1"/>
              <c:showCatName val="1"/>
              <c:showPercent val="1"/>
            </c:dLbl>
            <c:dLbl>
              <c:idx val="5"/>
              <c:layout>
                <c:manualLayout>
                  <c:x val="-4.9264472471034614E-3"/>
                  <c:y val="-5.1732777864431083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1951"/>
                  <c:y val="-3.8029270993357775E-2"/>
                </c:manualLayout>
              </c:layout>
              <c:dLblPos val="bestFit"/>
              <c:showVal val="1"/>
              <c:showCatName val="1"/>
              <c:showPercent val="1"/>
            </c:dLbl>
            <c:dLbl>
              <c:idx val="8"/>
              <c:layout>
                <c:manualLayout>
                  <c:x val="0.29249880865527378"/>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364" footer="0.31496062992130364"/>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395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7988"/>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09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52"/>
                  <c:y val="0.35111261781950898"/>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36"/>
                  <c:y val="0.10810008182188822"/>
                </c:manualLayout>
              </c:layout>
              <c:showVal val="1"/>
              <c:showCatName val="1"/>
              <c:showPercent val="1"/>
            </c:dLbl>
            <c:dLbl>
              <c:idx val="1"/>
              <c:layout>
                <c:manualLayout>
                  <c:x val="-0.34680714491641884"/>
                  <c:y val="9.8800800923204207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86E-2"/>
                  <c:y val="-0.20222138665135009"/>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15"/>
                  <c:y val="-7.8406782442156903E-2"/>
                </c:manualLayout>
              </c:layout>
              <c:showVal val="1"/>
              <c:showCatName val="1"/>
              <c:showPercent val="1"/>
            </c:dLbl>
            <c:dLbl>
              <c:idx val="10"/>
              <c:layout>
                <c:manualLayout>
                  <c:x val="0.15381044618908582"/>
                  <c:y val="3.1547200269128446E-2"/>
                </c:manualLayout>
              </c:layout>
              <c:showVal val="1"/>
              <c:showCatName val="1"/>
              <c:showPercent val="1"/>
            </c:dLbl>
            <c:dLbl>
              <c:idx val="11"/>
              <c:layout>
                <c:manualLayout>
                  <c:x val="0.19633672921484016"/>
                  <c:y val="0.149316234469928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76"/>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48"/>
                  <c:y val="0.10810008182188822"/>
                </c:manualLayout>
              </c:layout>
              <c:showVal val="1"/>
              <c:showCatName val="1"/>
              <c:showPercent val="1"/>
            </c:dLbl>
            <c:dLbl>
              <c:idx val="1"/>
              <c:layout>
                <c:manualLayout>
                  <c:x val="-0.34680714491641884"/>
                  <c:y val="9.8800800923204272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91E-2"/>
                  <c:y val="-0.20222138665135017"/>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22"/>
                  <c:y val="-7.8406782442156903E-2"/>
                </c:manualLayout>
              </c:layout>
              <c:showVal val="1"/>
              <c:showCatName val="1"/>
              <c:showPercent val="1"/>
            </c:dLbl>
            <c:dLbl>
              <c:idx val="10"/>
              <c:layout>
                <c:manualLayout>
                  <c:x val="0.15381044618908593"/>
                  <c:y val="3.1547200269128446E-2"/>
                </c:manualLayout>
              </c:layout>
              <c:showVal val="1"/>
              <c:showCatName val="1"/>
              <c:showPercent val="1"/>
            </c:dLbl>
            <c:dLbl>
              <c:idx val="11"/>
              <c:layout>
                <c:manualLayout>
                  <c:x val="0.19633672921484011"/>
                  <c:y val="0.14931623446992831"/>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82"/>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sheetData sheetId="2"/>
      <sheetData sheetId="3"/>
      <sheetData sheetId="4"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refreshError="1"/>
      <sheetData sheetId="2"/>
      <sheetData sheetId="3" refreshError="1"/>
      <sheetData sheetId="4"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as"/>
    </sheetNames>
    <sheetDataSet>
      <sheetData sheetId="0" refreshError="1"/>
      <sheetData sheetId="1"/>
      <sheetData sheetId="2"/>
      <sheetData sheetId="3"/>
      <sheetData sheetId="4"/>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60">
      <pivotArea dataOnly="0" labelOnly="1" outline="0" fieldPosition="0">
        <references count="1">
          <reference field="4" count="1">
            <x v="85"/>
          </reference>
        </references>
      </pivotArea>
    </format>
    <format dxfId="59">
      <pivotArea type="all" dataOnly="0" outline="0" fieldPosition="0"/>
    </format>
    <format dxfId="58">
      <pivotArea dataOnly="0" labelOnly="1" outline="0" fieldPosition="0">
        <references count="1">
          <reference field="4" count="1">
            <x v="85"/>
          </reference>
        </references>
      </pivotArea>
    </format>
    <format dxfId="57">
      <pivotArea field="6" type="button" dataOnly="0" labelOnly="1" outline="0" axis="axisRow" fieldPosition="0"/>
    </format>
    <format dxfId="56">
      <pivotArea dataOnly="0" labelOnly="1" fieldPosition="0">
        <references count="1">
          <reference field="6" count="3">
            <x v="0"/>
            <x v="2"/>
            <x v="8"/>
          </reference>
        </references>
      </pivotArea>
    </format>
    <format dxfId="55">
      <pivotArea dataOnly="0" labelOnly="1" outline="0" fieldPosition="0">
        <references count="1">
          <reference field="4" count="1">
            <x v="90"/>
          </reference>
        </references>
      </pivotArea>
    </format>
    <format dxfId="54">
      <pivotArea dataOnly="0" labelOnly="1" outline="0" fieldPosition="0">
        <references count="1">
          <reference field="4" count="1">
            <x v="99"/>
          </reference>
        </references>
      </pivotArea>
    </format>
    <format dxfId="53">
      <pivotArea dataOnly="0" labelOnly="1" outline="0" fieldPosition="0">
        <references count="1">
          <reference field="4" count="1">
            <x v="99"/>
          </reference>
        </references>
      </pivotArea>
    </format>
    <format dxfId="5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68">
      <pivotArea dataOnly="0" labelOnly="1" outline="0" fieldPosition="0">
        <references count="1">
          <reference field="4" count="1">
            <x v="86"/>
          </reference>
        </references>
      </pivotArea>
    </format>
    <format dxfId="67">
      <pivotArea dataOnly="0" labelOnly="1" outline="0" fieldPosition="0">
        <references count="1">
          <reference field="4" count="1">
            <x v="86"/>
          </reference>
        </references>
      </pivotArea>
    </format>
    <format dxfId="66">
      <pivotArea dataOnly="0" labelOnly="1" fieldPosition="0">
        <references count="1">
          <reference field="6" count="3">
            <x v="0"/>
            <x v="2"/>
            <x v="8"/>
          </reference>
        </references>
      </pivotArea>
    </format>
    <format dxfId="65">
      <pivotArea dataOnly="0" labelOnly="1" outline="0" fieldPosition="0">
        <references count="1">
          <reference field="4" count="1">
            <x v="91"/>
          </reference>
        </references>
      </pivotArea>
    </format>
    <format dxfId="64">
      <pivotArea dataOnly="0" labelOnly="1" outline="0" fieldPosition="0">
        <references count="1">
          <reference field="4" count="1">
            <x v="95"/>
          </reference>
        </references>
      </pivotArea>
    </format>
    <format dxfId="63">
      <pivotArea dataOnly="0" labelOnly="1" outline="0" fieldPosition="0">
        <references count="1">
          <reference field="4" count="1">
            <x v="95"/>
          </reference>
        </references>
      </pivotArea>
    </format>
    <format dxfId="62">
      <pivotArea dataOnly="0" labelOnly="1" outline="0" fieldPosition="0">
        <references count="1">
          <reference field="4" count="1">
            <x v="100"/>
          </reference>
        </references>
      </pivotArea>
    </format>
    <format dxfId="6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76">
      <pivotArea dataOnly="0" labelOnly="1" outline="0" fieldPosition="0">
        <references count="1">
          <reference field="4" count="1">
            <x v="88"/>
          </reference>
        </references>
      </pivotArea>
    </format>
    <format dxfId="75">
      <pivotArea dataOnly="0" labelOnly="1" outline="0" fieldPosition="0">
        <references count="1">
          <reference field="4" count="1">
            <x v="88"/>
          </reference>
        </references>
      </pivotArea>
    </format>
    <format dxfId="74">
      <pivotArea dataOnly="0" labelOnly="1" fieldPosition="0">
        <references count="1">
          <reference field="6" count="3">
            <x v="0"/>
            <x v="2"/>
            <x v="8"/>
          </reference>
        </references>
      </pivotArea>
    </format>
    <format dxfId="73">
      <pivotArea dataOnly="0" outline="0" fieldPosition="0">
        <references count="1">
          <reference field="4" count="1">
            <x v="92"/>
          </reference>
        </references>
      </pivotArea>
    </format>
    <format dxfId="72">
      <pivotArea dataOnly="0" labelOnly="1" outline="0" fieldPosition="0">
        <references count="1">
          <reference field="4" count="1">
            <x v="96"/>
          </reference>
        </references>
      </pivotArea>
    </format>
    <format dxfId="71">
      <pivotArea dataOnly="0" labelOnly="1" outline="0" fieldPosition="0">
        <references count="1">
          <reference field="4" count="1">
            <x v="96"/>
          </reference>
        </references>
      </pivotArea>
    </format>
    <format dxfId="70">
      <pivotArea dataOnly="0" labelOnly="1" outline="0" fieldPosition="0">
        <references count="1">
          <reference field="4" count="1">
            <x v="101"/>
          </reference>
        </references>
      </pivotArea>
    </format>
    <format dxfId="6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84">
      <pivotArea dataOnly="0" labelOnly="1" outline="0" fieldPosition="0">
        <references count="1">
          <reference field="4" count="1">
            <x v="88"/>
          </reference>
        </references>
      </pivotArea>
    </format>
    <format dxfId="83">
      <pivotArea dataOnly="0" labelOnly="1" outline="0" fieldPosition="0">
        <references count="1">
          <reference field="4" count="1">
            <x v="88"/>
          </reference>
        </references>
      </pivotArea>
    </format>
    <format dxfId="82">
      <pivotArea dataOnly="0" labelOnly="1" fieldPosition="0">
        <references count="1">
          <reference field="6" count="3">
            <x v="0"/>
            <x v="2"/>
            <x v="8"/>
          </reference>
        </references>
      </pivotArea>
    </format>
    <format dxfId="81">
      <pivotArea dataOnly="0" outline="0" fieldPosition="0">
        <references count="1">
          <reference field="4" count="1">
            <x v="92"/>
          </reference>
        </references>
      </pivotArea>
    </format>
    <format dxfId="80">
      <pivotArea dataOnly="0" labelOnly="1" outline="0" fieldPosition="0">
        <references count="1">
          <reference field="4" count="1">
            <x v="96"/>
          </reference>
        </references>
      </pivotArea>
    </format>
    <format dxfId="79">
      <pivotArea dataOnly="0" labelOnly="1" outline="0" fieldPosition="0">
        <references count="1">
          <reference field="4" count="1">
            <x v="96"/>
          </reference>
        </references>
      </pivotArea>
    </format>
    <format dxfId="78">
      <pivotArea dataOnly="0" labelOnly="1" outline="0" fieldPosition="0">
        <references count="1">
          <reference field="4" count="1">
            <x v="101"/>
          </reference>
        </references>
      </pivotArea>
    </format>
    <format dxfId="7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92">
      <pivotArea dataOnly="0" labelOnly="1" outline="0" fieldPosition="0">
        <references count="1">
          <reference field="4" count="1">
            <x v="88"/>
          </reference>
        </references>
      </pivotArea>
    </format>
    <format dxfId="91">
      <pivotArea dataOnly="0" labelOnly="1" outline="0" fieldPosition="0">
        <references count="1">
          <reference field="4" count="1">
            <x v="88"/>
          </reference>
        </references>
      </pivotArea>
    </format>
    <format dxfId="90">
      <pivotArea dataOnly="0" labelOnly="1" fieldPosition="0">
        <references count="1">
          <reference field="6" count="3">
            <x v="0"/>
            <x v="2"/>
            <x v="8"/>
          </reference>
        </references>
      </pivotArea>
    </format>
    <format dxfId="89">
      <pivotArea dataOnly="0" outline="0" fieldPosition="0">
        <references count="1">
          <reference field="4" count="1">
            <x v="92"/>
          </reference>
        </references>
      </pivotArea>
    </format>
    <format dxfId="88">
      <pivotArea dataOnly="0" labelOnly="1" outline="0" fieldPosition="0">
        <references count="1">
          <reference field="4" count="1">
            <x v="96"/>
          </reference>
        </references>
      </pivotArea>
    </format>
    <format dxfId="87">
      <pivotArea dataOnly="0" labelOnly="1" outline="0" fieldPosition="0">
        <references count="1">
          <reference field="4" count="1">
            <x v="96"/>
          </reference>
        </references>
      </pivotArea>
    </format>
    <format dxfId="86">
      <pivotArea dataOnly="0" labelOnly="1" outline="0" fieldPosition="0">
        <references count="1">
          <reference field="4" count="1">
            <x v="101"/>
          </reference>
        </references>
      </pivotArea>
    </format>
    <format dxfId="8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100">
      <pivotArea dataOnly="0" labelOnly="1" outline="0" fieldPosition="0">
        <references count="1">
          <reference field="4" count="1">
            <x v="88"/>
          </reference>
        </references>
      </pivotArea>
    </format>
    <format dxfId="99">
      <pivotArea dataOnly="0" labelOnly="1" outline="0" fieldPosition="0">
        <references count="1">
          <reference field="4" count="1">
            <x v="88"/>
          </reference>
        </references>
      </pivotArea>
    </format>
    <format dxfId="98">
      <pivotArea dataOnly="0" labelOnly="1" fieldPosition="0">
        <references count="1">
          <reference field="6" count="3">
            <x v="0"/>
            <x v="2"/>
            <x v="8"/>
          </reference>
        </references>
      </pivotArea>
    </format>
    <format dxfId="97">
      <pivotArea dataOnly="0" outline="0" fieldPosition="0">
        <references count="1">
          <reference field="4" count="1">
            <x v="92"/>
          </reference>
        </references>
      </pivotArea>
    </format>
    <format dxfId="96">
      <pivotArea dataOnly="0" labelOnly="1" outline="0" fieldPosition="0">
        <references count="1">
          <reference field="4" count="1">
            <x v="96"/>
          </reference>
        </references>
      </pivotArea>
    </format>
    <format dxfId="95">
      <pivotArea dataOnly="0" labelOnly="1" outline="0" fieldPosition="0">
        <references count="1">
          <reference field="4" count="1">
            <x v="96"/>
          </reference>
        </references>
      </pivotArea>
    </format>
    <format dxfId="94">
      <pivotArea dataOnly="0" labelOnly="1" outline="0" fieldPosition="0">
        <references count="1">
          <reference field="4" count="1">
            <x v="101"/>
          </reference>
        </references>
      </pivotArea>
    </format>
    <format dxfId="9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60"/>
  <sheetViews>
    <sheetView tabSelected="1" zoomScale="75" zoomScaleNormal="75" zoomScaleSheetLayoutView="55" workbookViewId="0">
      <pane ySplit="2" topLeftCell="A16" activePane="bottomLeft" state="frozen"/>
      <selection pane="bottomLeft" activeCell="G32" sqref="G32"/>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48"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57</v>
      </c>
      <c r="B1" s="209" t="str">
        <f xml:space="preserve"> COUNTIF(O:O,"NO") &amp;
"                                      -                          "                 &amp; COUNTIF(O:O,"LIMBO")</f>
        <v>0                                      -                          0</v>
      </c>
      <c r="C1" s="209">
        <f xml:space="preserve"> COUNTIF(O:O,"SI")</f>
        <v>0</v>
      </c>
      <c r="D1" s="207"/>
      <c r="E1" s="342" t="str">
        <f ca="1" xml:space="preserve"> "Cantidad de audiencias de la fecha:   " &amp; COUNTIF(H:H,TODAY())</f>
        <v>Cantidad de audiencias de la fecha:   0</v>
      </c>
      <c r="F1" s="210"/>
      <c r="G1" s="211"/>
      <c r="H1" s="212"/>
      <c r="I1" s="212"/>
      <c r="J1" s="212" t="s">
        <v>1839</v>
      </c>
      <c r="K1" s="211" t="s">
        <v>668</v>
      </c>
      <c r="L1" s="213" t="s">
        <v>802</v>
      </c>
      <c r="M1" s="85"/>
      <c r="N1" s="86"/>
      <c r="O1" s="86"/>
      <c r="P1" s="87">
        <v>45226</v>
      </c>
      <c r="Q1" s="214">
        <v>45098</v>
      </c>
      <c r="R1" s="214">
        <v>45100</v>
      </c>
      <c r="S1" s="207"/>
      <c r="T1" s="88"/>
      <c r="U1" s="85"/>
      <c r="Y1" s="207"/>
      <c r="Z1" s="215"/>
    </row>
    <row r="2" spans="1:36" ht="63.75">
      <c r="A2" s="70" t="s">
        <v>905</v>
      </c>
      <c r="B2" s="71" t="s">
        <v>0</v>
      </c>
      <c r="C2" s="70" t="s">
        <v>18</v>
      </c>
      <c r="D2" s="70" t="s">
        <v>1</v>
      </c>
      <c r="E2" s="34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8" t="s">
        <v>2146</v>
      </c>
      <c r="AD2" s="318" t="s">
        <v>2147</v>
      </c>
      <c r="AE2" s="318" t="s">
        <v>2148</v>
      </c>
      <c r="AF2" s="318" t="s">
        <v>2149</v>
      </c>
      <c r="AG2" s="333" t="str">
        <f>IF(TEXT($AF3,"DD/MM/YYYY")=TEXT($C$1,"dd/mm/yyyy"),"DIASOL","DIANOSOL")</f>
        <v>DIANOSOL</v>
      </c>
      <c r="AH2" s="367" t="s">
        <v>2164</v>
      </c>
      <c r="AI2" s="318" t="s">
        <v>2165</v>
      </c>
      <c r="AJ2" s="44" t="s">
        <v>2256</v>
      </c>
    </row>
    <row r="3" spans="1:36" ht="76.5">
      <c r="A3" s="352">
        <v>1</v>
      </c>
      <c r="B3" s="353">
        <v>45209</v>
      </c>
      <c r="C3" s="354">
        <v>0.38680555555555557</v>
      </c>
      <c r="D3" s="352" t="s">
        <v>2130</v>
      </c>
      <c r="E3" s="355" t="s">
        <v>2232</v>
      </c>
      <c r="F3" s="352">
        <v>5</v>
      </c>
      <c r="G3" s="352" t="s">
        <v>1841</v>
      </c>
      <c r="H3" s="353"/>
      <c r="I3" s="354"/>
      <c r="J3" s="353"/>
      <c r="K3" s="352"/>
      <c r="L3" s="352" t="s">
        <v>2131</v>
      </c>
      <c r="M3" s="352" t="s">
        <v>2106</v>
      </c>
      <c r="N3" s="356" t="s">
        <v>2176</v>
      </c>
      <c r="O3" s="352"/>
      <c r="P3" s="352"/>
      <c r="Q3" s="352"/>
      <c r="R3" s="352"/>
      <c r="S3" s="352" t="s">
        <v>2111</v>
      </c>
      <c r="T3" s="357"/>
      <c r="U3" s="357"/>
      <c r="V3" s="352"/>
      <c r="W3" s="352"/>
      <c r="X3" s="352"/>
      <c r="Y3" s="352"/>
      <c r="Z3" s="357"/>
      <c r="AA3" s="357"/>
      <c r="AB3" s="357"/>
      <c r="AC3" s="358">
        <v>45255</v>
      </c>
      <c r="AD3" s="358">
        <v>45216</v>
      </c>
      <c r="AE3" s="358">
        <v>45224</v>
      </c>
      <c r="AF3" s="359">
        <v>45262</v>
      </c>
      <c r="AG3" s="360" t="str">
        <f>IF(TEXT($AF4,"DD/MM/YYYY")=TEXT($C$1,"dd/mm/yyyy"),"DIASOL","DIANOSOL")</f>
        <v>DIANOSOL</v>
      </c>
      <c r="AH3" s="360"/>
      <c r="AI3" s="369" t="s">
        <v>2254</v>
      </c>
      <c r="AJ3" s="369"/>
    </row>
    <row r="4" spans="1:36" ht="51">
      <c r="A4" s="352">
        <v>2</v>
      </c>
      <c r="B4" s="353">
        <v>45216</v>
      </c>
      <c r="C4" s="352"/>
      <c r="D4" s="352" t="s">
        <v>2109</v>
      </c>
      <c r="E4" s="361" t="s">
        <v>2233</v>
      </c>
      <c r="F4" s="352">
        <v>3</v>
      </c>
      <c r="G4" s="352" t="s">
        <v>32</v>
      </c>
      <c r="H4" s="353"/>
      <c r="I4" s="354"/>
      <c r="J4" s="353"/>
      <c r="K4" s="352"/>
      <c r="L4" s="352" t="s">
        <v>2110</v>
      </c>
      <c r="M4" s="352"/>
      <c r="N4" s="352"/>
      <c r="O4" s="352"/>
      <c r="P4" s="352"/>
      <c r="Q4" s="352"/>
      <c r="R4" s="352"/>
      <c r="S4" s="352" t="s">
        <v>2111</v>
      </c>
      <c r="T4" s="357"/>
      <c r="U4" s="357"/>
      <c r="V4" s="352"/>
      <c r="W4" s="352"/>
      <c r="X4" s="352"/>
      <c r="Y4" s="352"/>
      <c r="Z4" s="357"/>
      <c r="AA4" s="357"/>
      <c r="AB4" s="357"/>
      <c r="AC4" s="362">
        <v>45217</v>
      </c>
      <c r="AD4" s="362">
        <v>45218</v>
      </c>
      <c r="AE4" s="362">
        <v>45216</v>
      </c>
      <c r="AF4" s="363">
        <v>45225</v>
      </c>
      <c r="AG4" s="364" t="str">
        <f>IF(TEXT($AF4,"DD/MM/YYYY")=TEXT($C$1,"dd/mm/yyyy"),"DIASOL","DIANOSOL")</f>
        <v>DIANOSOL</v>
      </c>
      <c r="AH4" s="368"/>
      <c r="AI4" s="365" t="s">
        <v>2255</v>
      </c>
      <c r="AJ4" s="369"/>
    </row>
    <row r="5" spans="1:36" ht="51">
      <c r="A5" s="352">
        <v>3</v>
      </c>
      <c r="B5" s="353">
        <v>45216</v>
      </c>
      <c r="C5" s="352"/>
      <c r="D5" s="352" t="s">
        <v>863</v>
      </c>
      <c r="E5" s="355" t="s">
        <v>2231</v>
      </c>
      <c r="F5" s="352">
        <v>4</v>
      </c>
      <c r="G5" s="352" t="s">
        <v>1839</v>
      </c>
      <c r="H5" s="353"/>
      <c r="I5" s="354"/>
      <c r="J5" s="353"/>
      <c r="K5" s="352"/>
      <c r="L5" s="352" t="s">
        <v>2121</v>
      </c>
      <c r="M5" s="352" t="s">
        <v>2105</v>
      </c>
      <c r="N5" s="352"/>
      <c r="O5" s="352"/>
      <c r="P5" s="352"/>
      <c r="Q5" s="352"/>
      <c r="R5" s="352"/>
      <c r="S5" s="352" t="s">
        <v>2111</v>
      </c>
      <c r="T5" s="357"/>
      <c r="U5" s="357"/>
      <c r="V5" s="352"/>
      <c r="W5" s="352"/>
      <c r="X5" s="352"/>
      <c r="Y5" s="352"/>
      <c r="Z5" s="357"/>
      <c r="AA5" s="357"/>
      <c r="AB5" s="357"/>
      <c r="AC5" s="353">
        <v>31705</v>
      </c>
      <c r="AD5" s="362">
        <v>25567</v>
      </c>
      <c r="AE5" s="362">
        <v>36818</v>
      </c>
      <c r="AF5" s="366">
        <v>36825</v>
      </c>
      <c r="AG5" s="360" t="str">
        <f t="shared" ref="AG5:AG17" si="0">IF(TEXT($AF6,"DD/MM/YYYY")=TEXT($C$1,"dd/mm/yyyy"),"DIASOL","DIANOSOL")</f>
        <v>DIANOSOL</v>
      </c>
      <c r="AH5" s="360"/>
      <c r="AI5" s="360" t="s">
        <v>2255</v>
      </c>
      <c r="AJ5" s="360"/>
    </row>
    <row r="6" spans="1:36" ht="76.5">
      <c r="A6" s="216">
        <v>4</v>
      </c>
      <c r="B6" s="338">
        <v>45216</v>
      </c>
      <c r="C6" s="339">
        <v>0.51736111111111105</v>
      </c>
      <c r="D6" s="324" t="s">
        <v>2137</v>
      </c>
      <c r="E6" s="347" t="s">
        <v>2229</v>
      </c>
      <c r="F6" s="324">
        <v>1</v>
      </c>
      <c r="G6" s="324" t="s">
        <v>21</v>
      </c>
      <c r="H6" s="338"/>
      <c r="I6" s="339"/>
      <c r="J6" s="338"/>
      <c r="K6" s="324"/>
      <c r="L6" s="324" t="s">
        <v>592</v>
      </c>
      <c r="M6" s="324" t="s">
        <v>530</v>
      </c>
      <c r="N6" s="324" t="s">
        <v>2230</v>
      </c>
      <c r="O6" s="324"/>
      <c r="P6" s="324"/>
      <c r="Q6" s="324"/>
      <c r="R6" s="324"/>
      <c r="S6" s="324" t="s">
        <v>2111</v>
      </c>
      <c r="T6" s="335"/>
      <c r="U6" s="335"/>
      <c r="V6" s="324"/>
      <c r="W6" s="324"/>
      <c r="X6" s="324"/>
      <c r="Y6" s="324"/>
      <c r="Z6" s="335"/>
      <c r="AA6" s="335"/>
      <c r="AB6" s="335"/>
      <c r="AC6" s="334"/>
      <c r="AD6" s="334"/>
      <c r="AE6" s="334"/>
      <c r="AF6" s="337">
        <f t="shared" ref="AF6:AF17" si="1">MAX($AC6,$AE6)+7</f>
        <v>7</v>
      </c>
      <c r="AG6" s="336" t="str">
        <f t="shared" si="0"/>
        <v>DIANOSOL</v>
      </c>
      <c r="AH6" s="336"/>
      <c r="AI6" s="336" t="s">
        <v>2163</v>
      </c>
    </row>
    <row r="7" spans="1:36" s="84" customFormat="1" ht="39.950000000000003" customHeight="1">
      <c r="A7" s="216">
        <v>5</v>
      </c>
      <c r="B7" s="288">
        <v>45216</v>
      </c>
      <c r="C7" s="319">
        <v>0.44930555555555557</v>
      </c>
      <c r="D7" s="216" t="s">
        <v>1531</v>
      </c>
      <c r="E7" s="344" t="s">
        <v>2138</v>
      </c>
      <c r="F7" s="216">
        <v>8</v>
      </c>
      <c r="G7" s="216" t="s">
        <v>21</v>
      </c>
      <c r="H7" s="288"/>
      <c r="I7" s="319"/>
      <c r="J7" s="288"/>
      <c r="K7" s="216"/>
      <c r="L7" s="216" t="s">
        <v>2139</v>
      </c>
      <c r="M7" s="216" t="s">
        <v>569</v>
      </c>
      <c r="N7" s="216" t="s">
        <v>2151</v>
      </c>
      <c r="O7" s="216"/>
      <c r="P7" s="216"/>
      <c r="Q7" s="216"/>
      <c r="R7" s="216"/>
      <c r="S7" s="216"/>
      <c r="T7" s="320"/>
      <c r="U7" s="320"/>
      <c r="V7" s="216"/>
      <c r="W7" s="216"/>
      <c r="X7" s="216"/>
      <c r="Y7" s="216"/>
      <c r="Z7" s="321"/>
      <c r="AA7" s="321"/>
      <c r="AB7" s="321"/>
      <c r="AC7" s="322"/>
      <c r="AD7" s="66"/>
      <c r="AE7" s="66"/>
      <c r="AF7" s="315">
        <f t="shared" si="1"/>
        <v>7</v>
      </c>
      <c r="AG7" s="1" t="str">
        <f t="shared" si="0"/>
        <v>DIANOSOL</v>
      </c>
      <c r="AH7" s="317"/>
      <c r="AI7" s="317"/>
    </row>
    <row r="8" spans="1:36" s="84" customFormat="1" ht="39.950000000000003" customHeight="1">
      <c r="A8" s="216">
        <v>6</v>
      </c>
      <c r="B8" s="288">
        <v>45217</v>
      </c>
      <c r="C8" s="319" t="s">
        <v>2112</v>
      </c>
      <c r="D8" s="216" t="s">
        <v>2113</v>
      </c>
      <c r="E8" s="346" t="s">
        <v>2195</v>
      </c>
      <c r="F8" s="216">
        <v>1</v>
      </c>
      <c r="G8" s="216" t="s">
        <v>32</v>
      </c>
      <c r="H8" s="288"/>
      <c r="I8" s="319"/>
      <c r="J8" s="288"/>
      <c r="K8" s="216"/>
      <c r="L8" s="216" t="s">
        <v>2114</v>
      </c>
      <c r="M8" s="323" t="s">
        <v>794</v>
      </c>
      <c r="N8" s="216"/>
      <c r="O8" s="216"/>
      <c r="P8" s="216"/>
      <c r="Q8" s="216"/>
      <c r="R8" s="216"/>
      <c r="S8" s="319"/>
      <c r="T8" s="320"/>
      <c r="U8" s="320"/>
      <c r="V8" s="216"/>
      <c r="W8" s="319"/>
      <c r="X8" s="216"/>
      <c r="Y8" s="216"/>
      <c r="Z8" s="321"/>
      <c r="AA8" s="321"/>
      <c r="AB8" s="321"/>
      <c r="AC8" s="322"/>
      <c r="AD8" s="66"/>
      <c r="AE8" s="66"/>
      <c r="AF8" s="315">
        <f t="shared" si="1"/>
        <v>7</v>
      </c>
      <c r="AG8" s="1" t="str">
        <f t="shared" si="0"/>
        <v>DIANOSOL</v>
      </c>
      <c r="AI8" s="84" t="s">
        <v>2163</v>
      </c>
    </row>
    <row r="9" spans="1:36" s="84" customFormat="1" ht="39.950000000000003" customHeight="1">
      <c r="A9" s="216">
        <v>7</v>
      </c>
      <c r="B9" s="288">
        <v>45217</v>
      </c>
      <c r="C9" s="319" t="s">
        <v>2115</v>
      </c>
      <c r="D9" s="216" t="s">
        <v>2116</v>
      </c>
      <c r="E9" s="346" t="s">
        <v>2199</v>
      </c>
      <c r="F9" s="216">
        <v>1</v>
      </c>
      <c r="G9" s="216" t="s">
        <v>32</v>
      </c>
      <c r="H9" s="288"/>
      <c r="I9" s="319"/>
      <c r="J9" s="288"/>
      <c r="K9" s="216"/>
      <c r="L9" s="216" t="s">
        <v>2117</v>
      </c>
      <c r="M9" s="216" t="s">
        <v>1005</v>
      </c>
      <c r="N9" s="216"/>
      <c r="O9" s="216"/>
      <c r="P9" s="216"/>
      <c r="Q9" s="216"/>
      <c r="R9" s="216"/>
      <c r="S9" s="216"/>
      <c r="T9" s="320"/>
      <c r="U9" s="320"/>
      <c r="V9" s="216"/>
      <c r="W9" s="216"/>
      <c r="X9" s="216"/>
      <c r="Y9" s="216"/>
      <c r="Z9" s="321"/>
      <c r="AA9" s="321"/>
      <c r="AB9" s="321"/>
      <c r="AC9" s="322"/>
      <c r="AD9" s="66"/>
      <c r="AE9" s="66"/>
      <c r="AF9" s="315">
        <f t="shared" si="1"/>
        <v>7</v>
      </c>
      <c r="AG9" s="1" t="str">
        <f t="shared" si="0"/>
        <v>DIANOSOL</v>
      </c>
      <c r="AI9" s="84" t="s">
        <v>2163</v>
      </c>
    </row>
    <row r="10" spans="1:36" s="84" customFormat="1" ht="39.950000000000003" customHeight="1">
      <c r="A10" s="152">
        <v>8</v>
      </c>
      <c r="B10" s="325">
        <v>45217</v>
      </c>
      <c r="C10" s="326" t="s">
        <v>2118</v>
      </c>
      <c r="D10" s="327" t="s">
        <v>2119</v>
      </c>
      <c r="E10" s="345" t="s">
        <v>2120</v>
      </c>
      <c r="F10" s="327">
        <v>1</v>
      </c>
      <c r="G10" s="327" t="s">
        <v>32</v>
      </c>
      <c r="H10" s="325"/>
      <c r="I10" s="326"/>
      <c r="J10" s="325"/>
      <c r="K10" s="327"/>
      <c r="L10" s="327" t="s">
        <v>592</v>
      </c>
      <c r="M10" s="327"/>
      <c r="N10" s="327"/>
      <c r="O10" s="327"/>
      <c r="P10" s="327"/>
      <c r="Q10" s="327"/>
      <c r="R10" s="327"/>
      <c r="S10" s="326"/>
      <c r="T10" s="328"/>
      <c r="U10" s="328"/>
      <c r="V10" s="327"/>
      <c r="W10" s="326"/>
      <c r="X10" s="327"/>
      <c r="Y10" s="327"/>
      <c r="Z10" s="329"/>
      <c r="AA10" s="329"/>
      <c r="AB10" s="329"/>
      <c r="AC10" s="330"/>
      <c r="AD10" s="189"/>
      <c r="AE10" s="189"/>
      <c r="AF10" s="316">
        <f t="shared" si="1"/>
        <v>7</v>
      </c>
      <c r="AG10" s="1" t="str">
        <f t="shared" si="0"/>
        <v>DIANOSOL</v>
      </c>
    </row>
    <row r="11" spans="1:36" s="84" customFormat="1" ht="76.5">
      <c r="A11" s="216">
        <v>9</v>
      </c>
      <c r="B11" s="288">
        <v>45217</v>
      </c>
      <c r="C11" s="319" t="s">
        <v>2122</v>
      </c>
      <c r="D11" s="216" t="s">
        <v>2123</v>
      </c>
      <c r="E11" s="346" t="s">
        <v>2194</v>
      </c>
      <c r="F11" s="216">
        <v>1</v>
      </c>
      <c r="G11" s="216" t="s">
        <v>1839</v>
      </c>
      <c r="H11" s="288"/>
      <c r="I11" s="319"/>
      <c r="J11" s="288"/>
      <c r="K11" s="216"/>
      <c r="L11" s="216" t="s">
        <v>2124</v>
      </c>
      <c r="M11" s="216" t="s">
        <v>976</v>
      </c>
      <c r="N11" s="216" t="s">
        <v>2189</v>
      </c>
      <c r="O11" s="216"/>
      <c r="P11" s="216"/>
      <c r="Q11" s="216"/>
      <c r="R11" s="216"/>
      <c r="S11" s="319"/>
      <c r="T11" s="320"/>
      <c r="U11" s="320"/>
      <c r="V11" s="216"/>
      <c r="W11" s="319"/>
      <c r="X11" s="216"/>
      <c r="Y11" s="216"/>
      <c r="Z11" s="321"/>
      <c r="AA11" s="321"/>
      <c r="AB11" s="321"/>
      <c r="AC11" s="322"/>
      <c r="AD11" s="66"/>
      <c r="AE11" s="66"/>
      <c r="AF11" s="315">
        <f t="shared" si="1"/>
        <v>7</v>
      </c>
      <c r="AG11" s="1" t="str">
        <f t="shared" si="0"/>
        <v>DIANOSOL</v>
      </c>
      <c r="AI11" s="317" t="s">
        <v>2163</v>
      </c>
    </row>
    <row r="12" spans="1:36" s="84" customFormat="1" ht="39.950000000000003" customHeight="1">
      <c r="A12" s="216">
        <v>10</v>
      </c>
      <c r="B12" s="288">
        <v>45217</v>
      </c>
      <c r="C12" s="319" t="s">
        <v>2125</v>
      </c>
      <c r="D12" s="216" t="s">
        <v>2126</v>
      </c>
      <c r="E12" s="346" t="s">
        <v>2198</v>
      </c>
      <c r="F12" s="216">
        <v>1</v>
      </c>
      <c r="G12" s="216" t="s">
        <v>1839</v>
      </c>
      <c r="H12" s="288"/>
      <c r="I12" s="319"/>
      <c r="J12" s="288"/>
      <c r="K12" s="216"/>
      <c r="L12" s="216" t="s">
        <v>2127</v>
      </c>
      <c r="M12" s="216" t="s">
        <v>569</v>
      </c>
      <c r="N12" s="216"/>
      <c r="O12" s="216"/>
      <c r="P12" s="216"/>
      <c r="Q12" s="216"/>
      <c r="R12" s="216"/>
      <c r="S12" s="216"/>
      <c r="T12" s="320"/>
      <c r="U12" s="320"/>
      <c r="V12" s="216"/>
      <c r="W12" s="216"/>
      <c r="X12" s="216"/>
      <c r="Y12" s="216"/>
      <c r="Z12" s="321"/>
      <c r="AA12" s="321"/>
      <c r="AB12" s="321"/>
      <c r="AC12" s="322"/>
      <c r="AD12" s="66"/>
      <c r="AE12" s="66"/>
      <c r="AF12" s="315">
        <f t="shared" si="1"/>
        <v>7</v>
      </c>
      <c r="AG12" s="1" t="str">
        <f t="shared" si="0"/>
        <v>DIANOSOL</v>
      </c>
      <c r="AI12" s="84" t="s">
        <v>2163</v>
      </c>
    </row>
    <row r="13" spans="1:36" s="84" customFormat="1" ht="39.950000000000003" customHeight="1">
      <c r="A13" s="216">
        <v>11</v>
      </c>
      <c r="B13" s="338">
        <v>45217</v>
      </c>
      <c r="C13" s="339">
        <v>0.46180555555555558</v>
      </c>
      <c r="D13" s="324" t="s">
        <v>951</v>
      </c>
      <c r="E13" s="347" t="s">
        <v>2202</v>
      </c>
      <c r="F13" s="324">
        <v>4</v>
      </c>
      <c r="G13" s="324" t="s">
        <v>1839</v>
      </c>
      <c r="H13" s="338"/>
      <c r="I13" s="339"/>
      <c r="J13" s="338"/>
      <c r="K13" s="324"/>
      <c r="L13" s="324" t="s">
        <v>2128</v>
      </c>
      <c r="M13" s="324" t="s">
        <v>2129</v>
      </c>
      <c r="N13" s="324" t="s">
        <v>2190</v>
      </c>
      <c r="O13" s="324"/>
      <c r="P13" s="324"/>
      <c r="Q13" s="324"/>
      <c r="R13" s="324"/>
      <c r="S13" s="339"/>
      <c r="T13" s="335"/>
      <c r="U13" s="335"/>
      <c r="V13" s="324"/>
      <c r="W13" s="339"/>
      <c r="X13" s="324"/>
      <c r="Y13" s="324"/>
      <c r="Z13" s="340"/>
      <c r="AA13" s="340"/>
      <c r="AB13" s="340"/>
      <c r="AC13" s="334"/>
      <c r="AD13" s="334"/>
      <c r="AE13" s="334"/>
      <c r="AF13" s="337">
        <f t="shared" si="1"/>
        <v>7</v>
      </c>
      <c r="AG13" s="336" t="str">
        <f t="shared" si="0"/>
        <v>DIANOSOL</v>
      </c>
      <c r="AI13" s="336" t="s">
        <v>2163</v>
      </c>
    </row>
    <row r="14" spans="1:36" s="84" customFormat="1" ht="39.950000000000003" customHeight="1">
      <c r="A14" s="216">
        <v>12</v>
      </c>
      <c r="B14" s="288">
        <v>45217</v>
      </c>
      <c r="C14" s="319" t="s">
        <v>2132</v>
      </c>
      <c r="D14" s="216" t="s">
        <v>2133</v>
      </c>
      <c r="E14" s="346" t="s">
        <v>2200</v>
      </c>
      <c r="F14" s="216">
        <v>1</v>
      </c>
      <c r="G14" s="216" t="s">
        <v>1841</v>
      </c>
      <c r="H14" s="288"/>
      <c r="I14" s="319"/>
      <c r="J14" s="288"/>
      <c r="K14" s="216"/>
      <c r="L14" s="216" t="s">
        <v>2134</v>
      </c>
      <c r="M14" s="216" t="s">
        <v>794</v>
      </c>
      <c r="N14" s="216"/>
      <c r="O14" s="216"/>
      <c r="P14" s="216"/>
      <c r="Q14" s="216"/>
      <c r="R14" s="216"/>
      <c r="S14" s="216"/>
      <c r="T14" s="320"/>
      <c r="U14" s="320"/>
      <c r="V14" s="216"/>
      <c r="W14" s="216"/>
      <c r="X14" s="216"/>
      <c r="Y14" s="216"/>
      <c r="Z14" s="321"/>
      <c r="AA14" s="321"/>
      <c r="AB14" s="321"/>
      <c r="AC14" s="322"/>
      <c r="AD14" s="66"/>
      <c r="AE14" s="66"/>
      <c r="AF14" s="315">
        <f t="shared" si="1"/>
        <v>7</v>
      </c>
      <c r="AG14" s="1" t="str">
        <f t="shared" si="0"/>
        <v>DIANOSOL</v>
      </c>
      <c r="AI14" s="317" t="s">
        <v>2163</v>
      </c>
    </row>
    <row r="15" spans="1:36" s="84" customFormat="1" ht="39.950000000000003" customHeight="1">
      <c r="A15" s="216">
        <v>13</v>
      </c>
      <c r="B15" s="288">
        <v>45217</v>
      </c>
      <c r="C15" s="319" t="s">
        <v>2135</v>
      </c>
      <c r="D15" s="216" t="s">
        <v>2136</v>
      </c>
      <c r="E15" s="346" t="s">
        <v>2196</v>
      </c>
      <c r="F15" s="216">
        <v>1</v>
      </c>
      <c r="G15" s="216" t="s">
        <v>1841</v>
      </c>
      <c r="H15" s="288"/>
      <c r="I15" s="319"/>
      <c r="J15" s="288"/>
      <c r="K15" s="216"/>
      <c r="L15" s="216" t="s">
        <v>2134</v>
      </c>
      <c r="M15" s="216" t="s">
        <v>2178</v>
      </c>
      <c r="N15" s="216"/>
      <c r="O15" s="216"/>
      <c r="P15" s="216"/>
      <c r="Q15" s="216"/>
      <c r="R15" s="216"/>
      <c r="S15" s="319"/>
      <c r="T15" s="320"/>
      <c r="U15" s="320"/>
      <c r="V15" s="216"/>
      <c r="W15" s="319"/>
      <c r="X15" s="216"/>
      <c r="Y15" s="216"/>
      <c r="Z15" s="321"/>
      <c r="AA15" s="321"/>
      <c r="AB15" s="321"/>
      <c r="AC15" s="322"/>
      <c r="AD15" s="322"/>
      <c r="AE15" s="322"/>
      <c r="AF15" s="341">
        <f t="shared" si="1"/>
        <v>7</v>
      </c>
      <c r="AG15" s="336" t="str">
        <f t="shared" si="0"/>
        <v>DIANOSOL</v>
      </c>
      <c r="AH15" s="336"/>
      <c r="AI15" s="336" t="s">
        <v>2163</v>
      </c>
    </row>
    <row r="16" spans="1:36" s="84" customFormat="1" ht="39.950000000000003" customHeight="1">
      <c r="A16" s="216">
        <v>14</v>
      </c>
      <c r="B16" s="288">
        <v>45217</v>
      </c>
      <c r="C16" s="319" t="s">
        <v>2140</v>
      </c>
      <c r="D16" s="216" t="s">
        <v>2141</v>
      </c>
      <c r="E16" s="346" t="s">
        <v>2197</v>
      </c>
      <c r="F16" s="216">
        <v>1</v>
      </c>
      <c r="G16" s="216" t="s">
        <v>21</v>
      </c>
      <c r="H16" s="288"/>
      <c r="I16" s="319"/>
      <c r="J16" s="288"/>
      <c r="K16" s="216"/>
      <c r="L16" s="216" t="s">
        <v>2142</v>
      </c>
      <c r="M16" s="216"/>
      <c r="N16" s="216" t="s">
        <v>2150</v>
      </c>
      <c r="O16" s="216"/>
      <c r="P16" s="216"/>
      <c r="Q16" s="216"/>
      <c r="R16" s="216"/>
      <c r="S16" s="319"/>
      <c r="T16" s="320"/>
      <c r="U16" s="320"/>
      <c r="V16" s="216"/>
      <c r="W16" s="319"/>
      <c r="X16" s="216"/>
      <c r="Y16" s="216"/>
      <c r="Z16" s="321"/>
      <c r="AA16" s="321"/>
      <c r="AB16" s="321"/>
      <c r="AC16" s="322"/>
      <c r="AD16" s="66"/>
      <c r="AE16" s="66"/>
      <c r="AF16" s="315">
        <f t="shared" si="1"/>
        <v>7</v>
      </c>
      <c r="AG16" s="1" t="str">
        <f t="shared" si="0"/>
        <v>DIANOSOL</v>
      </c>
      <c r="AI16" s="84" t="s">
        <v>2163</v>
      </c>
    </row>
    <row r="17" spans="1:35" s="84" customFormat="1" ht="39.950000000000003" customHeight="1">
      <c r="A17" s="216">
        <v>15</v>
      </c>
      <c r="B17" s="288">
        <v>45217</v>
      </c>
      <c r="C17" s="319">
        <v>0.50763888888888886</v>
      </c>
      <c r="D17" s="216" t="s">
        <v>2143</v>
      </c>
      <c r="E17" s="346" t="s">
        <v>2201</v>
      </c>
      <c r="F17" s="216">
        <v>5</v>
      </c>
      <c r="G17" s="216" t="s">
        <v>21</v>
      </c>
      <c r="H17" s="288"/>
      <c r="I17" s="319"/>
      <c r="J17" s="288"/>
      <c r="K17" s="216"/>
      <c r="L17" s="216" t="s">
        <v>2144</v>
      </c>
      <c r="M17" s="216" t="s">
        <v>2145</v>
      </c>
      <c r="N17" s="216"/>
      <c r="O17" s="216"/>
      <c r="P17" s="216"/>
      <c r="Q17" s="216"/>
      <c r="R17" s="216"/>
      <c r="S17" s="216"/>
      <c r="T17" s="320"/>
      <c r="U17" s="320"/>
      <c r="V17" s="216"/>
      <c r="W17" s="216"/>
      <c r="X17" s="216" t="s">
        <v>2220</v>
      </c>
      <c r="Y17" s="216"/>
      <c r="Z17" s="321"/>
      <c r="AA17" s="321"/>
      <c r="AB17" s="321"/>
      <c r="AC17" s="322"/>
      <c r="AD17" s="189"/>
      <c r="AE17" s="189"/>
      <c r="AF17" s="316">
        <f t="shared" si="1"/>
        <v>7</v>
      </c>
      <c r="AG17" s="1" t="str">
        <f t="shared" si="0"/>
        <v>DIASOL</v>
      </c>
      <c r="AI17" s="84" t="s">
        <v>2163</v>
      </c>
    </row>
    <row r="18" spans="1:35" ht="39.950000000000003" customHeight="1">
      <c r="A18" s="331">
        <v>16</v>
      </c>
      <c r="B18" s="322">
        <v>45218</v>
      </c>
      <c r="C18" s="216" t="s">
        <v>2152</v>
      </c>
      <c r="D18" s="216" t="s">
        <v>2153</v>
      </c>
      <c r="E18" s="344" t="s">
        <v>2161</v>
      </c>
      <c r="F18" s="331">
        <v>1</v>
      </c>
      <c r="G18" s="331" t="s">
        <v>1841</v>
      </c>
      <c r="H18" s="322"/>
      <c r="I18" s="322"/>
      <c r="J18" s="322"/>
      <c r="K18" s="331"/>
      <c r="L18" s="216" t="s">
        <v>469</v>
      </c>
      <c r="M18" s="216" t="s">
        <v>1366</v>
      </c>
      <c r="N18" s="324" t="s">
        <v>2221</v>
      </c>
      <c r="O18" s="216"/>
      <c r="P18" s="216"/>
      <c r="Q18" s="216" t="s">
        <v>709</v>
      </c>
      <c r="R18" s="216"/>
      <c r="S18" s="216"/>
      <c r="T18" s="320"/>
      <c r="U18" s="320"/>
      <c r="V18" s="331"/>
      <c r="W18" s="331"/>
      <c r="X18" s="331"/>
      <c r="Y18" s="331"/>
      <c r="Z18" s="331"/>
      <c r="AA18" s="331"/>
      <c r="AB18" s="331"/>
      <c r="AC18" s="331"/>
    </row>
    <row r="19" spans="1:35" ht="39.950000000000003" customHeight="1">
      <c r="A19" s="331">
        <v>17</v>
      </c>
      <c r="B19" s="322">
        <v>45217</v>
      </c>
      <c r="C19" s="332">
        <v>0.46458333333333335</v>
      </c>
      <c r="D19" s="216" t="s">
        <v>785</v>
      </c>
      <c r="E19" s="346" t="s">
        <v>2204</v>
      </c>
      <c r="F19" s="331">
        <v>4</v>
      </c>
      <c r="G19" s="331" t="s">
        <v>1839</v>
      </c>
      <c r="H19" s="322"/>
      <c r="I19" s="322"/>
      <c r="J19" s="322"/>
      <c r="K19" s="331"/>
      <c r="L19" s="216" t="s">
        <v>599</v>
      </c>
      <c r="M19" s="216" t="s">
        <v>519</v>
      </c>
      <c r="N19" s="216" t="s">
        <v>2156</v>
      </c>
      <c r="O19" s="216"/>
      <c r="P19" s="216"/>
      <c r="Q19" s="216" t="s">
        <v>709</v>
      </c>
      <c r="R19" s="216"/>
      <c r="S19" s="216"/>
      <c r="T19" s="320"/>
      <c r="U19" s="320"/>
      <c r="V19" s="331"/>
      <c r="W19" s="331"/>
      <c r="X19" s="331"/>
      <c r="Y19" s="331"/>
      <c r="Z19" s="331"/>
      <c r="AA19" s="331"/>
      <c r="AB19" s="331"/>
      <c r="AC19" s="331"/>
      <c r="AI19" s="1" t="s">
        <v>2163</v>
      </c>
    </row>
    <row r="20" spans="1:35" ht="39.950000000000003" customHeight="1">
      <c r="A20" s="331">
        <v>18</v>
      </c>
      <c r="B20" s="322">
        <v>45217</v>
      </c>
      <c r="C20" s="331"/>
      <c r="D20" s="216" t="s">
        <v>1607</v>
      </c>
      <c r="E20" s="346" t="s">
        <v>2205</v>
      </c>
      <c r="F20" s="331">
        <v>4</v>
      </c>
      <c r="G20" s="216" t="s">
        <v>32</v>
      </c>
      <c r="H20" s="322"/>
      <c r="I20" s="322"/>
      <c r="J20" s="322"/>
      <c r="K20" s="331"/>
      <c r="L20" s="216"/>
      <c r="M20" s="216" t="s">
        <v>1005</v>
      </c>
      <c r="N20" s="216" t="s">
        <v>2157</v>
      </c>
      <c r="O20" s="216"/>
      <c r="P20" s="216"/>
      <c r="Q20" s="216" t="s">
        <v>709</v>
      </c>
      <c r="R20" s="216"/>
      <c r="S20" s="216"/>
      <c r="T20" s="320"/>
      <c r="U20" s="320"/>
      <c r="V20" s="331"/>
      <c r="W20" s="331"/>
      <c r="X20" s="331"/>
      <c r="Y20" s="331"/>
      <c r="Z20" s="331"/>
      <c r="AA20" s="331"/>
      <c r="AB20" s="331"/>
      <c r="AC20" s="331"/>
      <c r="AI20" s="1" t="s">
        <v>2163</v>
      </c>
    </row>
    <row r="21" spans="1:35" ht="39.950000000000003" customHeight="1">
      <c r="A21" s="331">
        <v>19</v>
      </c>
      <c r="B21" s="288">
        <v>45217</v>
      </c>
      <c r="C21" s="332">
        <v>0.54999999999999993</v>
      </c>
      <c r="D21" s="216" t="s">
        <v>1712</v>
      </c>
      <c r="E21" s="344" t="s">
        <v>2158</v>
      </c>
      <c r="F21" s="331">
        <v>7</v>
      </c>
      <c r="G21" s="331" t="s">
        <v>1841</v>
      </c>
      <c r="H21" s="322"/>
      <c r="I21" s="322"/>
      <c r="J21" s="322"/>
      <c r="K21" s="331"/>
      <c r="L21" s="216" t="s">
        <v>586</v>
      </c>
      <c r="M21" s="216" t="s">
        <v>538</v>
      </c>
      <c r="N21" s="331"/>
      <c r="O21" s="216"/>
      <c r="P21" s="216"/>
      <c r="Q21" s="216" t="s">
        <v>709</v>
      </c>
      <c r="R21" s="216"/>
      <c r="S21" s="216"/>
      <c r="T21" s="320"/>
      <c r="U21" s="320"/>
      <c r="V21" s="331"/>
      <c r="W21" s="331"/>
      <c r="X21" s="331"/>
      <c r="Y21" s="331"/>
      <c r="Z21" s="331"/>
      <c r="AA21" s="331"/>
      <c r="AB21" s="331"/>
      <c r="AC21" s="331"/>
    </row>
    <row r="22" spans="1:35" ht="39.950000000000003" customHeight="1">
      <c r="A22" s="331">
        <v>20</v>
      </c>
      <c r="B22" s="322">
        <v>45217</v>
      </c>
      <c r="C22" s="332">
        <v>0.55208333333333337</v>
      </c>
      <c r="D22" s="216" t="s">
        <v>2159</v>
      </c>
      <c r="E22" s="346" t="s">
        <v>2203</v>
      </c>
      <c r="F22" s="331">
        <v>7</v>
      </c>
      <c r="G22" s="331" t="s">
        <v>32</v>
      </c>
      <c r="H22" s="322"/>
      <c r="I22" s="322"/>
      <c r="J22" s="322"/>
      <c r="K22" s="331"/>
      <c r="L22" s="216" t="s">
        <v>598</v>
      </c>
      <c r="M22" s="216" t="s">
        <v>1241</v>
      </c>
      <c r="N22" s="216" t="s">
        <v>2219</v>
      </c>
      <c r="O22" s="216"/>
      <c r="P22" s="216"/>
      <c r="Q22" s="216" t="s">
        <v>709</v>
      </c>
      <c r="R22" s="216"/>
      <c r="S22" s="216"/>
      <c r="T22" s="320"/>
      <c r="U22" s="320"/>
      <c r="V22" s="331"/>
      <c r="W22" s="331"/>
      <c r="X22" s="331"/>
      <c r="Y22" s="331"/>
      <c r="Z22" s="331"/>
      <c r="AA22" s="331"/>
      <c r="AB22" s="331"/>
      <c r="AC22" s="331"/>
      <c r="AI22" s="1" t="s">
        <v>2163</v>
      </c>
    </row>
    <row r="23" spans="1:35" ht="39.950000000000003" customHeight="1">
      <c r="A23" s="331">
        <v>21</v>
      </c>
      <c r="B23" s="322">
        <v>45217</v>
      </c>
      <c r="C23" s="332">
        <v>0.47569444444444442</v>
      </c>
      <c r="D23" s="216" t="s">
        <v>414</v>
      </c>
      <c r="E23" s="346" t="s">
        <v>2207</v>
      </c>
      <c r="F23" s="331">
        <v>4</v>
      </c>
      <c r="G23" s="331" t="s">
        <v>1839</v>
      </c>
      <c r="H23" s="322"/>
      <c r="I23" s="322"/>
      <c r="J23" s="322"/>
      <c r="K23" s="331"/>
      <c r="L23" s="216" t="s">
        <v>425</v>
      </c>
      <c r="M23" s="216" t="s">
        <v>511</v>
      </c>
      <c r="N23" s="216" t="s">
        <v>2160</v>
      </c>
      <c r="O23" s="216"/>
      <c r="P23" s="216"/>
      <c r="Q23" s="216" t="s">
        <v>709</v>
      </c>
      <c r="R23" s="216"/>
      <c r="S23" s="216"/>
      <c r="T23" s="320"/>
      <c r="U23" s="320"/>
      <c r="V23" s="331"/>
      <c r="W23" s="331"/>
      <c r="X23" s="331"/>
      <c r="Y23" s="331"/>
      <c r="Z23" s="331"/>
      <c r="AA23" s="331"/>
      <c r="AB23" s="331"/>
      <c r="AC23" s="331"/>
      <c r="AI23" s="1" t="s">
        <v>2163</v>
      </c>
    </row>
    <row r="24" spans="1:35" ht="39.950000000000003" customHeight="1">
      <c r="A24" s="331">
        <v>22</v>
      </c>
      <c r="B24" s="322">
        <v>45218</v>
      </c>
      <c r="C24" s="332">
        <v>0.42152777777777778</v>
      </c>
      <c r="D24" s="216" t="s">
        <v>1462</v>
      </c>
      <c r="E24" s="346" t="s">
        <v>2206</v>
      </c>
      <c r="F24" s="331">
        <v>2</v>
      </c>
      <c r="G24" s="331" t="s">
        <v>21</v>
      </c>
      <c r="H24" s="322"/>
      <c r="I24" s="322"/>
      <c r="J24" s="322"/>
      <c r="K24" s="331"/>
      <c r="L24" s="216" t="s">
        <v>599</v>
      </c>
      <c r="M24" s="216"/>
      <c r="N24" s="216" t="s">
        <v>2227</v>
      </c>
      <c r="O24" s="216"/>
      <c r="P24" s="216"/>
      <c r="Q24" s="216" t="s">
        <v>709</v>
      </c>
      <c r="R24" s="216"/>
      <c r="S24" s="216"/>
      <c r="T24" s="320"/>
      <c r="U24" s="320"/>
      <c r="V24" s="331"/>
      <c r="W24" s="331"/>
      <c r="X24" s="331"/>
      <c r="Y24" s="331"/>
      <c r="Z24" s="331"/>
      <c r="AA24" s="331"/>
      <c r="AB24" s="331"/>
      <c r="AC24" s="331"/>
      <c r="AD24" s="336"/>
      <c r="AE24" s="336"/>
      <c r="AF24" s="336"/>
      <c r="AG24" s="336"/>
      <c r="AH24" s="336"/>
      <c r="AI24" s="336" t="s">
        <v>2163</v>
      </c>
    </row>
    <row r="25" spans="1:35" ht="39.950000000000003" customHeight="1">
      <c r="A25" s="331">
        <v>23</v>
      </c>
      <c r="B25" s="322">
        <v>45218</v>
      </c>
      <c r="C25" s="332">
        <v>0.42152777777777778</v>
      </c>
      <c r="D25" s="216" t="s">
        <v>1012</v>
      </c>
      <c r="E25" s="346" t="s">
        <v>2208</v>
      </c>
      <c r="F25" s="331">
        <v>2</v>
      </c>
      <c r="G25" s="331" t="s">
        <v>32</v>
      </c>
      <c r="H25" s="322"/>
      <c r="I25" s="322"/>
      <c r="J25" s="322"/>
      <c r="K25" s="331"/>
      <c r="L25" s="216" t="s">
        <v>584</v>
      </c>
      <c r="M25" s="216" t="s">
        <v>510</v>
      </c>
      <c r="N25" s="216" t="s">
        <v>2168</v>
      </c>
      <c r="O25" s="216"/>
      <c r="P25" s="216"/>
      <c r="Q25" s="216" t="s">
        <v>709</v>
      </c>
      <c r="R25" s="216"/>
      <c r="S25" s="216"/>
      <c r="T25" s="320"/>
      <c r="U25" s="320"/>
      <c r="V25" s="331"/>
      <c r="W25" s="331"/>
      <c r="X25" s="331"/>
      <c r="Y25" s="331"/>
      <c r="Z25" s="331"/>
      <c r="AA25" s="331"/>
      <c r="AB25" s="331"/>
      <c r="AC25" s="331"/>
      <c r="AI25" s="1" t="s">
        <v>2163</v>
      </c>
    </row>
    <row r="26" spans="1:35" ht="39.950000000000003" customHeight="1">
      <c r="A26" s="331">
        <v>24</v>
      </c>
      <c r="B26" s="322">
        <v>45218</v>
      </c>
      <c r="C26" s="319">
        <v>0.41736111111111113</v>
      </c>
      <c r="D26" s="216" t="s">
        <v>2162</v>
      </c>
      <c r="E26" s="346" t="s">
        <v>2209</v>
      </c>
      <c r="F26" s="331">
        <v>2</v>
      </c>
      <c r="G26" s="331" t="s">
        <v>1841</v>
      </c>
      <c r="H26" s="322"/>
      <c r="I26" s="322"/>
      <c r="J26" s="322"/>
      <c r="K26" s="331"/>
      <c r="L26" s="216" t="s">
        <v>592</v>
      </c>
      <c r="M26" s="216" t="s">
        <v>510</v>
      </c>
      <c r="N26" s="324" t="s">
        <v>2191</v>
      </c>
      <c r="O26" s="216"/>
      <c r="P26" s="216"/>
      <c r="Q26" s="216" t="s">
        <v>709</v>
      </c>
      <c r="R26" s="216"/>
      <c r="S26" s="216"/>
      <c r="T26" s="320"/>
      <c r="U26" s="320"/>
      <c r="V26" s="331"/>
      <c r="W26" s="331"/>
      <c r="X26" s="331"/>
      <c r="Y26" s="331"/>
      <c r="Z26" s="331"/>
      <c r="AA26" s="331"/>
      <c r="AB26" s="331"/>
      <c r="AC26" s="331"/>
      <c r="AI26" s="3" t="s">
        <v>2163</v>
      </c>
    </row>
    <row r="27" spans="1:35" ht="39.950000000000003" customHeight="1">
      <c r="A27" s="331">
        <v>25</v>
      </c>
      <c r="B27" s="322"/>
      <c r="C27" s="331"/>
      <c r="D27" s="216" t="s">
        <v>2166</v>
      </c>
      <c r="E27" s="344" t="s">
        <v>2167</v>
      </c>
      <c r="F27" s="331">
        <v>3</v>
      </c>
      <c r="G27" s="331" t="s">
        <v>21</v>
      </c>
      <c r="H27" s="322"/>
      <c r="I27" s="322"/>
      <c r="J27" s="322"/>
      <c r="K27" s="331"/>
      <c r="L27" s="216" t="s">
        <v>167</v>
      </c>
      <c r="M27" s="216"/>
      <c r="N27" s="349" t="s">
        <v>2228</v>
      </c>
      <c r="O27" s="216"/>
      <c r="P27" s="216"/>
      <c r="Q27" s="216" t="s">
        <v>709</v>
      </c>
      <c r="R27" s="216"/>
      <c r="S27" s="216"/>
      <c r="T27" s="320"/>
      <c r="U27" s="320"/>
      <c r="V27" s="331"/>
      <c r="W27" s="331"/>
      <c r="X27" s="331"/>
      <c r="Y27" s="331"/>
      <c r="Z27" s="331"/>
      <c r="AA27" s="331"/>
      <c r="AB27" s="331"/>
      <c r="AC27" s="331"/>
      <c r="AD27" s="336"/>
      <c r="AE27" s="336"/>
      <c r="AF27" s="336"/>
      <c r="AG27" s="336"/>
      <c r="AH27" s="336"/>
      <c r="AI27" s="336"/>
    </row>
    <row r="28" spans="1:35" ht="39.950000000000003" customHeight="1">
      <c r="A28" s="331">
        <v>26</v>
      </c>
      <c r="B28" s="322">
        <v>45219</v>
      </c>
      <c r="C28" s="332">
        <v>0.42638888888888887</v>
      </c>
      <c r="D28" s="216" t="s">
        <v>2169</v>
      </c>
      <c r="E28" s="346" t="s">
        <v>2218</v>
      </c>
      <c r="F28" s="331">
        <v>1</v>
      </c>
      <c r="G28" s="331" t="s">
        <v>1839</v>
      </c>
      <c r="H28" s="322"/>
      <c r="I28" s="322"/>
      <c r="J28" s="322"/>
      <c r="K28" s="331"/>
      <c r="L28" s="216" t="s">
        <v>598</v>
      </c>
      <c r="M28" s="216" t="s">
        <v>2217</v>
      </c>
      <c r="N28" s="331"/>
      <c r="O28" s="216"/>
      <c r="P28" s="216"/>
      <c r="Q28" s="216" t="s">
        <v>709</v>
      </c>
      <c r="R28" s="216"/>
      <c r="S28" s="216"/>
      <c r="T28" s="320"/>
      <c r="U28" s="320"/>
      <c r="V28" s="331"/>
      <c r="W28" s="331"/>
      <c r="X28" s="331"/>
      <c r="Y28" s="331"/>
      <c r="Z28" s="331"/>
      <c r="AA28" s="331"/>
      <c r="AB28" s="331"/>
      <c r="AC28" s="331"/>
      <c r="AD28" s="336"/>
      <c r="AE28" s="336"/>
      <c r="AF28" s="336"/>
      <c r="AG28" s="336"/>
      <c r="AH28" s="336"/>
      <c r="AI28" s="336" t="s">
        <v>2163</v>
      </c>
    </row>
    <row r="29" spans="1:35" ht="39.950000000000003" customHeight="1">
      <c r="A29" s="331">
        <v>27</v>
      </c>
      <c r="B29" s="322">
        <v>45219</v>
      </c>
      <c r="C29" s="216" t="s">
        <v>2170</v>
      </c>
      <c r="D29" s="216" t="s">
        <v>2171</v>
      </c>
      <c r="E29" s="346" t="s">
        <v>2172</v>
      </c>
      <c r="F29" s="331"/>
      <c r="G29" s="331" t="s">
        <v>1841</v>
      </c>
      <c r="H29" s="322"/>
      <c r="I29" s="322"/>
      <c r="J29" s="322"/>
      <c r="K29" s="331"/>
      <c r="L29" s="216" t="s">
        <v>592</v>
      </c>
      <c r="M29" s="216" t="s">
        <v>510</v>
      </c>
      <c r="N29" s="216" t="s">
        <v>2192</v>
      </c>
      <c r="O29" s="216"/>
      <c r="P29" s="216"/>
      <c r="Q29" s="216" t="s">
        <v>709</v>
      </c>
      <c r="R29" s="216"/>
      <c r="S29" s="216"/>
      <c r="T29" s="320"/>
      <c r="U29" s="320"/>
      <c r="V29" s="331"/>
      <c r="W29" s="331"/>
      <c r="X29" s="331"/>
      <c r="Y29" s="331"/>
      <c r="Z29" s="331"/>
      <c r="AA29" s="331"/>
      <c r="AB29" s="331"/>
      <c r="AC29" s="331"/>
      <c r="AI29" s="1" t="s">
        <v>2163</v>
      </c>
    </row>
    <row r="30" spans="1:35" ht="39.950000000000003" customHeight="1">
      <c r="A30" s="331">
        <v>28</v>
      </c>
      <c r="B30" s="322">
        <v>45219</v>
      </c>
      <c r="C30" s="216" t="s">
        <v>2173</v>
      </c>
      <c r="D30" s="216" t="s">
        <v>2174</v>
      </c>
      <c r="E30" s="344" t="s">
        <v>2175</v>
      </c>
      <c r="F30" s="331">
        <v>3</v>
      </c>
      <c r="G30" s="331" t="s">
        <v>21</v>
      </c>
      <c r="H30" s="322"/>
      <c r="I30" s="322"/>
      <c r="J30" s="322"/>
      <c r="K30" s="331"/>
      <c r="L30" s="216" t="s">
        <v>167</v>
      </c>
      <c r="M30" s="216" t="s">
        <v>510</v>
      </c>
      <c r="N30" s="331"/>
      <c r="O30" s="216"/>
      <c r="P30" s="216"/>
      <c r="Q30" s="216" t="s">
        <v>709</v>
      </c>
      <c r="R30" s="216"/>
      <c r="S30" s="216"/>
      <c r="T30" s="320"/>
      <c r="U30" s="320"/>
      <c r="V30" s="331"/>
      <c r="W30" s="331"/>
      <c r="X30" s="331"/>
      <c r="Y30" s="331"/>
      <c r="Z30" s="331"/>
      <c r="AA30" s="331"/>
      <c r="AB30" s="331"/>
      <c r="AC30" s="331"/>
      <c r="AD30" s="331"/>
      <c r="AE30" s="331"/>
      <c r="AF30" s="331"/>
      <c r="AG30" s="331"/>
      <c r="AH30" s="331"/>
      <c r="AI30" s="331"/>
    </row>
    <row r="31" spans="1:35" ht="39.950000000000003" customHeight="1">
      <c r="A31" s="331">
        <v>29</v>
      </c>
      <c r="B31" s="322">
        <v>45218</v>
      </c>
      <c r="C31" s="216" t="s">
        <v>2154</v>
      </c>
      <c r="D31" s="216" t="s">
        <v>2155</v>
      </c>
      <c r="E31" s="346" t="s">
        <v>2210</v>
      </c>
      <c r="F31" s="331">
        <v>1</v>
      </c>
      <c r="G31" s="331" t="s">
        <v>1839</v>
      </c>
      <c r="H31" s="322"/>
      <c r="I31" s="322"/>
      <c r="J31" s="322"/>
      <c r="K31" s="331"/>
      <c r="L31" s="216" t="s">
        <v>469</v>
      </c>
      <c r="M31" s="216" t="s">
        <v>1257</v>
      </c>
      <c r="N31" s="216" t="s">
        <v>2177</v>
      </c>
      <c r="O31" s="216"/>
      <c r="P31" s="216"/>
      <c r="Q31" s="216" t="s">
        <v>709</v>
      </c>
      <c r="R31" s="216"/>
      <c r="S31" s="216"/>
      <c r="T31" s="320"/>
      <c r="U31" s="320"/>
      <c r="V31" s="331"/>
      <c r="W31" s="331"/>
      <c r="X31" s="331"/>
      <c r="Y31" s="331"/>
      <c r="Z31" s="331"/>
      <c r="AA31" s="331"/>
      <c r="AB31" s="331"/>
      <c r="AC31" s="331"/>
      <c r="AD31" s="331"/>
      <c r="AE31" s="331"/>
      <c r="AF31" s="331"/>
      <c r="AG31" s="331"/>
      <c r="AI31" s="331" t="s">
        <v>2163</v>
      </c>
    </row>
    <row r="32" spans="1:35" ht="39.950000000000003" customHeight="1">
      <c r="A32" s="331">
        <v>30</v>
      </c>
      <c r="B32" s="322">
        <v>45219</v>
      </c>
      <c r="C32" s="332">
        <v>0.38541666666666669</v>
      </c>
      <c r="D32" s="216" t="s">
        <v>1516</v>
      </c>
      <c r="E32" s="346" t="s">
        <v>2211</v>
      </c>
      <c r="F32" s="331">
        <v>6</v>
      </c>
      <c r="G32" s="331" t="s">
        <v>32</v>
      </c>
      <c r="H32" s="322"/>
      <c r="I32" s="322"/>
      <c r="J32" s="322"/>
      <c r="K32" s="331"/>
      <c r="L32" s="216" t="s">
        <v>591</v>
      </c>
      <c r="M32" s="216" t="s">
        <v>1476</v>
      </c>
      <c r="N32" s="216" t="s">
        <v>2266</v>
      </c>
      <c r="O32" s="216"/>
      <c r="P32" s="216"/>
      <c r="Q32" s="216" t="s">
        <v>709</v>
      </c>
      <c r="R32" s="216"/>
      <c r="S32" s="216"/>
      <c r="T32" s="320"/>
      <c r="U32" s="320"/>
      <c r="V32" s="331"/>
      <c r="W32" s="331"/>
      <c r="X32" s="331"/>
      <c r="Y32" s="331"/>
      <c r="Z32" s="331"/>
      <c r="AA32" s="331"/>
      <c r="AB32" s="331"/>
      <c r="AC32" s="331"/>
      <c r="AD32" s="331"/>
      <c r="AE32" s="331"/>
      <c r="AF32" s="331"/>
      <c r="AG32" s="331"/>
      <c r="AI32" s="331" t="s">
        <v>2163</v>
      </c>
    </row>
    <row r="33" spans="1:35" ht="39.950000000000003" customHeight="1">
      <c r="A33" s="331">
        <v>31</v>
      </c>
      <c r="B33" s="322">
        <v>45219</v>
      </c>
      <c r="C33" s="331"/>
      <c r="D33" s="216" t="s">
        <v>1507</v>
      </c>
      <c r="E33" s="346" t="s">
        <v>2212</v>
      </c>
      <c r="F33" s="331">
        <v>6</v>
      </c>
      <c r="G33" s="331" t="s">
        <v>1841</v>
      </c>
      <c r="H33" s="322"/>
      <c r="I33" s="322"/>
      <c r="J33" s="322"/>
      <c r="K33" s="331"/>
      <c r="L33" s="216" t="s">
        <v>598</v>
      </c>
      <c r="M33" s="216" t="s">
        <v>1476</v>
      </c>
      <c r="N33" s="216" t="s">
        <v>2179</v>
      </c>
      <c r="O33" s="216"/>
      <c r="P33" s="216"/>
      <c r="Q33" s="216" t="s">
        <v>709</v>
      </c>
      <c r="R33" s="216"/>
      <c r="S33" s="216"/>
      <c r="T33" s="320"/>
      <c r="U33" s="320"/>
      <c r="V33" s="331"/>
      <c r="W33" s="331"/>
      <c r="X33" s="331"/>
      <c r="Y33" s="331"/>
      <c r="Z33" s="331"/>
      <c r="AA33" s="331"/>
      <c r="AB33" s="331"/>
      <c r="AC33" s="331"/>
      <c r="AD33" s="331"/>
      <c r="AE33" s="331"/>
      <c r="AF33" s="331"/>
      <c r="AG33" s="331"/>
      <c r="AI33" s="331" t="s">
        <v>2163</v>
      </c>
    </row>
    <row r="34" spans="1:35" ht="39.950000000000003" customHeight="1">
      <c r="A34" s="331">
        <v>32</v>
      </c>
      <c r="B34" s="322">
        <v>45219</v>
      </c>
      <c r="C34" s="331"/>
      <c r="D34" s="216" t="s">
        <v>1176</v>
      </c>
      <c r="E34" s="346" t="s">
        <v>2213</v>
      </c>
      <c r="F34" s="331">
        <v>3</v>
      </c>
      <c r="G34" s="331" t="s">
        <v>21</v>
      </c>
      <c r="H34" s="322"/>
      <c r="I34" s="322"/>
      <c r="J34" s="322"/>
      <c r="K34" s="331"/>
      <c r="L34" s="216" t="s">
        <v>1177</v>
      </c>
      <c r="M34" s="216"/>
      <c r="N34" s="216" t="s">
        <v>2180</v>
      </c>
      <c r="O34" s="216"/>
      <c r="P34" s="216"/>
      <c r="Q34" s="216" t="s">
        <v>709</v>
      </c>
      <c r="R34" s="216"/>
      <c r="S34" s="216"/>
      <c r="T34" s="320"/>
      <c r="U34" s="320"/>
      <c r="V34" s="331"/>
      <c r="W34" s="331"/>
      <c r="X34" s="331"/>
      <c r="Y34" s="331"/>
      <c r="Z34" s="331"/>
      <c r="AA34" s="331"/>
      <c r="AB34" s="331"/>
      <c r="AC34" s="331"/>
      <c r="AD34" s="331"/>
      <c r="AE34" s="331"/>
      <c r="AF34" s="331"/>
      <c r="AG34" s="331"/>
      <c r="AI34" s="331" t="s">
        <v>2163</v>
      </c>
    </row>
    <row r="35" spans="1:35" ht="39.950000000000003" customHeight="1">
      <c r="A35" s="331">
        <v>33</v>
      </c>
      <c r="B35" s="322">
        <v>45219</v>
      </c>
      <c r="C35" s="331"/>
      <c r="D35" s="216" t="s">
        <v>991</v>
      </c>
      <c r="E35" s="346" t="s">
        <v>2214</v>
      </c>
      <c r="F35" s="331">
        <v>3</v>
      </c>
      <c r="G35" s="331" t="s">
        <v>1839</v>
      </c>
      <c r="H35" s="322"/>
      <c r="I35" s="322"/>
      <c r="J35" s="322"/>
      <c r="K35" s="331"/>
      <c r="L35" s="216" t="s">
        <v>598</v>
      </c>
      <c r="M35" s="216"/>
      <c r="N35" s="216" t="s">
        <v>2181</v>
      </c>
      <c r="O35" s="216"/>
      <c r="P35" s="216"/>
      <c r="Q35" s="216" t="s">
        <v>709</v>
      </c>
      <c r="R35" s="216"/>
      <c r="S35" s="216"/>
      <c r="T35" s="320"/>
      <c r="U35" s="320"/>
      <c r="V35" s="331"/>
      <c r="W35" s="331"/>
      <c r="X35" s="331"/>
      <c r="Y35" s="331"/>
      <c r="Z35" s="331"/>
      <c r="AA35" s="331"/>
      <c r="AB35" s="331"/>
      <c r="AC35" s="331"/>
      <c r="AD35" s="331"/>
      <c r="AE35" s="331"/>
      <c r="AF35" s="331"/>
      <c r="AG35" s="331"/>
      <c r="AI35" s="331" t="s">
        <v>2163</v>
      </c>
    </row>
    <row r="36" spans="1:35" ht="39.950000000000003" customHeight="1">
      <c r="A36" s="331">
        <v>34</v>
      </c>
      <c r="B36" s="322">
        <v>45222</v>
      </c>
      <c r="C36" s="216" t="s">
        <v>58</v>
      </c>
      <c r="D36" s="216" t="s">
        <v>2182</v>
      </c>
      <c r="E36" s="346" t="s">
        <v>2183</v>
      </c>
      <c r="F36" s="331">
        <v>1</v>
      </c>
      <c r="G36" s="216" t="s">
        <v>32</v>
      </c>
      <c r="H36" s="322"/>
      <c r="I36" s="322"/>
      <c r="J36" s="322"/>
      <c r="K36" s="331"/>
      <c r="L36" s="216" t="s">
        <v>284</v>
      </c>
      <c r="M36" s="216"/>
      <c r="N36" s="216" t="s">
        <v>2193</v>
      </c>
      <c r="O36" s="216"/>
      <c r="P36" s="216"/>
      <c r="Q36" s="216" t="s">
        <v>709</v>
      </c>
      <c r="R36" s="216"/>
      <c r="S36" s="216"/>
      <c r="T36" s="320"/>
      <c r="U36" s="320"/>
      <c r="V36" s="331"/>
      <c r="W36" s="331"/>
      <c r="X36" s="331"/>
      <c r="Y36" s="331"/>
      <c r="Z36" s="331"/>
      <c r="AA36" s="331"/>
      <c r="AB36" s="331"/>
      <c r="AC36" s="331"/>
      <c r="AD36" s="331"/>
      <c r="AE36" s="331"/>
      <c r="AF36" s="331"/>
      <c r="AG36" s="331"/>
      <c r="AI36" s="331" t="s">
        <v>2163</v>
      </c>
    </row>
    <row r="37" spans="1:35" ht="39.950000000000003" customHeight="1">
      <c r="A37" s="331">
        <v>35</v>
      </c>
      <c r="B37" s="322">
        <v>45222</v>
      </c>
      <c r="C37" s="216" t="s">
        <v>58</v>
      </c>
      <c r="D37" s="216" t="s">
        <v>2184</v>
      </c>
      <c r="E37" s="344" t="s">
        <v>2185</v>
      </c>
      <c r="F37" s="331">
        <v>3</v>
      </c>
      <c r="G37" s="331" t="s">
        <v>1841</v>
      </c>
      <c r="H37" s="322"/>
      <c r="I37" s="322"/>
      <c r="J37" s="322"/>
      <c r="K37" s="331"/>
      <c r="L37" s="216" t="s">
        <v>592</v>
      </c>
      <c r="M37" s="216" t="s">
        <v>794</v>
      </c>
      <c r="N37" s="349" t="s">
        <v>2267</v>
      </c>
      <c r="O37" s="216"/>
      <c r="P37" s="216"/>
      <c r="Q37" s="216" t="s">
        <v>709</v>
      </c>
      <c r="R37" s="216"/>
      <c r="S37" s="216"/>
      <c r="T37" s="320"/>
      <c r="U37" s="320"/>
      <c r="V37" s="331"/>
      <c r="W37" s="331"/>
      <c r="X37" s="331"/>
      <c r="Y37" s="331"/>
      <c r="Z37" s="331"/>
      <c r="AA37" s="331"/>
      <c r="AB37" s="331"/>
      <c r="AC37" s="331"/>
      <c r="AD37" s="331"/>
      <c r="AE37" s="331"/>
      <c r="AF37" s="331"/>
      <c r="AG37" s="331"/>
      <c r="AH37" s="331"/>
      <c r="AI37" s="331"/>
    </row>
    <row r="38" spans="1:35" ht="39.950000000000003" customHeight="1">
      <c r="A38" s="331">
        <v>36</v>
      </c>
      <c r="B38" s="322">
        <v>45219</v>
      </c>
      <c r="C38" s="216" t="s">
        <v>58</v>
      </c>
      <c r="D38" s="216" t="s">
        <v>2186</v>
      </c>
      <c r="E38" s="346" t="s">
        <v>2188</v>
      </c>
      <c r="F38" s="331">
        <v>1</v>
      </c>
      <c r="G38" s="331" t="s">
        <v>1839</v>
      </c>
      <c r="H38" s="322"/>
      <c r="I38" s="322"/>
      <c r="J38" s="322"/>
      <c r="K38" s="331"/>
      <c r="L38" s="216" t="s">
        <v>591</v>
      </c>
      <c r="M38" s="216" t="s">
        <v>2187</v>
      </c>
      <c r="N38" s="331"/>
      <c r="O38" s="216"/>
      <c r="P38" s="216"/>
      <c r="Q38" s="216" t="s">
        <v>709</v>
      </c>
      <c r="R38" s="216"/>
      <c r="S38" s="216"/>
      <c r="T38" s="320"/>
      <c r="U38" s="320"/>
      <c r="V38" s="331"/>
      <c r="W38" s="331"/>
      <c r="X38" s="331"/>
      <c r="Y38" s="331"/>
      <c r="Z38" s="331"/>
      <c r="AA38" s="331"/>
      <c r="AB38" s="331"/>
      <c r="AC38" s="331"/>
      <c r="AD38" s="331"/>
      <c r="AE38" s="331"/>
      <c r="AF38" s="331"/>
      <c r="AG38" s="331"/>
      <c r="AI38" s="331" t="s">
        <v>2163</v>
      </c>
    </row>
    <row r="39" spans="1:35" ht="39.950000000000003" customHeight="1">
      <c r="A39" s="331">
        <v>37</v>
      </c>
      <c r="B39" s="322">
        <v>45222</v>
      </c>
      <c r="C39" s="332">
        <v>0.5</v>
      </c>
      <c r="D39" s="216" t="s">
        <v>1227</v>
      </c>
      <c r="E39" s="346" t="s">
        <v>2216</v>
      </c>
      <c r="F39" s="331">
        <v>4</v>
      </c>
      <c r="G39" s="331" t="s">
        <v>32</v>
      </c>
      <c r="H39" s="322"/>
      <c r="I39" s="322"/>
      <c r="J39" s="322"/>
      <c r="K39" s="331"/>
      <c r="L39" s="216" t="s">
        <v>576</v>
      </c>
      <c r="M39" s="216" t="s">
        <v>2215</v>
      </c>
      <c r="N39" s="216" t="s">
        <v>2278</v>
      </c>
      <c r="O39" s="216"/>
      <c r="P39" s="216"/>
      <c r="Q39" s="216" t="s">
        <v>709</v>
      </c>
      <c r="R39" s="216"/>
      <c r="S39" s="216"/>
      <c r="T39" s="320"/>
      <c r="U39" s="320"/>
      <c r="V39" s="331"/>
      <c r="W39" s="331"/>
      <c r="X39" s="331"/>
      <c r="Y39" s="331"/>
      <c r="Z39" s="331"/>
      <c r="AA39" s="331"/>
      <c r="AB39" s="331"/>
      <c r="AC39" s="331"/>
      <c r="AD39" s="331"/>
      <c r="AE39" s="331"/>
      <c r="AF39" s="331"/>
      <c r="AG39" s="331"/>
      <c r="AH39" s="331"/>
      <c r="AI39" s="331" t="s">
        <v>2163</v>
      </c>
    </row>
    <row r="40" spans="1:35" ht="39.950000000000003" customHeight="1">
      <c r="A40" s="331">
        <v>38</v>
      </c>
      <c r="B40" s="322">
        <v>45222</v>
      </c>
      <c r="C40" s="332">
        <v>0.47222222222222227</v>
      </c>
      <c r="D40" s="216" t="s">
        <v>1702</v>
      </c>
      <c r="E40" s="346" t="s">
        <v>2253</v>
      </c>
      <c r="F40" s="331">
        <v>6</v>
      </c>
      <c r="G40" s="331" t="s">
        <v>21</v>
      </c>
      <c r="H40" s="322"/>
      <c r="I40" s="322"/>
      <c r="J40" s="322"/>
      <c r="K40" s="331"/>
      <c r="L40" s="216" t="s">
        <v>574</v>
      </c>
      <c r="M40" s="216" t="s">
        <v>1409</v>
      </c>
      <c r="N40" s="216" t="s">
        <v>2242</v>
      </c>
      <c r="O40" s="216"/>
      <c r="P40" s="216"/>
      <c r="Q40" s="216" t="s">
        <v>709</v>
      </c>
      <c r="R40" s="216"/>
      <c r="S40" s="216"/>
      <c r="T40" s="320"/>
      <c r="U40" s="320"/>
      <c r="V40" s="331"/>
      <c r="W40" s="331"/>
      <c r="X40" s="331"/>
      <c r="Y40" s="331"/>
      <c r="Z40" s="331"/>
      <c r="AA40" s="331"/>
      <c r="AB40" s="331"/>
      <c r="AC40" s="331"/>
      <c r="AD40" s="331"/>
      <c r="AE40" s="331"/>
      <c r="AF40" s="331"/>
      <c r="AG40" s="331"/>
      <c r="AH40" s="331"/>
      <c r="AI40" s="331" t="s">
        <v>2163</v>
      </c>
    </row>
    <row r="41" spans="1:35" ht="39.950000000000003" customHeight="1">
      <c r="A41" s="331">
        <v>39</v>
      </c>
      <c r="B41" s="322">
        <v>45222</v>
      </c>
      <c r="C41" s="332">
        <v>0.5</v>
      </c>
      <c r="D41" s="216" t="s">
        <v>1591</v>
      </c>
      <c r="E41" s="344" t="s">
        <v>2222</v>
      </c>
      <c r="F41" s="331">
        <v>7</v>
      </c>
      <c r="G41" s="331" t="s">
        <v>1841</v>
      </c>
      <c r="H41" s="322"/>
      <c r="I41" s="322"/>
      <c r="J41" s="322"/>
      <c r="K41" s="331"/>
      <c r="L41" s="216" t="s">
        <v>597</v>
      </c>
      <c r="M41" s="216" t="s">
        <v>538</v>
      </c>
      <c r="N41" s="216" t="s">
        <v>2223</v>
      </c>
      <c r="O41" s="216"/>
      <c r="P41" s="216"/>
      <c r="Q41" s="216" t="s">
        <v>709</v>
      </c>
      <c r="R41" s="216"/>
      <c r="S41" s="216"/>
      <c r="T41" s="320"/>
      <c r="U41" s="320"/>
      <c r="V41" s="331"/>
      <c r="W41" s="331"/>
      <c r="X41" s="331"/>
      <c r="Y41" s="331"/>
      <c r="Z41" s="331"/>
      <c r="AA41" s="331"/>
      <c r="AB41" s="331"/>
      <c r="AC41" s="331"/>
      <c r="AD41" s="331"/>
      <c r="AE41" s="331"/>
      <c r="AF41" s="331"/>
      <c r="AG41" s="331"/>
      <c r="AH41" s="331"/>
      <c r="AI41" s="331"/>
    </row>
    <row r="42" spans="1:35" ht="39.950000000000003" customHeight="1">
      <c r="A42" s="331">
        <v>40</v>
      </c>
      <c r="B42" s="322">
        <v>45222</v>
      </c>
      <c r="C42" s="332">
        <v>0.52638888888888891</v>
      </c>
      <c r="D42" s="216" t="s">
        <v>1837</v>
      </c>
      <c r="E42" s="346" t="s">
        <v>2241</v>
      </c>
      <c r="F42" s="331">
        <v>8</v>
      </c>
      <c r="G42" s="331" t="s">
        <v>21</v>
      </c>
      <c r="H42" s="322"/>
      <c r="I42" s="322"/>
      <c r="J42" s="322"/>
      <c r="K42" s="331"/>
      <c r="L42" s="216" t="s">
        <v>595</v>
      </c>
      <c r="M42" s="216" t="s">
        <v>657</v>
      </c>
      <c r="N42" s="216" t="s">
        <v>2224</v>
      </c>
      <c r="O42" s="216"/>
      <c r="P42" s="216"/>
      <c r="Q42" s="216" t="s">
        <v>709</v>
      </c>
      <c r="R42" s="216"/>
      <c r="S42" s="216"/>
      <c r="T42" s="320"/>
      <c r="U42" s="320"/>
      <c r="V42" s="331"/>
      <c r="W42" s="331"/>
      <c r="X42" s="331"/>
      <c r="Y42" s="331"/>
      <c r="Z42" s="331"/>
      <c r="AA42" s="331"/>
      <c r="AB42" s="331"/>
      <c r="AC42" s="331"/>
      <c r="AD42" s="331"/>
      <c r="AE42" s="331"/>
      <c r="AF42" s="331"/>
      <c r="AG42" s="331"/>
      <c r="AH42" s="331"/>
      <c r="AI42" s="331" t="s">
        <v>2163</v>
      </c>
    </row>
    <row r="43" spans="1:35" ht="39.950000000000003" customHeight="1">
      <c r="A43" s="331">
        <v>41</v>
      </c>
      <c r="B43" s="322">
        <v>45222</v>
      </c>
      <c r="C43" s="332">
        <v>0.53888888888888886</v>
      </c>
      <c r="D43" s="216" t="s">
        <v>1234</v>
      </c>
      <c r="E43" s="346" t="s">
        <v>2226</v>
      </c>
      <c r="F43" s="331">
        <v>4</v>
      </c>
      <c r="G43" s="331" t="s">
        <v>1839</v>
      </c>
      <c r="H43" s="322"/>
      <c r="I43" s="322"/>
      <c r="J43" s="322"/>
      <c r="K43" s="331"/>
      <c r="L43" s="216" t="s">
        <v>588</v>
      </c>
      <c r="M43" s="216" t="s">
        <v>1241</v>
      </c>
      <c r="N43" s="216" t="s">
        <v>2225</v>
      </c>
      <c r="O43" s="216"/>
      <c r="P43" s="216"/>
      <c r="Q43" s="216" t="s">
        <v>709</v>
      </c>
      <c r="R43" s="216"/>
      <c r="S43" s="216"/>
      <c r="T43" s="320"/>
      <c r="U43" s="320"/>
      <c r="V43" s="331"/>
      <c r="W43" s="331"/>
      <c r="X43" s="331"/>
      <c r="Y43" s="331"/>
      <c r="Z43" s="331"/>
      <c r="AA43" s="331"/>
      <c r="AB43" s="331"/>
      <c r="AC43" s="331"/>
      <c r="AD43" s="331"/>
      <c r="AE43" s="331"/>
      <c r="AF43" s="331"/>
      <c r="AG43" s="331"/>
      <c r="AH43" s="331"/>
      <c r="AI43" s="331" t="s">
        <v>2163</v>
      </c>
    </row>
    <row r="44" spans="1:35" ht="39.950000000000003" customHeight="1">
      <c r="A44" s="331">
        <v>42</v>
      </c>
      <c r="B44" s="322">
        <v>45222</v>
      </c>
      <c r="C44" s="332">
        <v>0.53819444444444442</v>
      </c>
      <c r="D44" s="216" t="s">
        <v>2251</v>
      </c>
      <c r="E44" s="346" t="s">
        <v>2238</v>
      </c>
      <c r="F44" s="331">
        <v>7</v>
      </c>
      <c r="G44" s="331" t="s">
        <v>32</v>
      </c>
      <c r="H44" s="322"/>
      <c r="I44" s="322"/>
      <c r="J44" s="322"/>
      <c r="K44" s="331"/>
      <c r="L44" s="216" t="s">
        <v>461</v>
      </c>
      <c r="M44" s="350" t="s">
        <v>1422</v>
      </c>
      <c r="N44" s="216" t="s">
        <v>2234</v>
      </c>
      <c r="O44" s="216"/>
      <c r="P44" s="216"/>
      <c r="Q44" s="216" t="s">
        <v>709</v>
      </c>
      <c r="R44" s="216"/>
      <c r="S44" s="216"/>
      <c r="T44" s="320"/>
      <c r="U44" s="320"/>
      <c r="V44" s="331"/>
      <c r="W44" s="331"/>
      <c r="X44" s="331"/>
      <c r="Y44" s="331"/>
      <c r="Z44" s="331"/>
      <c r="AA44" s="331"/>
      <c r="AB44" s="331"/>
      <c r="AC44" s="331"/>
      <c r="AD44" s="331"/>
      <c r="AE44" s="331"/>
      <c r="AF44" s="331"/>
      <c r="AG44" s="331"/>
      <c r="AH44" s="331"/>
      <c r="AI44" s="331" t="s">
        <v>2163</v>
      </c>
    </row>
    <row r="45" spans="1:35" ht="39.950000000000003" customHeight="1">
      <c r="A45" s="331">
        <v>43</v>
      </c>
      <c r="B45" s="322">
        <v>45222</v>
      </c>
      <c r="C45" s="332">
        <v>0.53611111111111109</v>
      </c>
      <c r="D45" s="216" t="s">
        <v>2235</v>
      </c>
      <c r="E45" s="346" t="s">
        <v>2239</v>
      </c>
      <c r="F45" s="331">
        <v>7</v>
      </c>
      <c r="G45" s="331" t="s">
        <v>1841</v>
      </c>
      <c r="H45" s="322"/>
      <c r="I45" s="322"/>
      <c r="J45" s="322"/>
      <c r="K45" s="331"/>
      <c r="L45" s="216" t="s">
        <v>599</v>
      </c>
      <c r="M45" s="216" t="s">
        <v>1476</v>
      </c>
      <c r="N45" s="216" t="s">
        <v>2236</v>
      </c>
      <c r="O45" s="216"/>
      <c r="P45" s="216"/>
      <c r="Q45" s="216" t="s">
        <v>709</v>
      </c>
      <c r="R45" s="216"/>
      <c r="S45" s="216"/>
      <c r="T45" s="320"/>
      <c r="U45" s="320"/>
      <c r="V45" s="331"/>
      <c r="W45" s="331"/>
      <c r="X45" s="331"/>
      <c r="Y45" s="331"/>
      <c r="Z45" s="331"/>
      <c r="AA45" s="331"/>
      <c r="AB45" s="331"/>
      <c r="AC45" s="331"/>
      <c r="AD45" s="331"/>
      <c r="AE45" s="331"/>
      <c r="AF45" s="331"/>
      <c r="AG45" s="331"/>
      <c r="AH45" s="331"/>
      <c r="AI45" s="331" t="s">
        <v>2163</v>
      </c>
    </row>
    <row r="46" spans="1:35" ht="39.950000000000003" customHeight="1">
      <c r="A46" s="331">
        <v>44</v>
      </c>
      <c r="B46" s="322">
        <v>45219</v>
      </c>
      <c r="C46" s="319" t="s">
        <v>2250</v>
      </c>
      <c r="D46" s="216" t="s">
        <v>1815</v>
      </c>
      <c r="E46" s="346" t="s">
        <v>2240</v>
      </c>
      <c r="F46" s="331">
        <v>8</v>
      </c>
      <c r="G46" s="331" t="s">
        <v>21</v>
      </c>
      <c r="H46" s="322"/>
      <c r="I46" s="322"/>
      <c r="J46" s="322"/>
      <c r="K46" s="331"/>
      <c r="L46" s="216" t="s">
        <v>574</v>
      </c>
      <c r="M46" s="216" t="s">
        <v>794</v>
      </c>
      <c r="N46" s="216" t="s">
        <v>2237</v>
      </c>
      <c r="O46" s="216"/>
      <c r="P46" s="216"/>
      <c r="Q46" s="216" t="s">
        <v>709</v>
      </c>
      <c r="R46" s="216"/>
      <c r="S46" s="216"/>
      <c r="T46" s="320"/>
      <c r="U46" s="320"/>
      <c r="V46" s="331"/>
      <c r="W46" s="331"/>
      <c r="X46" s="331"/>
      <c r="Y46" s="331"/>
      <c r="Z46" s="331"/>
      <c r="AA46" s="331"/>
      <c r="AB46" s="331"/>
      <c r="AC46" s="331"/>
      <c r="AD46" s="331"/>
      <c r="AE46" s="331"/>
      <c r="AF46" s="331"/>
      <c r="AG46" s="331"/>
      <c r="AH46" s="331"/>
      <c r="AI46" s="331" t="s">
        <v>2163</v>
      </c>
    </row>
    <row r="47" spans="1:35" ht="39.950000000000003" customHeight="1">
      <c r="A47" s="331">
        <v>45</v>
      </c>
      <c r="B47" s="322">
        <v>45224</v>
      </c>
      <c r="C47" s="332">
        <v>0.38611111111111113</v>
      </c>
      <c r="D47" s="216" t="s">
        <v>1897</v>
      </c>
      <c r="E47" s="346" t="s">
        <v>2283</v>
      </c>
      <c r="F47" s="331">
        <v>1</v>
      </c>
      <c r="G47" s="331" t="s">
        <v>1841</v>
      </c>
      <c r="H47" s="322"/>
      <c r="I47" s="322"/>
      <c r="J47" s="322"/>
      <c r="K47" s="331"/>
      <c r="L47" s="216" t="s">
        <v>596</v>
      </c>
      <c r="M47" s="382" t="s">
        <v>2105</v>
      </c>
      <c r="N47" s="349" t="s">
        <v>2267</v>
      </c>
      <c r="O47" s="216"/>
      <c r="P47" s="216"/>
      <c r="Q47" s="216" t="s">
        <v>709</v>
      </c>
      <c r="R47" s="216"/>
      <c r="S47" s="216"/>
      <c r="T47" s="320"/>
      <c r="U47" s="320"/>
      <c r="V47" s="331"/>
      <c r="W47" s="331"/>
      <c r="X47" s="331"/>
      <c r="Y47" s="331"/>
      <c r="Z47" s="331"/>
      <c r="AA47" s="331"/>
      <c r="AB47" s="331"/>
      <c r="AC47" s="331"/>
      <c r="AD47" s="331"/>
      <c r="AE47" s="331"/>
      <c r="AF47" s="331"/>
      <c r="AG47" s="331"/>
      <c r="AH47" s="331"/>
      <c r="AI47" s="331" t="s">
        <v>2163</v>
      </c>
    </row>
    <row r="48" spans="1:35" ht="39.950000000000003" customHeight="1">
      <c r="A48" s="331">
        <v>46</v>
      </c>
      <c r="B48" s="322">
        <v>45224</v>
      </c>
      <c r="C48" s="332">
        <v>0.49583333333333335</v>
      </c>
      <c r="D48" s="216" t="s">
        <v>1820</v>
      </c>
      <c r="E48" s="346" t="s">
        <v>2252</v>
      </c>
      <c r="F48" s="331">
        <v>2</v>
      </c>
      <c r="G48" s="331" t="s">
        <v>32</v>
      </c>
      <c r="H48" s="322"/>
      <c r="I48" s="322"/>
      <c r="J48" s="322"/>
      <c r="K48" s="331"/>
      <c r="L48" s="216" t="s">
        <v>588</v>
      </c>
      <c r="M48" s="386" t="s">
        <v>518</v>
      </c>
      <c r="N48" s="216" t="s">
        <v>2273</v>
      </c>
      <c r="O48" s="216"/>
      <c r="P48" s="216"/>
      <c r="Q48" s="216" t="s">
        <v>709</v>
      </c>
      <c r="R48" s="216"/>
      <c r="S48" s="216"/>
      <c r="T48" s="320"/>
      <c r="U48" s="320"/>
      <c r="V48" s="331"/>
      <c r="W48" s="331"/>
      <c r="X48" s="331"/>
      <c r="Y48" s="331"/>
      <c r="Z48" s="331"/>
      <c r="AA48" s="331"/>
      <c r="AB48" s="331"/>
      <c r="AC48" s="331"/>
      <c r="AD48" s="331"/>
      <c r="AE48" s="331"/>
      <c r="AF48" s="331"/>
      <c r="AG48" s="331"/>
      <c r="AH48" s="331"/>
      <c r="AI48" s="331" t="s">
        <v>2163</v>
      </c>
    </row>
    <row r="49" spans="1:36" ht="39.950000000000003" customHeight="1">
      <c r="A49" s="331">
        <v>47</v>
      </c>
      <c r="B49" s="288">
        <v>45225</v>
      </c>
      <c r="C49" s="332">
        <v>0.51111111111111118</v>
      </c>
      <c r="D49" s="216" t="s">
        <v>2257</v>
      </c>
      <c r="E49" s="346" t="s">
        <v>2265</v>
      </c>
      <c r="F49" s="331">
        <v>3</v>
      </c>
      <c r="G49" s="331"/>
      <c r="H49" s="322"/>
      <c r="I49" s="322"/>
      <c r="J49" s="322"/>
      <c r="K49" s="331"/>
      <c r="L49" s="216" t="s">
        <v>596</v>
      </c>
      <c r="M49" s="216" t="s">
        <v>512</v>
      </c>
      <c r="N49" s="331"/>
      <c r="O49" s="216"/>
      <c r="P49" s="216"/>
      <c r="Q49" s="216" t="s">
        <v>709</v>
      </c>
      <c r="R49" s="216"/>
      <c r="S49" s="216"/>
      <c r="T49" s="320"/>
      <c r="U49" s="320"/>
      <c r="V49" s="331"/>
      <c r="W49" s="331"/>
      <c r="X49" s="331"/>
      <c r="Y49" s="331"/>
      <c r="Z49" s="331"/>
      <c r="AA49" s="331"/>
      <c r="AB49" s="331"/>
      <c r="AC49" s="331"/>
      <c r="AD49" s="331"/>
      <c r="AE49" s="331"/>
      <c r="AF49" s="331"/>
      <c r="AG49" s="331"/>
      <c r="AH49" s="331"/>
      <c r="AI49" s="331" t="s">
        <v>2163</v>
      </c>
      <c r="AJ49" s="370"/>
    </row>
    <row r="50" spans="1:36" ht="39.950000000000003" customHeight="1">
      <c r="A50" s="331">
        <v>48</v>
      </c>
      <c r="B50" s="322">
        <v>45225</v>
      </c>
      <c r="C50" s="332">
        <v>0.4909722222222222</v>
      </c>
      <c r="D50" s="216" t="s">
        <v>1666</v>
      </c>
      <c r="E50" s="346" t="s">
        <v>2258</v>
      </c>
      <c r="F50" s="331">
        <v>2</v>
      </c>
      <c r="G50" s="331" t="s">
        <v>21</v>
      </c>
      <c r="H50" s="322"/>
      <c r="I50" s="322"/>
      <c r="J50" s="322"/>
      <c r="K50" s="331"/>
      <c r="L50" s="216" t="s">
        <v>469</v>
      </c>
      <c r="M50" s="382" t="s">
        <v>515</v>
      </c>
      <c r="N50" s="331"/>
      <c r="O50" s="216"/>
      <c r="P50" s="216"/>
      <c r="Q50" s="216" t="s">
        <v>709</v>
      </c>
      <c r="R50" s="216"/>
      <c r="S50" s="216"/>
      <c r="T50" s="320"/>
      <c r="U50" s="320"/>
      <c r="V50" s="331"/>
      <c r="W50" s="331"/>
      <c r="X50" s="331"/>
      <c r="Y50" s="331"/>
      <c r="Z50" s="331"/>
      <c r="AA50" s="331"/>
      <c r="AB50" s="331"/>
      <c r="AC50" s="331"/>
      <c r="AD50" s="331"/>
      <c r="AE50" s="331"/>
      <c r="AF50" s="331"/>
      <c r="AG50" s="331"/>
      <c r="AH50" s="331"/>
      <c r="AI50" s="331" t="s">
        <v>2163</v>
      </c>
      <c r="AJ50" s="370"/>
    </row>
    <row r="51" spans="1:36" ht="39.950000000000003" customHeight="1">
      <c r="A51" s="331">
        <v>49</v>
      </c>
      <c r="B51" s="322">
        <v>45225</v>
      </c>
      <c r="C51" s="332">
        <v>0.45416666666666666</v>
      </c>
      <c r="D51" s="216" t="s">
        <v>1266</v>
      </c>
      <c r="E51" s="346" t="s">
        <v>2259</v>
      </c>
      <c r="F51" s="331">
        <v>7</v>
      </c>
      <c r="G51" s="331" t="s">
        <v>1839</v>
      </c>
      <c r="H51" s="322"/>
      <c r="I51" s="322"/>
      <c r="J51" s="322"/>
      <c r="K51" s="331"/>
      <c r="L51" s="216" t="s">
        <v>598</v>
      </c>
      <c r="M51" s="216" t="s">
        <v>1476</v>
      </c>
      <c r="N51" s="216"/>
      <c r="O51" s="216"/>
      <c r="P51" s="216"/>
      <c r="Q51" s="216" t="s">
        <v>709</v>
      </c>
      <c r="R51" s="216"/>
      <c r="S51" s="216"/>
      <c r="T51" s="320"/>
      <c r="U51" s="320"/>
      <c r="V51" s="331"/>
      <c r="W51" s="331"/>
      <c r="X51" s="331"/>
      <c r="Y51" s="331"/>
      <c r="Z51" s="331"/>
      <c r="AA51" s="331"/>
      <c r="AB51" s="331"/>
      <c r="AC51" s="331"/>
      <c r="AD51" s="331"/>
      <c r="AE51" s="331"/>
      <c r="AF51" s="331"/>
      <c r="AG51" s="331"/>
      <c r="AH51" s="331"/>
      <c r="AI51" s="331" t="s">
        <v>2163</v>
      </c>
      <c r="AJ51" s="370"/>
    </row>
    <row r="52" spans="1:36" ht="39.950000000000003" customHeight="1">
      <c r="A52" s="331">
        <v>50</v>
      </c>
      <c r="B52" s="322">
        <v>45225</v>
      </c>
      <c r="C52" s="332">
        <v>0.45277777777777778</v>
      </c>
      <c r="D52" s="216" t="s">
        <v>2260</v>
      </c>
      <c r="E52" s="344" t="s">
        <v>2261</v>
      </c>
      <c r="F52" s="331">
        <v>7</v>
      </c>
      <c r="G52" s="331" t="s">
        <v>32</v>
      </c>
      <c r="H52" s="322"/>
      <c r="I52" s="322"/>
      <c r="J52" s="322"/>
      <c r="K52" s="331"/>
      <c r="L52" s="216" t="s">
        <v>578</v>
      </c>
      <c r="M52" s="216" t="s">
        <v>1322</v>
      </c>
      <c r="N52" s="331"/>
      <c r="O52" s="216"/>
      <c r="P52" s="216"/>
      <c r="Q52" s="216" t="s">
        <v>709</v>
      </c>
      <c r="R52" s="216"/>
      <c r="S52" s="216"/>
      <c r="T52" s="320"/>
      <c r="U52" s="320"/>
      <c r="V52" s="331"/>
      <c r="W52" s="331"/>
      <c r="X52" s="331"/>
      <c r="Y52" s="331"/>
      <c r="Z52" s="331"/>
      <c r="AA52" s="331"/>
      <c r="AB52" s="331"/>
      <c r="AC52" s="331"/>
      <c r="AD52" s="331"/>
      <c r="AE52" s="331"/>
      <c r="AF52" s="331"/>
      <c r="AG52" s="331"/>
      <c r="AH52" s="331"/>
      <c r="AI52" s="331" t="s">
        <v>2254</v>
      </c>
      <c r="AJ52" s="370"/>
    </row>
    <row r="53" spans="1:36" ht="39.950000000000003" customHeight="1">
      <c r="A53" s="331">
        <v>51</v>
      </c>
      <c r="B53" s="322">
        <v>45225</v>
      </c>
      <c r="C53" s="332">
        <v>0.45208333333333334</v>
      </c>
      <c r="D53" s="216" t="s">
        <v>1626</v>
      </c>
      <c r="E53" s="344" t="s">
        <v>2262</v>
      </c>
      <c r="F53" s="331">
        <v>7</v>
      </c>
      <c r="G53" s="331" t="s">
        <v>1841</v>
      </c>
      <c r="H53" s="322"/>
      <c r="I53" s="322"/>
      <c r="J53" s="322"/>
      <c r="K53" s="331"/>
      <c r="L53" s="216" t="s">
        <v>574</v>
      </c>
      <c r="M53" s="216" t="s">
        <v>513</v>
      </c>
      <c r="N53" s="331"/>
      <c r="O53" s="216"/>
      <c r="P53" s="216"/>
      <c r="Q53" s="216" t="s">
        <v>709</v>
      </c>
      <c r="R53" s="216"/>
      <c r="S53" s="216"/>
      <c r="T53" s="320"/>
      <c r="U53" s="320"/>
      <c r="V53" s="331"/>
      <c r="W53" s="331"/>
      <c r="X53" s="331"/>
      <c r="Y53" s="331"/>
      <c r="Z53" s="331"/>
      <c r="AA53" s="331"/>
      <c r="AB53" s="331"/>
      <c r="AC53" s="331"/>
      <c r="AD53" s="331"/>
      <c r="AE53" s="331"/>
      <c r="AF53" s="331"/>
      <c r="AG53" s="331"/>
      <c r="AH53" s="331"/>
      <c r="AI53" s="331" t="s">
        <v>2254</v>
      </c>
      <c r="AJ53" s="370"/>
    </row>
    <row r="54" spans="1:36" ht="39.950000000000003" customHeight="1">
      <c r="A54" s="331">
        <v>52</v>
      </c>
      <c r="B54" s="322">
        <v>45225</v>
      </c>
      <c r="C54" s="332">
        <v>0.4458333333333333</v>
      </c>
      <c r="D54" s="216" t="s">
        <v>2263</v>
      </c>
      <c r="E54" s="344" t="s">
        <v>2269</v>
      </c>
      <c r="F54" s="331">
        <v>3</v>
      </c>
      <c r="G54" s="331" t="s">
        <v>1839</v>
      </c>
      <c r="H54" s="322"/>
      <c r="I54" s="322"/>
      <c r="J54" s="322"/>
      <c r="K54" s="331"/>
      <c r="L54" s="216" t="s">
        <v>587</v>
      </c>
      <c r="M54" s="382" t="s">
        <v>757</v>
      </c>
      <c r="N54" s="331"/>
      <c r="O54" s="216"/>
      <c r="P54" s="216"/>
      <c r="Q54" s="216" t="s">
        <v>709</v>
      </c>
      <c r="R54" s="216"/>
      <c r="S54" s="216"/>
      <c r="T54" s="320"/>
      <c r="U54" s="320"/>
      <c r="V54" s="331"/>
      <c r="W54" s="331"/>
      <c r="X54" s="331"/>
      <c r="Y54" s="331"/>
      <c r="Z54" s="331"/>
      <c r="AA54" s="331"/>
      <c r="AB54" s="331"/>
      <c r="AC54" s="331"/>
      <c r="AD54" s="331"/>
      <c r="AE54" s="331"/>
      <c r="AF54" s="331"/>
      <c r="AG54" s="331"/>
      <c r="AH54" s="331"/>
      <c r="AI54" s="331" t="s">
        <v>2254</v>
      </c>
      <c r="AJ54" s="370"/>
    </row>
    <row r="55" spans="1:36" ht="39.950000000000003" customHeight="1">
      <c r="A55" s="331">
        <v>53</v>
      </c>
      <c r="B55" s="322">
        <v>45225</v>
      </c>
      <c r="C55" s="332">
        <v>0.44305555555555554</v>
      </c>
      <c r="D55" s="216" t="s">
        <v>1552</v>
      </c>
      <c r="E55" s="346" t="s">
        <v>2264</v>
      </c>
      <c r="F55" s="331">
        <v>6</v>
      </c>
      <c r="G55" s="331" t="s">
        <v>21</v>
      </c>
      <c r="H55" s="322"/>
      <c r="I55" s="322"/>
      <c r="J55" s="322"/>
      <c r="K55" s="331"/>
      <c r="L55" s="216" t="s">
        <v>597</v>
      </c>
      <c r="M55" s="216" t="s">
        <v>2275</v>
      </c>
      <c r="N55" s="216" t="s">
        <v>2276</v>
      </c>
      <c r="O55" s="216"/>
      <c r="P55" s="216"/>
      <c r="Q55" s="216" t="s">
        <v>709</v>
      </c>
      <c r="R55" s="216"/>
      <c r="S55" s="216"/>
      <c r="T55" s="320"/>
      <c r="U55" s="320"/>
      <c r="V55" s="331"/>
      <c r="W55" s="331"/>
      <c r="X55" s="331"/>
      <c r="Y55" s="331"/>
      <c r="Z55" s="331"/>
      <c r="AA55" s="331"/>
      <c r="AB55" s="331"/>
      <c r="AC55" s="331"/>
      <c r="AD55" s="331"/>
      <c r="AE55" s="331"/>
      <c r="AF55" s="331"/>
      <c r="AG55" s="331"/>
      <c r="AH55" s="331"/>
      <c r="AI55" s="331" t="s">
        <v>2163</v>
      </c>
      <c r="AJ55" s="370"/>
    </row>
    <row r="56" spans="1:36" ht="39.950000000000003" customHeight="1">
      <c r="A56" s="331">
        <v>54</v>
      </c>
      <c r="B56" s="322">
        <v>45226</v>
      </c>
      <c r="C56" s="332">
        <v>0.39374999999999999</v>
      </c>
      <c r="D56" s="216" t="s">
        <v>789</v>
      </c>
      <c r="E56" s="346" t="s">
        <v>2268</v>
      </c>
      <c r="F56" s="331">
        <v>2</v>
      </c>
      <c r="G56" s="331" t="s">
        <v>1839</v>
      </c>
      <c r="H56" s="322"/>
      <c r="I56" s="322"/>
      <c r="J56" s="322"/>
      <c r="K56" s="331"/>
      <c r="L56" s="216" t="s">
        <v>781</v>
      </c>
      <c r="M56" s="216" t="s">
        <v>529</v>
      </c>
      <c r="N56" s="216" t="s">
        <v>2282</v>
      </c>
      <c r="O56" s="216"/>
      <c r="P56" s="216"/>
      <c r="Q56" s="216" t="s">
        <v>709</v>
      </c>
      <c r="R56" s="216"/>
      <c r="S56" s="216"/>
      <c r="T56" s="320"/>
      <c r="U56" s="320"/>
      <c r="V56" s="331"/>
      <c r="W56" s="331"/>
      <c r="X56" s="331"/>
      <c r="Y56" s="331"/>
      <c r="Z56" s="331"/>
      <c r="AA56" s="331"/>
      <c r="AB56" s="331"/>
      <c r="AC56" s="331"/>
      <c r="AD56" s="331"/>
      <c r="AE56" s="331"/>
      <c r="AF56" s="331"/>
      <c r="AG56" s="331"/>
      <c r="AH56" s="331"/>
      <c r="AI56" s="331" t="s">
        <v>2163</v>
      </c>
      <c r="AJ56" s="370"/>
    </row>
    <row r="57" spans="1:36" ht="39.950000000000003" customHeight="1">
      <c r="A57" s="331">
        <v>55</v>
      </c>
      <c r="B57" s="322">
        <v>45225</v>
      </c>
      <c r="C57" s="332">
        <v>0.53125</v>
      </c>
      <c r="D57" s="216" t="s">
        <v>2270</v>
      </c>
      <c r="E57" s="346" t="s">
        <v>2272</v>
      </c>
      <c r="F57" s="331">
        <v>3</v>
      </c>
      <c r="G57" s="331"/>
      <c r="H57" s="322"/>
      <c r="I57" s="322"/>
      <c r="J57" s="322"/>
      <c r="K57" s="331"/>
      <c r="L57" s="216" t="s">
        <v>594</v>
      </c>
      <c r="M57" s="216" t="s">
        <v>513</v>
      </c>
      <c r="N57" s="216" t="s">
        <v>2271</v>
      </c>
      <c r="O57" s="216"/>
      <c r="P57" s="216"/>
      <c r="Q57" s="216" t="s">
        <v>709</v>
      </c>
      <c r="R57" s="216"/>
      <c r="S57" s="216"/>
      <c r="T57" s="320"/>
      <c r="U57" s="320"/>
      <c r="V57" s="331"/>
      <c r="W57" s="331"/>
      <c r="X57" s="331"/>
      <c r="Y57" s="331"/>
      <c r="Z57" s="331"/>
      <c r="AA57" s="331"/>
      <c r="AB57" s="331"/>
      <c r="AC57" s="331"/>
      <c r="AD57" s="331"/>
      <c r="AE57" s="331"/>
      <c r="AF57" s="331"/>
      <c r="AG57" s="331"/>
      <c r="AH57" s="331"/>
      <c r="AI57" s="331" t="s">
        <v>2163</v>
      </c>
      <c r="AJ57" s="370"/>
    </row>
    <row r="58" spans="1:36" ht="39.950000000000003" customHeight="1">
      <c r="A58" s="331">
        <v>56</v>
      </c>
      <c r="B58" s="322">
        <v>45224</v>
      </c>
      <c r="C58" s="332">
        <v>0.45833333333333331</v>
      </c>
      <c r="D58" s="216" t="s">
        <v>1768</v>
      </c>
      <c r="E58" s="346" t="s">
        <v>2274</v>
      </c>
      <c r="F58" s="331">
        <v>7</v>
      </c>
      <c r="G58" s="331" t="s">
        <v>1841</v>
      </c>
      <c r="H58" s="322"/>
      <c r="I58" s="322"/>
      <c r="J58" s="322"/>
      <c r="K58" s="331"/>
      <c r="L58" s="216" t="s">
        <v>596</v>
      </c>
      <c r="M58" s="387" t="s">
        <v>1494</v>
      </c>
      <c r="N58" s="331"/>
      <c r="O58" s="216"/>
      <c r="P58" s="216"/>
      <c r="Q58" s="216" t="s">
        <v>709</v>
      </c>
      <c r="R58" s="216"/>
      <c r="S58" s="216"/>
      <c r="T58" s="320"/>
      <c r="U58" s="320"/>
      <c r="V58" s="331"/>
      <c r="W58" s="331"/>
      <c r="X58" s="331"/>
      <c r="Y58" s="331"/>
      <c r="Z58" s="331"/>
      <c r="AA58" s="331"/>
      <c r="AB58" s="331"/>
      <c r="AC58" s="331"/>
      <c r="AD58" s="331"/>
      <c r="AE58" s="331"/>
      <c r="AF58" s="331"/>
      <c r="AG58" s="331"/>
      <c r="AH58" s="331"/>
      <c r="AI58" s="331" t="s">
        <v>2163</v>
      </c>
      <c r="AJ58" s="370"/>
    </row>
    <row r="59" spans="1:36" ht="39.950000000000003" customHeight="1">
      <c r="A59" s="331">
        <v>57</v>
      </c>
      <c r="B59" s="322">
        <v>45224</v>
      </c>
      <c r="C59" s="332">
        <v>0.45833333333333331</v>
      </c>
      <c r="D59" s="216" t="s">
        <v>1794</v>
      </c>
      <c r="E59" s="346" t="s">
        <v>2277</v>
      </c>
      <c r="F59" s="331">
        <v>7</v>
      </c>
      <c r="G59" s="331"/>
      <c r="H59" s="322"/>
      <c r="I59" s="322"/>
      <c r="J59" s="322"/>
      <c r="K59" s="331"/>
      <c r="L59" s="216" t="s">
        <v>284</v>
      </c>
      <c r="M59" s="389" t="s">
        <v>1522</v>
      </c>
      <c r="N59" s="349" t="s">
        <v>2267</v>
      </c>
      <c r="O59" s="216"/>
      <c r="P59" s="216"/>
      <c r="Q59" s="216" t="s">
        <v>709</v>
      </c>
      <c r="R59" s="216"/>
      <c r="S59" s="216"/>
      <c r="T59" s="320"/>
      <c r="U59" s="320"/>
      <c r="V59" s="331"/>
      <c r="W59" s="331"/>
      <c r="X59" s="331"/>
      <c r="Y59" s="331"/>
      <c r="Z59" s="331"/>
      <c r="AA59" s="331"/>
      <c r="AB59" s="331"/>
      <c r="AC59" s="331"/>
      <c r="AD59" s="331"/>
      <c r="AE59" s="331"/>
      <c r="AF59" s="331"/>
      <c r="AG59" s="331"/>
      <c r="AH59" s="331"/>
      <c r="AI59" s="331" t="s">
        <v>2163</v>
      </c>
      <c r="AJ59" s="370"/>
    </row>
    <row r="60" spans="1:36" ht="39.950000000000003" customHeight="1">
      <c r="A60" s="383">
        <v>58</v>
      </c>
      <c r="B60" s="334">
        <v>45224</v>
      </c>
      <c r="C60" s="384">
        <v>0.45833333333333331</v>
      </c>
      <c r="D60" s="324" t="s">
        <v>2279</v>
      </c>
      <c r="E60" s="385" t="s">
        <v>2280</v>
      </c>
      <c r="F60" s="383">
        <v>7</v>
      </c>
      <c r="G60" s="383" t="s">
        <v>32</v>
      </c>
      <c r="H60" s="334"/>
      <c r="I60" s="334"/>
      <c r="J60" s="334"/>
      <c r="K60" s="383"/>
      <c r="L60" s="324" t="s">
        <v>1384</v>
      </c>
      <c r="M60" s="388" t="s">
        <v>518</v>
      </c>
      <c r="N60" s="324" t="s">
        <v>2281</v>
      </c>
      <c r="O60" s="324"/>
      <c r="P60" s="324"/>
      <c r="Q60" s="324" t="s">
        <v>709</v>
      </c>
      <c r="R60" s="324"/>
      <c r="S60" s="324"/>
      <c r="T60" s="335"/>
      <c r="U60" s="335"/>
      <c r="V60" s="383"/>
      <c r="W60" s="383"/>
      <c r="X60" s="383"/>
      <c r="Y60" s="383"/>
      <c r="Z60" s="383"/>
      <c r="AA60" s="383"/>
      <c r="AB60" s="383"/>
      <c r="AC60" s="383"/>
      <c r="AD60" s="383"/>
      <c r="AE60" s="383"/>
      <c r="AF60" s="383"/>
      <c r="AG60" s="383"/>
      <c r="AH60" s="383"/>
      <c r="AI60" s="383" t="s">
        <v>2254</v>
      </c>
      <c r="AJ60" s="370"/>
    </row>
  </sheetData>
  <autoFilter ref="A2:Z2"/>
  <sortState ref="A3:AI48">
    <sortCondition ref="H3:H48"/>
    <sortCondition ref="I3:I48"/>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AF3:AF6">
    <cfRule type="expression" dxfId="429" priority="32">
      <formula>MAX($AC3,$AD3)&lt;1</formula>
    </cfRule>
  </conditionalFormatting>
  <conditionalFormatting sqref="AF7:AF10">
    <cfRule type="expression" dxfId="428" priority="31">
      <formula>MAX($AC7,$AD7)&lt;1</formula>
    </cfRule>
  </conditionalFormatting>
  <conditionalFormatting sqref="AF11:AF13">
    <cfRule type="expression" dxfId="427" priority="30">
      <formula>MAX($AC11,$AD11)&lt;1</formula>
    </cfRule>
  </conditionalFormatting>
  <conditionalFormatting sqref="AF14:AF17">
    <cfRule type="expression" dxfId="426" priority="29">
      <formula>MAX($AC14,$AD14)&lt;1</formula>
    </cfRule>
  </conditionalFormatting>
  <conditionalFormatting sqref="AF4">
    <cfRule type="expression" dxfId="425" priority="27">
      <formula>MAX($AC4,$AD4)&lt;1</formula>
    </cfRule>
  </conditionalFormatting>
  <conditionalFormatting sqref="AF5">
    <cfRule type="expression" dxfId="424" priority="26">
      <formula>MAX($AC5,$AD5)&lt;1</formula>
    </cfRule>
  </conditionalFormatting>
  <conditionalFormatting sqref="AF4">
    <cfRule type="expression" dxfId="423" priority="25">
      <formula>MAX($AC4,$AD4)&lt;1</formula>
    </cfRule>
  </conditionalFormatting>
  <conditionalFormatting sqref="D3:D47">
    <cfRule type="duplicateValues" dxfId="422" priority="23"/>
    <cfRule type="duplicateValues" dxfId="421" priority="24"/>
  </conditionalFormatting>
  <conditionalFormatting sqref="D39:D47">
    <cfRule type="duplicateValues" dxfId="420" priority="35"/>
  </conditionalFormatting>
  <conditionalFormatting sqref="D3:D7">
    <cfRule type="duplicateValues" dxfId="419" priority="21"/>
  </conditionalFormatting>
  <conditionalFormatting sqref="D3:D47">
    <cfRule type="duplicateValues" dxfId="418" priority="40"/>
  </conditionalFormatting>
  <conditionalFormatting sqref="D3:D47">
    <cfRule type="duplicateValues" dxfId="417" priority="15"/>
    <cfRule type="duplicateValues" dxfId="416" priority="16"/>
  </conditionalFormatting>
  <conditionalFormatting sqref="D3:D48">
    <cfRule type="duplicateValues" dxfId="415" priority="14"/>
  </conditionalFormatting>
  <conditionalFormatting sqref="D3:D49">
    <cfRule type="duplicateValues" dxfId="414" priority="12"/>
  </conditionalFormatting>
  <conditionalFormatting sqref="D3:D50">
    <cfRule type="duplicateValues" dxfId="413" priority="11"/>
  </conditionalFormatting>
  <conditionalFormatting sqref="D3:D51">
    <cfRule type="duplicateValues" dxfId="412" priority="10"/>
  </conditionalFormatting>
  <conditionalFormatting sqref="D3:D52">
    <cfRule type="duplicateValues" dxfId="411" priority="9"/>
  </conditionalFormatting>
  <conditionalFormatting sqref="D3:D53">
    <cfRule type="duplicateValues" dxfId="410" priority="8"/>
  </conditionalFormatting>
  <conditionalFormatting sqref="D3:D54">
    <cfRule type="duplicateValues" dxfId="409" priority="7"/>
  </conditionalFormatting>
  <conditionalFormatting sqref="D3:D55">
    <cfRule type="duplicateValues" dxfId="408" priority="6"/>
  </conditionalFormatting>
  <conditionalFormatting sqref="D3:D56">
    <cfRule type="duplicateValues" dxfId="407" priority="5"/>
  </conditionalFormatting>
  <conditionalFormatting sqref="D3:D57">
    <cfRule type="duplicateValues" dxfId="3" priority="4"/>
  </conditionalFormatting>
  <conditionalFormatting sqref="D3:D58">
    <cfRule type="duplicateValues" dxfId="2" priority="3"/>
  </conditionalFormatting>
  <conditionalFormatting sqref="D3:D59">
    <cfRule type="duplicateValues" dxfId="1" priority="2"/>
  </conditionalFormatting>
  <conditionalFormatting sqref="D3:D60">
    <cfRule type="duplicateValues" dxfId="0" priority="1"/>
  </conditionalFormatting>
  <dataValidations count="16">
    <dataValidation type="list" allowBlank="1" showInputMessage="1" showErrorMessage="1" sqref="M3:M28 M30:M60">
      <formula1>defensores!$A$1:$A$192</formula1>
    </dataValidation>
    <dataValidation type="list" allowBlank="1" showInputMessage="1" showErrorMessage="1" sqref="L3:L28 L30:L60">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60">
      <formula1>#REF!</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60">
      <formula1>Internos!$A$1:$A$5</formula1>
    </dataValidation>
    <dataValidation type="list" allowBlank="1" showInputMessage="1" showErrorMessage="1" sqref="AI3:AI6 AI49:AI60">
      <formula1>" Audiencias\[ACJAN.xlsm]PRESO'!$A$1:$A$2"</formula1>
    </dataValidation>
    <dataValidation type="list" allowBlank="1" showInputMessage="1" showErrorMessage="1" sqref="AI40:AI48 AI61:AI225">
      <formula1>PRESO!$A$1:$A$2</formula1>
    </dataValidation>
    <dataValidation type="list" allowBlank="1" showInputMessage="1" showErrorMessage="1" sqref="AJ3:AJ27 AJ49:AJ60">
      <formula1>OPO!$A$1:$A$2</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6" priority="304">
      <formula>ISERROR(C2)</formula>
    </cfRule>
  </conditionalFormatting>
  <conditionalFormatting sqref="E2:E11">
    <cfRule type="containsErrors" dxfId="405" priority="303">
      <formula>ISERROR(E2)</formula>
    </cfRule>
  </conditionalFormatting>
  <conditionalFormatting sqref="G2:G11">
    <cfRule type="containsErrors" dxfId="404" priority="302">
      <formula>ISERROR(G2)</formula>
    </cfRule>
  </conditionalFormatting>
  <conditionalFormatting sqref="I2:I11">
    <cfRule type="containsErrors" dxfId="403" priority="301">
      <formula>ISERROR(I2)</formula>
    </cfRule>
  </conditionalFormatting>
  <conditionalFormatting sqref="K2:K11">
    <cfRule type="containsErrors" dxfId="402" priority="300">
      <formula>ISERROR(K2)</formula>
    </cfRule>
  </conditionalFormatting>
  <conditionalFormatting sqref="G2 I2 K2">
    <cfRule type="containsErrors" dxfId="401" priority="299">
      <formula>ISERROR(G2)</formula>
    </cfRule>
  </conditionalFormatting>
  <conditionalFormatting sqref="I2">
    <cfRule type="containsErrors" dxfId="400" priority="298">
      <formula>ISERROR(I2)</formula>
    </cfRule>
  </conditionalFormatting>
  <conditionalFormatting sqref="G3:G7">
    <cfRule type="containsErrors" dxfId="399" priority="297">
      <formula>ISERROR(G3)</formula>
    </cfRule>
  </conditionalFormatting>
  <conditionalFormatting sqref="G8:G11">
    <cfRule type="containsErrors" dxfId="398" priority="296">
      <formula>ISERROR(G8)</formula>
    </cfRule>
  </conditionalFormatting>
  <conditionalFormatting sqref="I3:I11">
    <cfRule type="containsErrors" dxfId="397" priority="295">
      <formula>ISERROR(I3)</formula>
    </cfRule>
  </conditionalFormatting>
  <conditionalFormatting sqref="I3:I11">
    <cfRule type="containsErrors" dxfId="396" priority="294">
      <formula>ISERROR(I3)</formula>
    </cfRule>
  </conditionalFormatting>
  <conditionalFormatting sqref="K3:K11">
    <cfRule type="containsErrors" dxfId="395" priority="293">
      <formula>ISERROR(K3)</formula>
    </cfRule>
  </conditionalFormatting>
  <conditionalFormatting sqref="C2">
    <cfRule type="containsErrors" dxfId="394" priority="292">
      <formula>ISERROR(C2)</formula>
    </cfRule>
  </conditionalFormatting>
  <conditionalFormatting sqref="C2">
    <cfRule type="containsErrors" dxfId="393" priority="291">
      <formula>ISERROR(C2)</formula>
    </cfRule>
  </conditionalFormatting>
  <conditionalFormatting sqref="C3:C11">
    <cfRule type="containsErrors" dxfId="392" priority="290">
      <formula>ISERROR(C3)</formula>
    </cfRule>
  </conditionalFormatting>
  <conditionalFormatting sqref="C3:C11">
    <cfRule type="containsErrors" dxfId="391" priority="289">
      <formula>ISERROR(C3)</formula>
    </cfRule>
  </conditionalFormatting>
  <conditionalFormatting sqref="C3:C11">
    <cfRule type="containsErrors" dxfId="390" priority="288">
      <formula>ISERROR(C3)</formula>
    </cfRule>
  </conditionalFormatting>
  <conditionalFormatting sqref="C3:C11">
    <cfRule type="containsErrors" dxfId="389" priority="287">
      <formula>ISERROR(C3)</formula>
    </cfRule>
  </conditionalFormatting>
  <conditionalFormatting sqref="E2">
    <cfRule type="containsErrors" dxfId="388" priority="286">
      <formula>ISERROR(E2)</formula>
    </cfRule>
  </conditionalFormatting>
  <conditionalFormatting sqref="E2">
    <cfRule type="containsErrors" dxfId="387" priority="285">
      <formula>ISERROR(E2)</formula>
    </cfRule>
  </conditionalFormatting>
  <conditionalFormatting sqref="E2">
    <cfRule type="containsErrors" dxfId="386" priority="284">
      <formula>ISERROR(E2)</formula>
    </cfRule>
  </conditionalFormatting>
  <conditionalFormatting sqref="E3:E11">
    <cfRule type="containsErrors" dxfId="385" priority="283">
      <formula>ISERROR(E3)</formula>
    </cfRule>
  </conditionalFormatting>
  <conditionalFormatting sqref="E3:E11">
    <cfRule type="containsErrors" dxfId="384" priority="282">
      <formula>ISERROR(E3)</formula>
    </cfRule>
  </conditionalFormatting>
  <conditionalFormatting sqref="E3:E11">
    <cfRule type="containsErrors" dxfId="383" priority="281">
      <formula>ISERROR(E3)</formula>
    </cfRule>
  </conditionalFormatting>
  <conditionalFormatting sqref="G2:G11">
    <cfRule type="containsErrors" dxfId="382" priority="280">
      <formula>ISERROR(G2)</formula>
    </cfRule>
  </conditionalFormatting>
  <conditionalFormatting sqref="G2">
    <cfRule type="containsErrors" dxfId="381" priority="279">
      <formula>ISERROR(G2)</formula>
    </cfRule>
  </conditionalFormatting>
  <conditionalFormatting sqref="G2">
    <cfRule type="containsErrors" dxfId="380" priority="278">
      <formula>ISERROR(G2)</formula>
    </cfRule>
  </conditionalFormatting>
  <conditionalFormatting sqref="G2">
    <cfRule type="containsErrors" dxfId="379" priority="277">
      <formula>ISERROR(G2)</formula>
    </cfRule>
  </conditionalFormatting>
  <conditionalFormatting sqref="G3:G11">
    <cfRule type="containsErrors" dxfId="378" priority="276">
      <formula>ISERROR(G3)</formula>
    </cfRule>
  </conditionalFormatting>
  <conditionalFormatting sqref="G3:G11">
    <cfRule type="containsErrors" dxfId="377" priority="275">
      <formula>ISERROR(G3)</formula>
    </cfRule>
  </conditionalFormatting>
  <conditionalFormatting sqref="G3:G11">
    <cfRule type="containsErrors" dxfId="376" priority="274">
      <formula>ISERROR(G3)</formula>
    </cfRule>
  </conditionalFormatting>
  <conditionalFormatting sqref="I2:I11">
    <cfRule type="containsErrors" dxfId="375" priority="273">
      <formula>ISERROR(I2)</formula>
    </cfRule>
  </conditionalFormatting>
  <conditionalFormatting sqref="I2">
    <cfRule type="containsErrors" dxfId="374" priority="272">
      <formula>ISERROR(I2)</formula>
    </cfRule>
  </conditionalFormatting>
  <conditionalFormatting sqref="I2">
    <cfRule type="containsErrors" dxfId="373" priority="271">
      <formula>ISERROR(I2)</formula>
    </cfRule>
  </conditionalFormatting>
  <conditionalFormatting sqref="I2">
    <cfRule type="containsErrors" dxfId="372" priority="270">
      <formula>ISERROR(I2)</formula>
    </cfRule>
  </conditionalFormatting>
  <conditionalFormatting sqref="I3:I11">
    <cfRule type="containsErrors" dxfId="371" priority="269">
      <formula>ISERROR(I3)</formula>
    </cfRule>
  </conditionalFormatting>
  <conditionalFormatting sqref="I3:I11">
    <cfRule type="containsErrors" dxfId="370" priority="268">
      <formula>ISERROR(I3)</formula>
    </cfRule>
  </conditionalFormatting>
  <conditionalFormatting sqref="I3:I11">
    <cfRule type="containsErrors" dxfId="369" priority="267">
      <formula>ISERROR(I3)</formula>
    </cfRule>
  </conditionalFormatting>
  <conditionalFormatting sqref="C3:C11">
    <cfRule type="containsErrors" dxfId="368" priority="266">
      <formula>ISERROR(C3)</formula>
    </cfRule>
  </conditionalFormatting>
  <conditionalFormatting sqref="C3:C11">
    <cfRule type="containsErrors" dxfId="367" priority="265">
      <formula>ISERROR(C3)</formula>
    </cfRule>
  </conditionalFormatting>
  <conditionalFormatting sqref="E2:E11">
    <cfRule type="containsErrors" dxfId="366" priority="264">
      <formula>ISERROR(E2)</formula>
    </cfRule>
  </conditionalFormatting>
  <conditionalFormatting sqref="E2">
    <cfRule type="containsErrors" dxfId="365" priority="263">
      <formula>ISERROR(E2)</formula>
    </cfRule>
  </conditionalFormatting>
  <conditionalFormatting sqref="E2">
    <cfRule type="containsErrors" dxfId="364" priority="262">
      <formula>ISERROR(E2)</formula>
    </cfRule>
  </conditionalFormatting>
  <conditionalFormatting sqref="E3:E11">
    <cfRule type="containsErrors" dxfId="363" priority="261">
      <formula>ISERROR(E3)</formula>
    </cfRule>
  </conditionalFormatting>
  <conditionalFormatting sqref="E3:E11">
    <cfRule type="containsErrors" dxfId="362" priority="260">
      <formula>ISERROR(E3)</formula>
    </cfRule>
  </conditionalFormatting>
  <conditionalFormatting sqref="E3:E11">
    <cfRule type="containsErrors" dxfId="361" priority="259">
      <formula>ISERROR(E3)</formula>
    </cfRule>
  </conditionalFormatting>
  <conditionalFormatting sqref="E3:E11">
    <cfRule type="containsErrors" dxfId="360" priority="258">
      <formula>ISERROR(E3)</formula>
    </cfRule>
  </conditionalFormatting>
  <conditionalFormatting sqref="E3:E11">
    <cfRule type="containsErrors" dxfId="359" priority="257">
      <formula>ISERROR(E3)</formula>
    </cfRule>
  </conditionalFormatting>
  <conditionalFormatting sqref="E3:E11">
    <cfRule type="containsErrors" dxfId="358" priority="256">
      <formula>ISERROR(E3)</formula>
    </cfRule>
  </conditionalFormatting>
  <conditionalFormatting sqref="G2:G11">
    <cfRule type="containsErrors" dxfId="357" priority="255">
      <formula>ISERROR(G2)</formula>
    </cfRule>
  </conditionalFormatting>
  <conditionalFormatting sqref="G2">
    <cfRule type="containsErrors" dxfId="356" priority="254">
      <formula>ISERROR(G2)</formula>
    </cfRule>
  </conditionalFormatting>
  <conditionalFormatting sqref="G2">
    <cfRule type="containsErrors" dxfId="355" priority="253">
      <formula>ISERROR(G2)</formula>
    </cfRule>
  </conditionalFormatting>
  <conditionalFormatting sqref="G3:G11">
    <cfRule type="containsErrors" dxfId="354" priority="252">
      <formula>ISERROR(G3)</formula>
    </cfRule>
  </conditionalFormatting>
  <conditionalFormatting sqref="G3:G11">
    <cfRule type="containsErrors" dxfId="353" priority="251">
      <formula>ISERROR(G3)</formula>
    </cfRule>
  </conditionalFormatting>
  <conditionalFormatting sqref="G3:G11">
    <cfRule type="containsErrors" dxfId="352" priority="250">
      <formula>ISERROR(G3)</formula>
    </cfRule>
  </conditionalFormatting>
  <conditionalFormatting sqref="G3:G11">
    <cfRule type="containsErrors" dxfId="351" priority="249">
      <formula>ISERROR(G3)</formula>
    </cfRule>
  </conditionalFormatting>
  <conditionalFormatting sqref="G3:G11">
    <cfRule type="containsErrors" dxfId="350" priority="248">
      <formula>ISERROR(G3)</formula>
    </cfRule>
  </conditionalFormatting>
  <conditionalFormatting sqref="G3:G11">
    <cfRule type="containsErrors" dxfId="349" priority="247">
      <formula>ISERROR(G3)</formula>
    </cfRule>
  </conditionalFormatting>
  <conditionalFormatting sqref="I2:I11">
    <cfRule type="containsErrors" dxfId="348" priority="246">
      <formula>ISERROR(I2)</formula>
    </cfRule>
  </conditionalFormatting>
  <conditionalFormatting sqref="I2">
    <cfRule type="containsErrors" dxfId="347" priority="245">
      <formula>ISERROR(I2)</formula>
    </cfRule>
  </conditionalFormatting>
  <conditionalFormatting sqref="I2">
    <cfRule type="containsErrors" dxfId="346" priority="244">
      <formula>ISERROR(I2)</formula>
    </cfRule>
  </conditionalFormatting>
  <conditionalFormatting sqref="I3:I11">
    <cfRule type="containsErrors" dxfId="345" priority="243">
      <formula>ISERROR(I3)</formula>
    </cfRule>
  </conditionalFormatting>
  <conditionalFormatting sqref="I3:I11">
    <cfRule type="containsErrors" dxfId="344" priority="242">
      <formula>ISERROR(I3)</formula>
    </cfRule>
  </conditionalFormatting>
  <conditionalFormatting sqref="I3:I11">
    <cfRule type="containsErrors" dxfId="343" priority="241">
      <formula>ISERROR(I3)</formula>
    </cfRule>
  </conditionalFormatting>
  <conditionalFormatting sqref="I3:I11">
    <cfRule type="containsErrors" dxfId="342" priority="240">
      <formula>ISERROR(I3)</formula>
    </cfRule>
  </conditionalFormatting>
  <conditionalFormatting sqref="I3:I11">
    <cfRule type="containsErrors" dxfId="341" priority="239">
      <formula>ISERROR(I3)</formula>
    </cfRule>
  </conditionalFormatting>
  <conditionalFormatting sqref="I3:I11">
    <cfRule type="containsErrors" dxfId="340" priority="238">
      <formula>ISERROR(I3)</formula>
    </cfRule>
  </conditionalFormatting>
  <conditionalFormatting sqref="K2:K11">
    <cfRule type="containsErrors" dxfId="339" priority="237">
      <formula>ISERROR(K2)</formula>
    </cfRule>
  </conditionalFormatting>
  <conditionalFormatting sqref="K2">
    <cfRule type="containsErrors" dxfId="338" priority="236">
      <formula>ISERROR(K2)</formula>
    </cfRule>
  </conditionalFormatting>
  <conditionalFormatting sqref="K2">
    <cfRule type="containsErrors" dxfId="337" priority="235">
      <formula>ISERROR(K2)</formula>
    </cfRule>
  </conditionalFormatting>
  <conditionalFormatting sqref="K3:K11">
    <cfRule type="containsErrors" dxfId="336" priority="234">
      <formula>ISERROR(K3)</formula>
    </cfRule>
  </conditionalFormatting>
  <conditionalFormatting sqref="K3:K11">
    <cfRule type="containsErrors" dxfId="335" priority="233">
      <formula>ISERROR(K3)</formula>
    </cfRule>
  </conditionalFormatting>
  <conditionalFormatting sqref="K3:K11">
    <cfRule type="containsErrors" dxfId="334" priority="232">
      <formula>ISERROR(K3)</formula>
    </cfRule>
  </conditionalFormatting>
  <conditionalFormatting sqref="K3:K11">
    <cfRule type="containsErrors" dxfId="333" priority="231">
      <formula>ISERROR(K3)</formula>
    </cfRule>
  </conditionalFormatting>
  <conditionalFormatting sqref="K3:K11">
    <cfRule type="containsErrors" dxfId="332" priority="230">
      <formula>ISERROR(K3)</formula>
    </cfRule>
  </conditionalFormatting>
  <conditionalFormatting sqref="K3:K11">
    <cfRule type="containsErrors" dxfId="331" priority="229">
      <formula>ISERROR(K3)</formula>
    </cfRule>
  </conditionalFormatting>
  <conditionalFormatting sqref="C2:C11">
    <cfRule type="containsErrors" dxfId="330" priority="228">
      <formula>ISERROR(C2)</formula>
    </cfRule>
  </conditionalFormatting>
  <conditionalFormatting sqref="E2:E11">
    <cfRule type="containsErrors" dxfId="329" priority="227">
      <formula>ISERROR(E2)</formula>
    </cfRule>
  </conditionalFormatting>
  <conditionalFormatting sqref="G2:G11">
    <cfRule type="containsErrors" dxfId="328" priority="226">
      <formula>ISERROR(G2)</formula>
    </cfRule>
  </conditionalFormatting>
  <conditionalFormatting sqref="I2:I11">
    <cfRule type="containsErrors" dxfId="327" priority="225">
      <formula>ISERROR(I2)</formula>
    </cfRule>
  </conditionalFormatting>
  <conditionalFormatting sqref="K2:K11">
    <cfRule type="containsErrors" dxfId="326" priority="224">
      <formula>ISERROR(K2)</formula>
    </cfRule>
  </conditionalFormatting>
  <conditionalFormatting sqref="G2 I2 K2">
    <cfRule type="containsErrors" dxfId="325" priority="223">
      <formula>ISERROR(G2)</formula>
    </cfRule>
  </conditionalFormatting>
  <conditionalFormatting sqref="I2">
    <cfRule type="containsErrors" dxfId="324" priority="222">
      <formula>ISERROR(I2)</formula>
    </cfRule>
  </conditionalFormatting>
  <conditionalFormatting sqref="G3:G7">
    <cfRule type="containsErrors" dxfId="323" priority="221">
      <formula>ISERROR(G3)</formula>
    </cfRule>
  </conditionalFormatting>
  <conditionalFormatting sqref="G8:G11">
    <cfRule type="containsErrors" dxfId="322" priority="220">
      <formula>ISERROR(G8)</formula>
    </cfRule>
  </conditionalFormatting>
  <conditionalFormatting sqref="I3:I11">
    <cfRule type="containsErrors" dxfId="321" priority="219">
      <formula>ISERROR(I3)</formula>
    </cfRule>
  </conditionalFormatting>
  <conditionalFormatting sqref="I3:I11">
    <cfRule type="containsErrors" dxfId="320" priority="218">
      <formula>ISERROR(I3)</formula>
    </cfRule>
  </conditionalFormatting>
  <conditionalFormatting sqref="K3:K11">
    <cfRule type="containsErrors" dxfId="319" priority="217">
      <formula>ISERROR(K3)</formula>
    </cfRule>
  </conditionalFormatting>
  <conditionalFormatting sqref="C2">
    <cfRule type="containsErrors" dxfId="318" priority="216">
      <formula>ISERROR(C2)</formula>
    </cfRule>
  </conditionalFormatting>
  <conditionalFormatting sqref="C2">
    <cfRule type="containsErrors" dxfId="317" priority="215">
      <formula>ISERROR(C2)</formula>
    </cfRule>
  </conditionalFormatting>
  <conditionalFormatting sqref="C3:C11">
    <cfRule type="containsErrors" dxfId="316" priority="214">
      <formula>ISERROR(C3)</formula>
    </cfRule>
  </conditionalFormatting>
  <conditionalFormatting sqref="C3:C11">
    <cfRule type="containsErrors" dxfId="315" priority="213">
      <formula>ISERROR(C3)</formula>
    </cfRule>
  </conditionalFormatting>
  <conditionalFormatting sqref="C3:C11">
    <cfRule type="containsErrors" dxfId="314" priority="212">
      <formula>ISERROR(C3)</formula>
    </cfRule>
  </conditionalFormatting>
  <conditionalFormatting sqref="C3:C11">
    <cfRule type="containsErrors" dxfId="313" priority="211">
      <formula>ISERROR(C3)</formula>
    </cfRule>
  </conditionalFormatting>
  <conditionalFormatting sqref="E2">
    <cfRule type="containsErrors" dxfId="312" priority="210">
      <formula>ISERROR(E2)</formula>
    </cfRule>
  </conditionalFormatting>
  <conditionalFormatting sqref="E2">
    <cfRule type="containsErrors" dxfId="311" priority="209">
      <formula>ISERROR(E2)</formula>
    </cfRule>
  </conditionalFormatting>
  <conditionalFormatting sqref="E2">
    <cfRule type="containsErrors" dxfId="310" priority="208">
      <formula>ISERROR(E2)</formula>
    </cfRule>
  </conditionalFormatting>
  <conditionalFormatting sqref="E3:E11">
    <cfRule type="containsErrors" dxfId="309" priority="207">
      <formula>ISERROR(E3)</formula>
    </cfRule>
  </conditionalFormatting>
  <conditionalFormatting sqref="E3:E11">
    <cfRule type="containsErrors" dxfId="308" priority="206">
      <formula>ISERROR(E3)</formula>
    </cfRule>
  </conditionalFormatting>
  <conditionalFormatting sqref="E3:E11">
    <cfRule type="containsErrors" dxfId="307" priority="205">
      <formula>ISERROR(E3)</formula>
    </cfRule>
  </conditionalFormatting>
  <conditionalFormatting sqref="G2:G11">
    <cfRule type="containsErrors" dxfId="306" priority="204">
      <formula>ISERROR(G2)</formula>
    </cfRule>
  </conditionalFormatting>
  <conditionalFormatting sqref="G2">
    <cfRule type="containsErrors" dxfId="305" priority="203">
      <formula>ISERROR(G2)</formula>
    </cfRule>
  </conditionalFormatting>
  <conditionalFormatting sqref="G2">
    <cfRule type="containsErrors" dxfId="304" priority="202">
      <formula>ISERROR(G2)</formula>
    </cfRule>
  </conditionalFormatting>
  <conditionalFormatting sqref="G2">
    <cfRule type="containsErrors" dxfId="303" priority="201">
      <formula>ISERROR(G2)</formula>
    </cfRule>
  </conditionalFormatting>
  <conditionalFormatting sqref="G3:G11">
    <cfRule type="containsErrors" dxfId="302" priority="200">
      <formula>ISERROR(G3)</formula>
    </cfRule>
  </conditionalFormatting>
  <conditionalFormatting sqref="G3:G11">
    <cfRule type="containsErrors" dxfId="301" priority="199">
      <formula>ISERROR(G3)</formula>
    </cfRule>
  </conditionalFormatting>
  <conditionalFormatting sqref="G3:G11">
    <cfRule type="containsErrors" dxfId="300" priority="198">
      <formula>ISERROR(G3)</formula>
    </cfRule>
  </conditionalFormatting>
  <conditionalFormatting sqref="I2:I11">
    <cfRule type="containsErrors" dxfId="299" priority="197">
      <formula>ISERROR(I2)</formula>
    </cfRule>
  </conditionalFormatting>
  <conditionalFormatting sqref="I2">
    <cfRule type="containsErrors" dxfId="298" priority="196">
      <formula>ISERROR(I2)</formula>
    </cfRule>
  </conditionalFormatting>
  <conditionalFormatting sqref="I2">
    <cfRule type="containsErrors" dxfId="297" priority="195">
      <formula>ISERROR(I2)</formula>
    </cfRule>
  </conditionalFormatting>
  <conditionalFormatting sqref="I2">
    <cfRule type="containsErrors" dxfId="296" priority="194">
      <formula>ISERROR(I2)</formula>
    </cfRule>
  </conditionalFormatting>
  <conditionalFormatting sqref="I3:I11">
    <cfRule type="containsErrors" dxfId="295" priority="193">
      <formula>ISERROR(I3)</formula>
    </cfRule>
  </conditionalFormatting>
  <conditionalFormatting sqref="I3:I11">
    <cfRule type="containsErrors" dxfId="294" priority="192">
      <formula>ISERROR(I3)</formula>
    </cfRule>
  </conditionalFormatting>
  <conditionalFormatting sqref="I3:I11">
    <cfRule type="containsErrors" dxfId="293" priority="191">
      <formula>ISERROR(I3)</formula>
    </cfRule>
  </conditionalFormatting>
  <conditionalFormatting sqref="C3:C11">
    <cfRule type="containsErrors" dxfId="292" priority="190">
      <formula>ISERROR(C3)</formula>
    </cfRule>
  </conditionalFormatting>
  <conditionalFormatting sqref="C3:C11">
    <cfRule type="containsErrors" dxfId="291" priority="189">
      <formula>ISERROR(C3)</formula>
    </cfRule>
  </conditionalFormatting>
  <conditionalFormatting sqref="E2:E11">
    <cfRule type="containsErrors" dxfId="290" priority="188">
      <formula>ISERROR(E2)</formula>
    </cfRule>
  </conditionalFormatting>
  <conditionalFormatting sqref="E2">
    <cfRule type="containsErrors" dxfId="289" priority="187">
      <formula>ISERROR(E2)</formula>
    </cfRule>
  </conditionalFormatting>
  <conditionalFormatting sqref="E2">
    <cfRule type="containsErrors" dxfId="288" priority="186">
      <formula>ISERROR(E2)</formula>
    </cfRule>
  </conditionalFormatting>
  <conditionalFormatting sqref="E3:E11">
    <cfRule type="containsErrors" dxfId="287" priority="185">
      <formula>ISERROR(E3)</formula>
    </cfRule>
  </conditionalFormatting>
  <conditionalFormatting sqref="E3:E11">
    <cfRule type="containsErrors" dxfId="286" priority="184">
      <formula>ISERROR(E3)</formula>
    </cfRule>
  </conditionalFormatting>
  <conditionalFormatting sqref="E3:E11">
    <cfRule type="containsErrors" dxfId="285" priority="183">
      <formula>ISERROR(E3)</formula>
    </cfRule>
  </conditionalFormatting>
  <conditionalFormatting sqref="E3:E11">
    <cfRule type="containsErrors" dxfId="284" priority="182">
      <formula>ISERROR(E3)</formula>
    </cfRule>
  </conditionalFormatting>
  <conditionalFormatting sqref="E3:E11">
    <cfRule type="containsErrors" dxfId="283" priority="181">
      <formula>ISERROR(E3)</formula>
    </cfRule>
  </conditionalFormatting>
  <conditionalFormatting sqref="E3:E11">
    <cfRule type="containsErrors" dxfId="282" priority="180">
      <formula>ISERROR(E3)</formula>
    </cfRule>
  </conditionalFormatting>
  <conditionalFormatting sqref="G2:G11">
    <cfRule type="containsErrors" dxfId="281" priority="179">
      <formula>ISERROR(G2)</formula>
    </cfRule>
  </conditionalFormatting>
  <conditionalFormatting sqref="G2">
    <cfRule type="containsErrors" dxfId="280" priority="178">
      <formula>ISERROR(G2)</formula>
    </cfRule>
  </conditionalFormatting>
  <conditionalFormatting sqref="G2">
    <cfRule type="containsErrors" dxfId="279" priority="177">
      <formula>ISERROR(G2)</formula>
    </cfRule>
  </conditionalFormatting>
  <conditionalFormatting sqref="G3:G11">
    <cfRule type="containsErrors" dxfId="278" priority="176">
      <formula>ISERROR(G3)</formula>
    </cfRule>
  </conditionalFormatting>
  <conditionalFormatting sqref="G3:G11">
    <cfRule type="containsErrors" dxfId="277" priority="175">
      <formula>ISERROR(G3)</formula>
    </cfRule>
  </conditionalFormatting>
  <conditionalFormatting sqref="G3:G11">
    <cfRule type="containsErrors" dxfId="276" priority="174">
      <formula>ISERROR(G3)</formula>
    </cfRule>
  </conditionalFormatting>
  <conditionalFormatting sqref="G3:G11">
    <cfRule type="containsErrors" dxfId="275" priority="173">
      <formula>ISERROR(G3)</formula>
    </cfRule>
  </conditionalFormatting>
  <conditionalFormatting sqref="G3:G11">
    <cfRule type="containsErrors" dxfId="274" priority="172">
      <formula>ISERROR(G3)</formula>
    </cfRule>
  </conditionalFormatting>
  <conditionalFormatting sqref="G3:G11">
    <cfRule type="containsErrors" dxfId="273" priority="171">
      <formula>ISERROR(G3)</formula>
    </cfRule>
  </conditionalFormatting>
  <conditionalFormatting sqref="I2:I11">
    <cfRule type="containsErrors" dxfId="272" priority="170">
      <formula>ISERROR(I2)</formula>
    </cfRule>
  </conditionalFormatting>
  <conditionalFormatting sqref="I2">
    <cfRule type="containsErrors" dxfId="271" priority="169">
      <formula>ISERROR(I2)</formula>
    </cfRule>
  </conditionalFormatting>
  <conditionalFormatting sqref="I2">
    <cfRule type="containsErrors" dxfId="270" priority="168">
      <formula>ISERROR(I2)</formula>
    </cfRule>
  </conditionalFormatting>
  <conditionalFormatting sqref="I3:I11">
    <cfRule type="containsErrors" dxfId="269" priority="167">
      <formula>ISERROR(I3)</formula>
    </cfRule>
  </conditionalFormatting>
  <conditionalFormatting sqref="I3:I11">
    <cfRule type="containsErrors" dxfId="268" priority="166">
      <formula>ISERROR(I3)</formula>
    </cfRule>
  </conditionalFormatting>
  <conditionalFormatting sqref="I3:I11">
    <cfRule type="containsErrors" dxfId="267" priority="165">
      <formula>ISERROR(I3)</formula>
    </cfRule>
  </conditionalFormatting>
  <conditionalFormatting sqref="I3:I11">
    <cfRule type="containsErrors" dxfId="266" priority="164">
      <formula>ISERROR(I3)</formula>
    </cfRule>
  </conditionalFormatting>
  <conditionalFormatting sqref="I3:I11">
    <cfRule type="containsErrors" dxfId="265" priority="163">
      <formula>ISERROR(I3)</formula>
    </cfRule>
  </conditionalFormatting>
  <conditionalFormatting sqref="I3:I11">
    <cfRule type="containsErrors" dxfId="264" priority="162">
      <formula>ISERROR(I3)</formula>
    </cfRule>
  </conditionalFormatting>
  <conditionalFormatting sqref="K2:K11">
    <cfRule type="containsErrors" dxfId="263" priority="161">
      <formula>ISERROR(K2)</formula>
    </cfRule>
  </conditionalFormatting>
  <conditionalFormatting sqref="K2">
    <cfRule type="containsErrors" dxfId="262" priority="160">
      <formula>ISERROR(K2)</formula>
    </cfRule>
  </conditionalFormatting>
  <conditionalFormatting sqref="K2">
    <cfRule type="containsErrors" dxfId="261" priority="159">
      <formula>ISERROR(K2)</formula>
    </cfRule>
  </conditionalFormatting>
  <conditionalFormatting sqref="K3:K11">
    <cfRule type="containsErrors" dxfId="260" priority="158">
      <formula>ISERROR(K3)</formula>
    </cfRule>
  </conditionalFormatting>
  <conditionalFormatting sqref="K3:K11">
    <cfRule type="containsErrors" dxfId="259" priority="157">
      <formula>ISERROR(K3)</formula>
    </cfRule>
  </conditionalFormatting>
  <conditionalFormatting sqref="K3:K11">
    <cfRule type="containsErrors" dxfId="258" priority="156">
      <formula>ISERROR(K3)</formula>
    </cfRule>
  </conditionalFormatting>
  <conditionalFormatting sqref="K3:K11">
    <cfRule type="containsErrors" dxfId="257" priority="155">
      <formula>ISERROR(K3)</formula>
    </cfRule>
  </conditionalFormatting>
  <conditionalFormatting sqref="K3:K11">
    <cfRule type="containsErrors" dxfId="256" priority="154">
      <formula>ISERROR(K3)</formula>
    </cfRule>
  </conditionalFormatting>
  <conditionalFormatting sqref="K3:K11">
    <cfRule type="containsErrors" dxfId="255" priority="153">
      <formula>ISERROR(K3)</formula>
    </cfRule>
  </conditionalFormatting>
  <conditionalFormatting sqref="C28:C37">
    <cfRule type="containsErrors" dxfId="254" priority="152">
      <formula>ISERROR(C28)</formula>
    </cfRule>
  </conditionalFormatting>
  <conditionalFormatting sqref="E28:E37">
    <cfRule type="containsErrors" dxfId="253" priority="151">
      <formula>ISERROR(E28)</formula>
    </cfRule>
  </conditionalFormatting>
  <conditionalFormatting sqref="G28:G37">
    <cfRule type="containsErrors" dxfId="252" priority="150">
      <formula>ISERROR(G28)</formula>
    </cfRule>
  </conditionalFormatting>
  <conditionalFormatting sqref="I28:I37">
    <cfRule type="containsErrors" dxfId="251" priority="149">
      <formula>ISERROR(I28)</formula>
    </cfRule>
  </conditionalFormatting>
  <conditionalFormatting sqref="K28:K37">
    <cfRule type="containsErrors" dxfId="250" priority="148">
      <formula>ISERROR(K28)</formula>
    </cfRule>
  </conditionalFormatting>
  <conditionalFormatting sqref="G28 I28 K28">
    <cfRule type="containsErrors" dxfId="249" priority="147">
      <formula>ISERROR(G28)</formula>
    </cfRule>
  </conditionalFormatting>
  <conditionalFormatting sqref="I28">
    <cfRule type="containsErrors" dxfId="248" priority="146">
      <formula>ISERROR(I28)</formula>
    </cfRule>
  </conditionalFormatting>
  <conditionalFormatting sqref="G29:G33">
    <cfRule type="containsErrors" dxfId="247" priority="145">
      <formula>ISERROR(G29)</formula>
    </cfRule>
  </conditionalFormatting>
  <conditionalFormatting sqref="G34:G37">
    <cfRule type="containsErrors" dxfId="246" priority="144">
      <formula>ISERROR(G34)</formula>
    </cfRule>
  </conditionalFormatting>
  <conditionalFormatting sqref="I29:I37">
    <cfRule type="containsErrors" dxfId="245" priority="143">
      <formula>ISERROR(I29)</formula>
    </cfRule>
  </conditionalFormatting>
  <conditionalFormatting sqref="I29:I37">
    <cfRule type="containsErrors" dxfId="244" priority="142">
      <formula>ISERROR(I29)</formula>
    </cfRule>
  </conditionalFormatting>
  <conditionalFormatting sqref="K29:K37">
    <cfRule type="containsErrors" dxfId="243" priority="141">
      <formula>ISERROR(K29)</formula>
    </cfRule>
  </conditionalFormatting>
  <conditionalFormatting sqref="C28">
    <cfRule type="containsErrors" dxfId="242" priority="140">
      <formula>ISERROR(C28)</formula>
    </cfRule>
  </conditionalFormatting>
  <conditionalFormatting sqref="C28">
    <cfRule type="containsErrors" dxfId="241" priority="139">
      <formula>ISERROR(C28)</formula>
    </cfRule>
  </conditionalFormatting>
  <conditionalFormatting sqref="C29:C37">
    <cfRule type="containsErrors" dxfId="240" priority="138">
      <formula>ISERROR(C29)</formula>
    </cfRule>
  </conditionalFormatting>
  <conditionalFormatting sqref="C29:C37">
    <cfRule type="containsErrors" dxfId="239" priority="137">
      <formula>ISERROR(C29)</formula>
    </cfRule>
  </conditionalFormatting>
  <conditionalFormatting sqref="C29:C37">
    <cfRule type="containsErrors" dxfId="238" priority="136">
      <formula>ISERROR(C29)</formula>
    </cfRule>
  </conditionalFormatting>
  <conditionalFormatting sqref="C29:C37">
    <cfRule type="containsErrors" dxfId="237" priority="135">
      <formula>ISERROR(C29)</formula>
    </cfRule>
  </conditionalFormatting>
  <conditionalFormatting sqref="E28">
    <cfRule type="containsErrors" dxfId="236" priority="134">
      <formula>ISERROR(E28)</formula>
    </cfRule>
  </conditionalFormatting>
  <conditionalFormatting sqref="E28">
    <cfRule type="containsErrors" dxfId="235" priority="133">
      <formula>ISERROR(E28)</formula>
    </cfRule>
  </conditionalFormatting>
  <conditionalFormatting sqref="E28">
    <cfRule type="containsErrors" dxfId="234" priority="132">
      <formula>ISERROR(E28)</formula>
    </cfRule>
  </conditionalFormatting>
  <conditionalFormatting sqref="E29:E37">
    <cfRule type="containsErrors" dxfId="233" priority="131">
      <formula>ISERROR(E29)</formula>
    </cfRule>
  </conditionalFormatting>
  <conditionalFormatting sqref="E29:E37">
    <cfRule type="containsErrors" dxfId="232" priority="130">
      <formula>ISERROR(E29)</formula>
    </cfRule>
  </conditionalFormatting>
  <conditionalFormatting sqref="E29:E37">
    <cfRule type="containsErrors" dxfId="231" priority="129">
      <formula>ISERROR(E29)</formula>
    </cfRule>
  </conditionalFormatting>
  <conditionalFormatting sqref="G28:G37">
    <cfRule type="containsErrors" dxfId="230" priority="128">
      <formula>ISERROR(G28)</formula>
    </cfRule>
  </conditionalFormatting>
  <conditionalFormatting sqref="G28">
    <cfRule type="containsErrors" dxfId="229" priority="127">
      <formula>ISERROR(G28)</formula>
    </cfRule>
  </conditionalFormatting>
  <conditionalFormatting sqref="G28">
    <cfRule type="containsErrors" dxfId="228" priority="126">
      <formula>ISERROR(G28)</formula>
    </cfRule>
  </conditionalFormatting>
  <conditionalFormatting sqref="G28">
    <cfRule type="containsErrors" dxfId="227" priority="125">
      <formula>ISERROR(G28)</formula>
    </cfRule>
  </conditionalFormatting>
  <conditionalFormatting sqref="G29:G37">
    <cfRule type="containsErrors" dxfId="226" priority="124">
      <formula>ISERROR(G29)</formula>
    </cfRule>
  </conditionalFormatting>
  <conditionalFormatting sqref="G29:G37">
    <cfRule type="containsErrors" dxfId="225" priority="123">
      <formula>ISERROR(G29)</formula>
    </cfRule>
  </conditionalFormatting>
  <conditionalFormatting sqref="G29:G37">
    <cfRule type="containsErrors" dxfId="224" priority="122">
      <formula>ISERROR(G29)</formula>
    </cfRule>
  </conditionalFormatting>
  <conditionalFormatting sqref="I28:I37">
    <cfRule type="containsErrors" dxfId="223" priority="121">
      <formula>ISERROR(I28)</formula>
    </cfRule>
  </conditionalFormatting>
  <conditionalFormatting sqref="I28">
    <cfRule type="containsErrors" dxfId="222" priority="120">
      <formula>ISERROR(I28)</formula>
    </cfRule>
  </conditionalFormatting>
  <conditionalFormatting sqref="I28">
    <cfRule type="containsErrors" dxfId="221" priority="119">
      <formula>ISERROR(I28)</formula>
    </cfRule>
  </conditionalFormatting>
  <conditionalFormatting sqref="I28">
    <cfRule type="containsErrors" dxfId="220" priority="118">
      <formula>ISERROR(I28)</formula>
    </cfRule>
  </conditionalFormatting>
  <conditionalFormatting sqref="I29:I37">
    <cfRule type="containsErrors" dxfId="219" priority="117">
      <formula>ISERROR(I29)</formula>
    </cfRule>
  </conditionalFormatting>
  <conditionalFormatting sqref="I29:I37">
    <cfRule type="containsErrors" dxfId="218" priority="116">
      <formula>ISERROR(I29)</formula>
    </cfRule>
  </conditionalFormatting>
  <conditionalFormatting sqref="I29:I37">
    <cfRule type="containsErrors" dxfId="217" priority="115">
      <formula>ISERROR(I29)</formula>
    </cfRule>
  </conditionalFormatting>
  <conditionalFormatting sqref="C29:C37">
    <cfRule type="containsErrors" dxfId="216" priority="114">
      <formula>ISERROR(C29)</formula>
    </cfRule>
  </conditionalFormatting>
  <conditionalFormatting sqref="C29:C37">
    <cfRule type="containsErrors" dxfId="215" priority="113">
      <formula>ISERROR(C29)</formula>
    </cfRule>
  </conditionalFormatting>
  <conditionalFormatting sqref="E28:E37">
    <cfRule type="containsErrors" dxfId="214" priority="112">
      <formula>ISERROR(E28)</formula>
    </cfRule>
  </conditionalFormatting>
  <conditionalFormatting sqref="E28">
    <cfRule type="containsErrors" dxfId="213" priority="111">
      <formula>ISERROR(E28)</formula>
    </cfRule>
  </conditionalFormatting>
  <conditionalFormatting sqref="E28">
    <cfRule type="containsErrors" dxfId="212" priority="110">
      <formula>ISERROR(E28)</formula>
    </cfRule>
  </conditionalFormatting>
  <conditionalFormatting sqref="E29:E37">
    <cfRule type="containsErrors" dxfId="211" priority="109">
      <formula>ISERROR(E29)</formula>
    </cfRule>
  </conditionalFormatting>
  <conditionalFormatting sqref="E29:E37">
    <cfRule type="containsErrors" dxfId="210" priority="108">
      <formula>ISERROR(E29)</formula>
    </cfRule>
  </conditionalFormatting>
  <conditionalFormatting sqref="E29:E37">
    <cfRule type="containsErrors" dxfId="209" priority="107">
      <formula>ISERROR(E29)</formula>
    </cfRule>
  </conditionalFormatting>
  <conditionalFormatting sqref="E29:E37">
    <cfRule type="containsErrors" dxfId="208" priority="106">
      <formula>ISERROR(E29)</formula>
    </cfRule>
  </conditionalFormatting>
  <conditionalFormatting sqref="E29:E37">
    <cfRule type="containsErrors" dxfId="207" priority="105">
      <formula>ISERROR(E29)</formula>
    </cfRule>
  </conditionalFormatting>
  <conditionalFormatting sqref="E29:E37">
    <cfRule type="containsErrors" dxfId="206" priority="104">
      <formula>ISERROR(E29)</formula>
    </cfRule>
  </conditionalFormatting>
  <conditionalFormatting sqref="G28:G37">
    <cfRule type="containsErrors" dxfId="205" priority="103">
      <formula>ISERROR(G28)</formula>
    </cfRule>
  </conditionalFormatting>
  <conditionalFormatting sqref="G28">
    <cfRule type="containsErrors" dxfId="204" priority="102">
      <formula>ISERROR(G28)</formula>
    </cfRule>
  </conditionalFormatting>
  <conditionalFormatting sqref="G28">
    <cfRule type="containsErrors" dxfId="203" priority="101">
      <formula>ISERROR(G28)</formula>
    </cfRule>
  </conditionalFormatting>
  <conditionalFormatting sqref="G29:G37">
    <cfRule type="containsErrors" dxfId="202" priority="100">
      <formula>ISERROR(G29)</formula>
    </cfRule>
  </conditionalFormatting>
  <conditionalFormatting sqref="G29:G37">
    <cfRule type="containsErrors" dxfId="201" priority="99">
      <formula>ISERROR(G29)</formula>
    </cfRule>
  </conditionalFormatting>
  <conditionalFormatting sqref="G29:G37">
    <cfRule type="containsErrors" dxfId="200" priority="98">
      <formula>ISERROR(G29)</formula>
    </cfRule>
  </conditionalFormatting>
  <conditionalFormatting sqref="G29:G37">
    <cfRule type="containsErrors" dxfId="199" priority="97">
      <formula>ISERROR(G29)</formula>
    </cfRule>
  </conditionalFormatting>
  <conditionalFormatting sqref="G29:G37">
    <cfRule type="containsErrors" dxfId="198" priority="96">
      <formula>ISERROR(G29)</formula>
    </cfRule>
  </conditionalFormatting>
  <conditionalFormatting sqref="G29:G37">
    <cfRule type="containsErrors" dxfId="197" priority="95">
      <formula>ISERROR(G29)</formula>
    </cfRule>
  </conditionalFormatting>
  <conditionalFormatting sqref="I28:I37">
    <cfRule type="containsErrors" dxfId="196" priority="94">
      <formula>ISERROR(I28)</formula>
    </cfRule>
  </conditionalFormatting>
  <conditionalFormatting sqref="I28">
    <cfRule type="containsErrors" dxfId="195" priority="93">
      <formula>ISERROR(I28)</formula>
    </cfRule>
  </conditionalFormatting>
  <conditionalFormatting sqref="I28">
    <cfRule type="containsErrors" dxfId="194" priority="92">
      <formula>ISERROR(I28)</formula>
    </cfRule>
  </conditionalFormatting>
  <conditionalFormatting sqref="I29:I37">
    <cfRule type="containsErrors" dxfId="193" priority="91">
      <formula>ISERROR(I29)</formula>
    </cfRule>
  </conditionalFormatting>
  <conditionalFormatting sqref="I29:I37">
    <cfRule type="containsErrors" dxfId="192" priority="90">
      <formula>ISERROR(I29)</formula>
    </cfRule>
  </conditionalFormatting>
  <conditionalFormatting sqref="I29:I37">
    <cfRule type="containsErrors" dxfId="191" priority="89">
      <formula>ISERROR(I29)</formula>
    </cfRule>
  </conditionalFormatting>
  <conditionalFormatting sqref="I29:I37">
    <cfRule type="containsErrors" dxfId="190" priority="88">
      <formula>ISERROR(I29)</formula>
    </cfRule>
  </conditionalFormatting>
  <conditionalFormatting sqref="I29:I37">
    <cfRule type="containsErrors" dxfId="189" priority="87">
      <formula>ISERROR(I29)</formula>
    </cfRule>
  </conditionalFormatting>
  <conditionalFormatting sqref="I29:I37">
    <cfRule type="containsErrors" dxfId="188" priority="86">
      <formula>ISERROR(I29)</formula>
    </cfRule>
  </conditionalFormatting>
  <conditionalFormatting sqref="K28:K37">
    <cfRule type="containsErrors" dxfId="187" priority="85">
      <formula>ISERROR(K28)</formula>
    </cfRule>
  </conditionalFormatting>
  <conditionalFormatting sqref="K28">
    <cfRule type="containsErrors" dxfId="186" priority="84">
      <formula>ISERROR(K28)</formula>
    </cfRule>
  </conditionalFormatting>
  <conditionalFormatting sqref="K28">
    <cfRule type="containsErrors" dxfId="185" priority="83">
      <formula>ISERROR(K28)</formula>
    </cfRule>
  </conditionalFormatting>
  <conditionalFormatting sqref="K29:K37">
    <cfRule type="containsErrors" dxfId="184" priority="82">
      <formula>ISERROR(K29)</formula>
    </cfRule>
  </conditionalFormatting>
  <conditionalFormatting sqref="K29:K37">
    <cfRule type="containsErrors" dxfId="183" priority="81">
      <formula>ISERROR(K29)</formula>
    </cfRule>
  </conditionalFormatting>
  <conditionalFormatting sqref="K29:K37">
    <cfRule type="containsErrors" dxfId="182" priority="80">
      <formula>ISERROR(K29)</formula>
    </cfRule>
  </conditionalFormatting>
  <conditionalFormatting sqref="K29:K37">
    <cfRule type="containsErrors" dxfId="181" priority="79">
      <formula>ISERROR(K29)</formula>
    </cfRule>
  </conditionalFormatting>
  <conditionalFormatting sqref="K29:K37">
    <cfRule type="containsErrors" dxfId="180" priority="78">
      <formula>ISERROR(K29)</formula>
    </cfRule>
  </conditionalFormatting>
  <conditionalFormatting sqref="K29:K37">
    <cfRule type="containsErrors" dxfId="179" priority="77">
      <formula>ISERROR(K29)</formula>
    </cfRule>
  </conditionalFormatting>
  <conditionalFormatting sqref="C28:C37">
    <cfRule type="containsErrors" dxfId="178" priority="76">
      <formula>ISERROR(C28)</formula>
    </cfRule>
  </conditionalFormatting>
  <conditionalFormatting sqref="E28:E37">
    <cfRule type="containsErrors" dxfId="177" priority="75">
      <formula>ISERROR(E28)</formula>
    </cfRule>
  </conditionalFormatting>
  <conditionalFormatting sqref="G28:G37">
    <cfRule type="containsErrors" dxfId="176" priority="74">
      <formula>ISERROR(G28)</formula>
    </cfRule>
  </conditionalFormatting>
  <conditionalFormatting sqref="I28:I37">
    <cfRule type="containsErrors" dxfId="175" priority="73">
      <formula>ISERROR(I28)</formula>
    </cfRule>
  </conditionalFormatting>
  <conditionalFormatting sqref="K28:K37">
    <cfRule type="containsErrors" dxfId="174" priority="72">
      <formula>ISERROR(K28)</formula>
    </cfRule>
  </conditionalFormatting>
  <conditionalFormatting sqref="G28 I28 K28">
    <cfRule type="containsErrors" dxfId="173" priority="71">
      <formula>ISERROR(G28)</formula>
    </cfRule>
  </conditionalFormatting>
  <conditionalFormatting sqref="I28">
    <cfRule type="containsErrors" dxfId="172" priority="70">
      <formula>ISERROR(I28)</formula>
    </cfRule>
  </conditionalFormatting>
  <conditionalFormatting sqref="G29:G33">
    <cfRule type="containsErrors" dxfId="171" priority="69">
      <formula>ISERROR(G29)</formula>
    </cfRule>
  </conditionalFormatting>
  <conditionalFormatting sqref="G34:G37">
    <cfRule type="containsErrors" dxfId="170" priority="68">
      <formula>ISERROR(G34)</formula>
    </cfRule>
  </conditionalFormatting>
  <conditionalFormatting sqref="I29:I37">
    <cfRule type="containsErrors" dxfId="169" priority="67">
      <formula>ISERROR(I29)</formula>
    </cfRule>
  </conditionalFormatting>
  <conditionalFormatting sqref="I29:I37">
    <cfRule type="containsErrors" dxfId="168" priority="66">
      <formula>ISERROR(I29)</formula>
    </cfRule>
  </conditionalFormatting>
  <conditionalFormatting sqref="K29:K37">
    <cfRule type="containsErrors" dxfId="167" priority="65">
      <formula>ISERROR(K29)</formula>
    </cfRule>
  </conditionalFormatting>
  <conditionalFormatting sqref="C28">
    <cfRule type="containsErrors" dxfId="166" priority="64">
      <formula>ISERROR(C28)</formula>
    </cfRule>
  </conditionalFormatting>
  <conditionalFormatting sqref="C28">
    <cfRule type="containsErrors" dxfId="165" priority="63">
      <formula>ISERROR(C28)</formula>
    </cfRule>
  </conditionalFormatting>
  <conditionalFormatting sqref="C29:C37">
    <cfRule type="containsErrors" dxfId="164" priority="62">
      <formula>ISERROR(C29)</formula>
    </cfRule>
  </conditionalFormatting>
  <conditionalFormatting sqref="C29:C37">
    <cfRule type="containsErrors" dxfId="163" priority="61">
      <formula>ISERROR(C29)</formula>
    </cfRule>
  </conditionalFormatting>
  <conditionalFormatting sqref="C29:C37">
    <cfRule type="containsErrors" dxfId="162" priority="60">
      <formula>ISERROR(C29)</formula>
    </cfRule>
  </conditionalFormatting>
  <conditionalFormatting sqref="C29:C37">
    <cfRule type="containsErrors" dxfId="161" priority="59">
      <formula>ISERROR(C29)</formula>
    </cfRule>
  </conditionalFormatting>
  <conditionalFormatting sqref="E28">
    <cfRule type="containsErrors" dxfId="160" priority="58">
      <formula>ISERROR(E28)</formula>
    </cfRule>
  </conditionalFormatting>
  <conditionalFormatting sqref="E28">
    <cfRule type="containsErrors" dxfId="159" priority="57">
      <formula>ISERROR(E28)</formula>
    </cfRule>
  </conditionalFormatting>
  <conditionalFormatting sqref="E28">
    <cfRule type="containsErrors" dxfId="158" priority="56">
      <formula>ISERROR(E28)</formula>
    </cfRule>
  </conditionalFormatting>
  <conditionalFormatting sqref="E29:E37">
    <cfRule type="containsErrors" dxfId="157" priority="55">
      <formula>ISERROR(E29)</formula>
    </cfRule>
  </conditionalFormatting>
  <conditionalFormatting sqref="E29:E37">
    <cfRule type="containsErrors" dxfId="156" priority="54">
      <formula>ISERROR(E29)</formula>
    </cfRule>
  </conditionalFormatting>
  <conditionalFormatting sqref="E29:E37">
    <cfRule type="containsErrors" dxfId="155" priority="53">
      <formula>ISERROR(E29)</formula>
    </cfRule>
  </conditionalFormatting>
  <conditionalFormatting sqref="G28:G37">
    <cfRule type="containsErrors" dxfId="154" priority="52">
      <formula>ISERROR(G28)</formula>
    </cfRule>
  </conditionalFormatting>
  <conditionalFormatting sqref="G28">
    <cfRule type="containsErrors" dxfId="153" priority="51">
      <formula>ISERROR(G28)</formula>
    </cfRule>
  </conditionalFormatting>
  <conditionalFormatting sqref="G28">
    <cfRule type="containsErrors" dxfId="152" priority="50">
      <formula>ISERROR(G28)</formula>
    </cfRule>
  </conditionalFormatting>
  <conditionalFormatting sqref="G28">
    <cfRule type="containsErrors" dxfId="151" priority="49">
      <formula>ISERROR(G28)</formula>
    </cfRule>
  </conditionalFormatting>
  <conditionalFormatting sqref="G29:G37">
    <cfRule type="containsErrors" dxfId="150" priority="48">
      <formula>ISERROR(G29)</formula>
    </cfRule>
  </conditionalFormatting>
  <conditionalFormatting sqref="G29:G37">
    <cfRule type="containsErrors" dxfId="149" priority="47">
      <formula>ISERROR(G29)</formula>
    </cfRule>
  </conditionalFormatting>
  <conditionalFormatting sqref="G29:G37">
    <cfRule type="containsErrors" dxfId="148" priority="46">
      <formula>ISERROR(G29)</formula>
    </cfRule>
  </conditionalFormatting>
  <conditionalFormatting sqref="I28:I37">
    <cfRule type="containsErrors" dxfId="147" priority="45">
      <formula>ISERROR(I28)</formula>
    </cfRule>
  </conditionalFormatting>
  <conditionalFormatting sqref="I28">
    <cfRule type="containsErrors" dxfId="146" priority="44">
      <formula>ISERROR(I28)</formula>
    </cfRule>
  </conditionalFormatting>
  <conditionalFormatting sqref="I28">
    <cfRule type="containsErrors" dxfId="145" priority="43">
      <formula>ISERROR(I28)</formula>
    </cfRule>
  </conditionalFormatting>
  <conditionalFormatting sqref="I28">
    <cfRule type="containsErrors" dxfId="144" priority="42">
      <formula>ISERROR(I28)</formula>
    </cfRule>
  </conditionalFormatting>
  <conditionalFormatting sqref="I29:I37">
    <cfRule type="containsErrors" dxfId="143" priority="41">
      <formula>ISERROR(I29)</formula>
    </cfRule>
  </conditionalFormatting>
  <conditionalFormatting sqref="I29:I37">
    <cfRule type="containsErrors" dxfId="142" priority="40">
      <formula>ISERROR(I29)</formula>
    </cfRule>
  </conditionalFormatting>
  <conditionalFormatting sqref="I29:I37">
    <cfRule type="containsErrors" dxfId="141" priority="39">
      <formula>ISERROR(I29)</formula>
    </cfRule>
  </conditionalFormatting>
  <conditionalFormatting sqref="C29:C37">
    <cfRule type="containsErrors" dxfId="140" priority="38">
      <formula>ISERROR(C29)</formula>
    </cfRule>
  </conditionalFormatting>
  <conditionalFormatting sqref="C29:C37">
    <cfRule type="containsErrors" dxfId="139" priority="37">
      <formula>ISERROR(C29)</formula>
    </cfRule>
  </conditionalFormatting>
  <conditionalFormatting sqref="E28:E37">
    <cfRule type="containsErrors" dxfId="138" priority="36">
      <formula>ISERROR(E28)</formula>
    </cfRule>
  </conditionalFormatting>
  <conditionalFormatting sqref="E28">
    <cfRule type="containsErrors" dxfId="137" priority="35">
      <formula>ISERROR(E28)</formula>
    </cfRule>
  </conditionalFormatting>
  <conditionalFormatting sqref="E28">
    <cfRule type="containsErrors" dxfId="136" priority="34">
      <formula>ISERROR(E28)</formula>
    </cfRule>
  </conditionalFormatting>
  <conditionalFormatting sqref="E29:E37">
    <cfRule type="containsErrors" dxfId="135" priority="33">
      <formula>ISERROR(E29)</formula>
    </cfRule>
  </conditionalFormatting>
  <conditionalFormatting sqref="E29:E37">
    <cfRule type="containsErrors" dxfId="134" priority="32">
      <formula>ISERROR(E29)</formula>
    </cfRule>
  </conditionalFormatting>
  <conditionalFormatting sqref="E29:E37">
    <cfRule type="containsErrors" dxfId="133" priority="31">
      <formula>ISERROR(E29)</formula>
    </cfRule>
  </conditionalFormatting>
  <conditionalFormatting sqref="E29:E37">
    <cfRule type="containsErrors" dxfId="132" priority="30">
      <formula>ISERROR(E29)</formula>
    </cfRule>
  </conditionalFormatting>
  <conditionalFormatting sqref="E29:E37">
    <cfRule type="containsErrors" dxfId="131" priority="29">
      <formula>ISERROR(E29)</formula>
    </cfRule>
  </conditionalFormatting>
  <conditionalFormatting sqref="E29:E37">
    <cfRule type="containsErrors" dxfId="130" priority="28">
      <formula>ISERROR(E29)</formula>
    </cfRule>
  </conditionalFormatting>
  <conditionalFormatting sqref="G28:G37">
    <cfRule type="containsErrors" dxfId="129" priority="27">
      <formula>ISERROR(G28)</formula>
    </cfRule>
  </conditionalFormatting>
  <conditionalFormatting sqref="G28">
    <cfRule type="containsErrors" dxfId="128" priority="26">
      <formula>ISERROR(G28)</formula>
    </cfRule>
  </conditionalFormatting>
  <conditionalFormatting sqref="G28">
    <cfRule type="containsErrors" dxfId="127" priority="25">
      <formula>ISERROR(G28)</formula>
    </cfRule>
  </conditionalFormatting>
  <conditionalFormatting sqref="G29:G37">
    <cfRule type="containsErrors" dxfId="126" priority="24">
      <formula>ISERROR(G29)</formula>
    </cfRule>
  </conditionalFormatting>
  <conditionalFormatting sqref="G29:G37">
    <cfRule type="containsErrors" dxfId="125" priority="23">
      <formula>ISERROR(G29)</formula>
    </cfRule>
  </conditionalFormatting>
  <conditionalFormatting sqref="G29:G37">
    <cfRule type="containsErrors" dxfId="124" priority="22">
      <formula>ISERROR(G29)</formula>
    </cfRule>
  </conditionalFormatting>
  <conditionalFormatting sqref="G29:G37">
    <cfRule type="containsErrors" dxfId="123" priority="21">
      <formula>ISERROR(G29)</formula>
    </cfRule>
  </conditionalFormatting>
  <conditionalFormatting sqref="G29:G37">
    <cfRule type="containsErrors" dxfId="122" priority="20">
      <formula>ISERROR(G29)</formula>
    </cfRule>
  </conditionalFormatting>
  <conditionalFormatting sqref="G29:G37">
    <cfRule type="containsErrors" dxfId="121" priority="19">
      <formula>ISERROR(G29)</formula>
    </cfRule>
  </conditionalFormatting>
  <conditionalFormatting sqref="I28:I37">
    <cfRule type="containsErrors" dxfId="120" priority="18">
      <formula>ISERROR(I28)</formula>
    </cfRule>
  </conditionalFormatting>
  <conditionalFormatting sqref="I28">
    <cfRule type="containsErrors" dxfId="119" priority="17">
      <formula>ISERROR(I28)</formula>
    </cfRule>
  </conditionalFormatting>
  <conditionalFormatting sqref="I28">
    <cfRule type="containsErrors" dxfId="118" priority="16">
      <formula>ISERROR(I28)</formula>
    </cfRule>
  </conditionalFormatting>
  <conditionalFormatting sqref="I29:I37">
    <cfRule type="containsErrors" dxfId="117" priority="15">
      <formula>ISERROR(I29)</formula>
    </cfRule>
  </conditionalFormatting>
  <conditionalFormatting sqref="I29:I37">
    <cfRule type="containsErrors" dxfId="116" priority="14">
      <formula>ISERROR(I29)</formula>
    </cfRule>
  </conditionalFormatting>
  <conditionalFormatting sqref="I29:I37">
    <cfRule type="containsErrors" dxfId="115" priority="13">
      <formula>ISERROR(I29)</formula>
    </cfRule>
  </conditionalFormatting>
  <conditionalFormatting sqref="I29:I37">
    <cfRule type="containsErrors" dxfId="114" priority="12">
      <formula>ISERROR(I29)</formula>
    </cfRule>
  </conditionalFormatting>
  <conditionalFormatting sqref="I29:I37">
    <cfRule type="containsErrors" dxfId="113" priority="11">
      <formula>ISERROR(I29)</formula>
    </cfRule>
  </conditionalFormatting>
  <conditionalFormatting sqref="I29:I37">
    <cfRule type="containsErrors" dxfId="112" priority="10">
      <formula>ISERROR(I29)</formula>
    </cfRule>
  </conditionalFormatting>
  <conditionalFormatting sqref="K28:K37">
    <cfRule type="containsErrors" dxfId="111" priority="9">
      <formula>ISERROR(K28)</formula>
    </cfRule>
  </conditionalFormatting>
  <conditionalFormatting sqref="K28">
    <cfRule type="containsErrors" dxfId="110" priority="8">
      <formula>ISERROR(K28)</formula>
    </cfRule>
  </conditionalFormatting>
  <conditionalFormatting sqref="K28">
    <cfRule type="containsErrors" dxfId="109" priority="7">
      <formula>ISERROR(K28)</formula>
    </cfRule>
  </conditionalFormatting>
  <conditionalFormatting sqref="K29:K37">
    <cfRule type="containsErrors" dxfId="108" priority="6">
      <formula>ISERROR(K29)</formula>
    </cfRule>
  </conditionalFormatting>
  <conditionalFormatting sqref="K29:K37">
    <cfRule type="containsErrors" dxfId="107" priority="5">
      <formula>ISERROR(K29)</formula>
    </cfRule>
  </conditionalFormatting>
  <conditionalFormatting sqref="K29:K37">
    <cfRule type="containsErrors" dxfId="106" priority="4">
      <formula>ISERROR(K29)</formula>
    </cfRule>
  </conditionalFormatting>
  <conditionalFormatting sqref="K29:K37">
    <cfRule type="containsErrors" dxfId="105" priority="3">
      <formula>ISERROR(K29)</formula>
    </cfRule>
  </conditionalFormatting>
  <conditionalFormatting sqref="K29:K37">
    <cfRule type="containsErrors" dxfId="104" priority="2">
      <formula>ISERROR(K29)</formula>
    </cfRule>
  </conditionalFormatting>
  <conditionalFormatting sqref="K29:K37">
    <cfRule type="containsErrors" dxfId="103"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2243</v>
      </c>
    </row>
    <row r="3" spans="1:1" ht="15">
      <c r="A3" s="351" t="s">
        <v>2137</v>
      </c>
    </row>
    <row r="4" spans="1:1" ht="15">
      <c r="A4" s="351" t="s">
        <v>863</v>
      </c>
    </row>
    <row r="5" spans="1:1" ht="15">
      <c r="A5" s="351" t="s">
        <v>2109</v>
      </c>
    </row>
    <row r="6" spans="1:1" ht="15">
      <c r="A6" s="351" t="s">
        <v>2244</v>
      </c>
    </row>
    <row r="7" spans="1:1" ht="15">
      <c r="A7" s="351" t="s">
        <v>1531</v>
      </c>
    </row>
    <row r="8" spans="1:1" ht="15">
      <c r="A8" s="351" t="s">
        <v>2123</v>
      </c>
    </row>
    <row r="9" spans="1:1" ht="15">
      <c r="A9" s="351" t="s">
        <v>2113</v>
      </c>
    </row>
    <row r="10" spans="1:1" ht="15">
      <c r="A10" s="351" t="s">
        <v>2136</v>
      </c>
    </row>
    <row r="11" spans="1:1" ht="15">
      <c r="A11" s="351" t="s">
        <v>2245</v>
      </c>
    </row>
    <row r="12" spans="1:1" ht="15">
      <c r="A12" s="351" t="s">
        <v>2126</v>
      </c>
    </row>
    <row r="13" spans="1:1" ht="15">
      <c r="A13" s="351" t="s">
        <v>2116</v>
      </c>
    </row>
    <row r="14" spans="1:1" ht="15">
      <c r="A14" s="351" t="s">
        <v>2133</v>
      </c>
    </row>
    <row r="15" spans="1:1" ht="15">
      <c r="A15" s="351" t="s">
        <v>2246</v>
      </c>
    </row>
    <row r="16" spans="1:1" ht="15">
      <c r="A16" s="351" t="s">
        <v>2247</v>
      </c>
    </row>
    <row r="17" spans="1:1" ht="15">
      <c r="A17" s="351" t="s">
        <v>2248</v>
      </c>
    </row>
    <row r="18" spans="1:1" ht="15">
      <c r="A18" s="351" t="s">
        <v>2153</v>
      </c>
    </row>
    <row r="19" spans="1:1" ht="15">
      <c r="A19" s="351" t="s">
        <v>2155</v>
      </c>
    </row>
    <row r="20" spans="1:1" ht="15">
      <c r="A20" s="351" t="s">
        <v>785</v>
      </c>
    </row>
    <row r="21" spans="1:1" ht="15">
      <c r="A21" s="351" t="s">
        <v>1607</v>
      </c>
    </row>
    <row r="22" spans="1:1" ht="15">
      <c r="A22" s="351" t="s">
        <v>1712</v>
      </c>
    </row>
    <row r="23" spans="1:1" ht="15">
      <c r="A23" s="351" t="s">
        <v>1462</v>
      </c>
    </row>
    <row r="24" spans="1:1" ht="15">
      <c r="A24" s="351" t="s">
        <v>414</v>
      </c>
    </row>
    <row r="25" spans="1:1" ht="15">
      <c r="A25" s="351" t="s">
        <v>1012</v>
      </c>
    </row>
    <row r="26" spans="1:1" ht="15">
      <c r="A26" s="351" t="s">
        <v>2162</v>
      </c>
    </row>
    <row r="27" spans="1:1" ht="15">
      <c r="A27" s="351" t="s">
        <v>2166</v>
      </c>
    </row>
    <row r="28" spans="1:1" ht="15">
      <c r="A28" s="351" t="s">
        <v>2169</v>
      </c>
    </row>
    <row r="29" spans="1:1" ht="15">
      <c r="A29" s="351" t="s">
        <v>1815</v>
      </c>
    </row>
    <row r="30" spans="1:1" ht="15">
      <c r="A30" s="351" t="s">
        <v>2171</v>
      </c>
    </row>
    <row r="31" spans="1:1" ht="15">
      <c r="A31" s="351" t="s">
        <v>2249</v>
      </c>
    </row>
    <row r="32" spans="1:1" ht="15">
      <c r="A32" s="351" t="s">
        <v>2155</v>
      </c>
    </row>
    <row r="33" spans="1:1" ht="15">
      <c r="A33" s="351" t="s">
        <v>1516</v>
      </c>
    </row>
    <row r="34" spans="1:1" ht="15">
      <c r="A34" s="351" t="s">
        <v>1507</v>
      </c>
    </row>
    <row r="35" spans="1:1" ht="15">
      <c r="A35" s="351" t="s">
        <v>1176</v>
      </c>
    </row>
    <row r="36" spans="1:1" ht="15">
      <c r="A36" s="351" t="s">
        <v>991</v>
      </c>
    </row>
    <row r="37" spans="1:1" ht="15">
      <c r="A37" s="351" t="s">
        <v>2182</v>
      </c>
    </row>
    <row r="38" spans="1:1" ht="15">
      <c r="A38" s="351" t="s">
        <v>2184</v>
      </c>
    </row>
    <row r="39" spans="1:1" ht="15">
      <c r="A39" s="351" t="s">
        <v>1702</v>
      </c>
    </row>
    <row r="40" spans="1:1" ht="15">
      <c r="A40" s="351" t="s">
        <v>2186</v>
      </c>
    </row>
    <row r="41" spans="1:1" ht="15">
      <c r="A41" s="351" t="s">
        <v>1227</v>
      </c>
    </row>
    <row r="42" spans="1:1" ht="15">
      <c r="A42" s="351" t="s">
        <v>1591</v>
      </c>
    </row>
    <row r="43" spans="1:1" ht="15">
      <c r="A43" s="351" t="s">
        <v>1837</v>
      </c>
    </row>
    <row r="44" spans="1:1" ht="15">
      <c r="A44" s="351" t="s">
        <v>1234</v>
      </c>
    </row>
    <row r="45" spans="1:1" ht="15">
      <c r="A45" s="351" t="s">
        <v>1649</v>
      </c>
    </row>
    <row r="46" spans="1:1" ht="15">
      <c r="A46" s="351" t="s">
        <v>2235</v>
      </c>
    </row>
    <row r="47" spans="1:1" ht="15">
      <c r="A47" s="351" t="s">
        <v>1815</v>
      </c>
    </row>
  </sheetData>
  <conditionalFormatting sqref="A3:A47">
    <cfRule type="duplicateValues" dxfId="102" priority="2"/>
    <cfRule type="duplicateValues" dxfId="101"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topLeftCell="A4" workbookViewId="0">
      <selection activeCell="C33" sqref="C33"/>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c r="AJ29" s="119"/>
      <c r="AK29" s="120"/>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0</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71" t="str">
        <f ca="1">"AUDIENCIAS ASIGNADAS  AL DIA: " &amp; TEXT(TODAY(),"DD/MM/YYYY")</f>
        <v>AUDIENCIAS ASIGNADAS  AL DIA: 27/10/2023</v>
      </c>
      <c r="C1" s="371"/>
      <c r="D1" s="371"/>
      <c r="E1" s="371"/>
      <c r="F1" s="371"/>
      <c r="G1" s="371"/>
      <c r="H1" s="371"/>
      <c r="I1" s="371"/>
    </row>
    <row r="3" spans="2:9" ht="28.5" customHeight="1">
      <c r="B3" s="372" t="s">
        <v>1355</v>
      </c>
      <c r="C3" s="373"/>
      <c r="E3" s="372" t="s">
        <v>1562</v>
      </c>
      <c r="F3" s="373"/>
      <c r="H3" s="372" t="s">
        <v>1581</v>
      </c>
      <c r="I3" s="373"/>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0</v>
      </c>
      <c r="E6" s="10" t="s">
        <v>875</v>
      </c>
      <c r="F6" s="10">
        <f>COUNTIF(EXPEDIENTES!$J:$J,$E6)</f>
        <v>0</v>
      </c>
      <c r="H6" s="175" t="s">
        <v>324</v>
      </c>
      <c r="I6" s="48">
        <f>SUM(I5)</f>
        <v>0</v>
      </c>
    </row>
    <row r="7" spans="2:9" ht="24.95" customHeight="1">
      <c r="B7" s="10" t="s">
        <v>25</v>
      </c>
      <c r="C7" s="10">
        <f>COUNTIF(EXPEDIENTES!$J:$J,$B7)</f>
        <v>0</v>
      </c>
      <c r="E7" s="10" t="s">
        <v>876</v>
      </c>
      <c r="F7" s="10">
        <f>COUNTIF(EXPEDIENTES!$J:$J,$E7)</f>
        <v>0</v>
      </c>
    </row>
    <row r="8" spans="2:9" ht="24.95" customHeight="1">
      <c r="B8" s="10" t="s">
        <v>63</v>
      </c>
      <c r="C8" s="10">
        <f>COUNTIF(EXPEDIENTES!$J:$J,$B8)</f>
        <v>0</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0</v>
      </c>
      <c r="E10" s="10" t="s">
        <v>1197</v>
      </c>
      <c r="F10" s="10">
        <f>COUNTIF(EXPEDIENTES!$J:$J,$E10)</f>
        <v>0</v>
      </c>
      <c r="H10" s="97"/>
      <c r="I10" s="97"/>
    </row>
    <row r="11" spans="2:9" ht="24.95" customHeight="1">
      <c r="B11" s="10" t="s">
        <v>873</v>
      </c>
      <c r="C11" s="10">
        <f>COUNTIF(EXPEDIENTES!$J:$J,$B11)</f>
        <v>0</v>
      </c>
      <c r="E11" s="297" t="s">
        <v>1967</v>
      </c>
      <c r="F11" s="10">
        <f>COUNTIF(EXPEDIENTES!$J:$J,$E11)</f>
        <v>0</v>
      </c>
      <c r="H11" s="97"/>
      <c r="I11" s="97"/>
    </row>
    <row r="12" spans="2:9" s="293" customFormat="1" ht="24.95" customHeight="1">
      <c r="B12" s="292" t="s">
        <v>324</v>
      </c>
      <c r="C12" s="48">
        <f>SUM(C5:C11)</f>
        <v>0</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371" t="str">
        <f ca="1">"AUDIENCIAS QUE RESTAN RESOLVER -  AL DIA: " &amp; TEXT(TODAY(),"DD/MM/YYYY")</f>
        <v>AUDIENCIAS QUE RESTAN RESOLVER -  AL DIA: 27/10/2023</v>
      </c>
      <c r="C26" s="371"/>
      <c r="D26" s="371"/>
      <c r="E26" s="371"/>
      <c r="F26" s="371"/>
      <c r="G26" s="371"/>
      <c r="H26" s="371"/>
      <c r="I26" s="371"/>
    </row>
    <row r="27" spans="2:9" ht="24.95" customHeight="1"/>
    <row r="28" spans="2:9" ht="24.95" customHeight="1">
      <c r="B28" s="372" t="s">
        <v>1356</v>
      </c>
      <c r="C28" s="373"/>
      <c r="E28" s="372" t="s">
        <v>1563</v>
      </c>
      <c r="F28" s="373"/>
      <c r="H28" s="372" t="s">
        <v>1357</v>
      </c>
      <c r="I28" s="373"/>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COUNTIFS(EXPEDIENTES!J:J,$B31,EXPEDIENTES!O:O,"NO")</f>
        <v>0</v>
      </c>
      <c r="E31" s="10" t="s">
        <v>875</v>
      </c>
      <c r="F31" s="10">
        <f>COUNTIFS(EXPEDIENTES!J:J,$E31,EXPEDIENTES!O:O,"NO")</f>
        <v>0</v>
      </c>
      <c r="H31" s="175" t="s">
        <v>324</v>
      </c>
      <c r="I31" s="48">
        <f>SUM(I30)</f>
        <v>0</v>
      </c>
    </row>
    <row r="32" spans="2:9" ht="20.100000000000001" customHeight="1">
      <c r="B32" s="10" t="s">
        <v>25</v>
      </c>
      <c r="C32" s="10">
        <f>COUNTIFS(EXPEDIENTES!J:J,$B32,EXPEDIENTES!O:O,"NO")</f>
        <v>0</v>
      </c>
      <c r="E32" s="10" t="s">
        <v>876</v>
      </c>
      <c r="F32" s="10">
        <f>COUNTIFS(EXPEDIENTES!J:J,$E32,EXPEDIENTES!O:O,"NO")</f>
        <v>0</v>
      </c>
    </row>
    <row r="33" spans="2:6" ht="20.100000000000001" customHeight="1">
      <c r="B33" s="10" t="s">
        <v>63</v>
      </c>
      <c r="C33" s="10">
        <f>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COUNTIFS(EXPEDIENTES!J:J,$B35,EXPEDIENTES!O:O,"NO")</f>
        <v>0</v>
      </c>
      <c r="E35" s="10" t="s">
        <v>1197</v>
      </c>
      <c r="F35" s="10">
        <f>COUNTIFS(EXPEDIENTES!J:J,$E35,EXPEDIENTES!O:O,"NO")</f>
        <v>0</v>
      </c>
    </row>
    <row r="36" spans="2:6" ht="20.100000000000001" customHeight="1">
      <c r="B36" s="10" t="s">
        <v>873</v>
      </c>
      <c r="C36" s="10">
        <f>COUNTIFS(EXPEDIENTES!J:J,$B36,EXPEDIENTES!O:O,"NO")</f>
        <v>0</v>
      </c>
      <c r="E36" s="297" t="s">
        <v>1967</v>
      </c>
      <c r="F36" s="10">
        <f>COUNTIFS(EXPEDIENTES!J:J,$E36,EXPEDIENTES!O:O,"NO")</f>
        <v>0</v>
      </c>
    </row>
    <row r="37" spans="2:6" ht="20.100000000000001" customHeight="1">
      <c r="B37" s="175" t="s">
        <v>714</v>
      </c>
      <c r="C37" s="48">
        <f>SUM(C30:C36)</f>
        <v>0</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371" t="str">
        <f ca="1">"AUDIENCIAS RESUELTAS AL DIA: " &amp; TEXT(TODAY(),"DD/MM/YYYY")</f>
        <v>AUDIENCIAS RESUELTAS AL DIA: 27/10/2023</v>
      </c>
      <c r="C53" s="371"/>
      <c r="D53" s="371"/>
      <c r="E53" s="371"/>
      <c r="F53" s="371"/>
      <c r="G53" s="371"/>
      <c r="H53" s="371"/>
      <c r="I53" s="371"/>
    </row>
    <row r="54" spans="2:9" ht="20.100000000000001" customHeight="1"/>
    <row r="55" spans="2:9" ht="28.35" customHeight="1">
      <c r="B55" s="372" t="s">
        <v>1358</v>
      </c>
      <c r="C55" s="373"/>
      <c r="E55" s="372" t="s">
        <v>1359</v>
      </c>
      <c r="F55" s="373"/>
      <c r="H55" s="372" t="s">
        <v>1360</v>
      </c>
      <c r="I55" s="373"/>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COUNTIFS(EXPEDIENTES!J:J,$B58,EXPEDIENTES!O:O,"SI")</f>
        <v>0</v>
      </c>
      <c r="E58" s="10" t="s">
        <v>875</v>
      </c>
      <c r="F58" s="10">
        <f>COUNTIFS(EXPEDIENTES!J:J,$E58,EXPEDIENTES!O:O,"SI")</f>
        <v>0</v>
      </c>
      <c r="H58" s="175" t="s">
        <v>324</v>
      </c>
      <c r="I58" s="48">
        <f>SUM(I57)</f>
        <v>0</v>
      </c>
    </row>
    <row r="59" spans="2:9" ht="24.95" customHeight="1">
      <c r="B59" s="10" t="s">
        <v>25</v>
      </c>
      <c r="C59" s="10">
        <f>COUNTIFS(EXPEDIENTES!J:J,$B59,EXPEDIENTES!O:O,"SI")</f>
        <v>0</v>
      </c>
      <c r="E59" s="10" t="s">
        <v>876</v>
      </c>
      <c r="F59" s="10">
        <f>COUNTIFS(EXPEDIENTES!J:J,$E59,EXPEDIENTES!O:O,"SI")</f>
        <v>0</v>
      </c>
    </row>
    <row r="60" spans="2:9" ht="24.95" customHeight="1">
      <c r="B60" s="10" t="s">
        <v>63</v>
      </c>
      <c r="C60" s="10">
        <f>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COUNTIFS(EXPEDIENTES!J:J,$B62,EXPEDIENTES!O:O,"SI")</f>
        <v>0</v>
      </c>
      <c r="E62" s="10" t="s">
        <v>1197</v>
      </c>
      <c r="F62" s="10">
        <f>COUNTIFS(EXPEDIENTES!J:J,$E62,EXPEDIENTES!O:O,"SI")</f>
        <v>0</v>
      </c>
      <c r="G62" s="96"/>
      <c r="H62" s="96"/>
    </row>
    <row r="63" spans="2:9" ht="24.95" customHeight="1">
      <c r="B63" s="10" t="s">
        <v>873</v>
      </c>
      <c r="C63" s="10">
        <f>COUNTIFS(EXPEDIENTES!J:J,$B63,EXPEDIENTES!O:O,"SI")</f>
        <v>0</v>
      </c>
      <c r="E63" s="297" t="s">
        <v>1967</v>
      </c>
      <c r="F63" s="10">
        <f>COUNTIFS(EXPEDIENTES!J:J,$E63,EXPEDIENTES!O:O,"SI")</f>
        <v>0</v>
      </c>
      <c r="G63" s="96"/>
      <c r="H63" s="96"/>
    </row>
    <row r="64" spans="2:9" ht="24.95" customHeight="1">
      <c r="B64" s="175" t="s">
        <v>1349</v>
      </c>
      <c r="C64" s="28">
        <f>SUM(C57:C63)</f>
        <v>0</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374" t="s">
        <v>393</v>
      </c>
      <c r="C68" s="374"/>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379"/>
      <c r="B1" s="379"/>
      <c r="C1" s="379"/>
      <c r="D1" s="379"/>
      <c r="E1" s="379"/>
      <c r="F1" s="379"/>
      <c r="G1" s="379"/>
      <c r="H1" s="379"/>
      <c r="I1" s="379"/>
      <c r="J1" s="379"/>
      <c r="K1" s="168"/>
      <c r="AQ1" s="379" t="s">
        <v>1327</v>
      </c>
      <c r="AR1" s="379"/>
      <c r="AS1" s="379"/>
      <c r="AT1" s="379"/>
      <c r="AU1" s="379"/>
      <c r="AV1" s="379"/>
      <c r="AW1" s="379"/>
      <c r="AX1" s="379"/>
      <c r="AY1" s="379"/>
      <c r="AZ1" s="379"/>
      <c r="BA1" s="379"/>
    </row>
    <row r="2" spans="1:53" ht="12.75" customHeight="1"/>
    <row r="3" spans="1:53" ht="30.75" customHeight="1">
      <c r="M3" s="168" t="s">
        <v>931</v>
      </c>
      <c r="N3" s="168" t="s">
        <v>932</v>
      </c>
      <c r="AK3" s="168" t="s">
        <v>336</v>
      </c>
      <c r="AL3" s="168" t="s">
        <v>23</v>
      </c>
      <c r="AQ3" s="380" t="s">
        <v>1323</v>
      </c>
      <c r="AR3" s="380"/>
      <c r="AS3" s="380"/>
      <c r="AT3" s="380"/>
      <c r="AU3" s="380"/>
      <c r="AV3" s="380"/>
      <c r="AW3" s="380"/>
      <c r="AX3" s="380"/>
      <c r="AY3" s="380"/>
      <c r="AZ3" s="380"/>
      <c r="BA3" s="380"/>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COUNTIFS(EXPEDIENTES!H:H,"&gt;=01/11/2023",EXPEDIENTES!H:H,"&lt;=30/11/2023",EXPEDIENTES!O:O,"=SI")</f>
        <v>0</v>
      </c>
      <c r="C15" s="303" t="s">
        <v>2090</v>
      </c>
      <c r="AQ15" s="179">
        <f>SUM(AQ6:AQ14)</f>
        <v>0</v>
      </c>
      <c r="AR15" s="179" t="s">
        <v>324</v>
      </c>
      <c r="AS15" s="178"/>
      <c r="AT15" s="178"/>
      <c r="AU15" s="178"/>
      <c r="AV15" s="178"/>
      <c r="AW15" s="178"/>
      <c r="AX15" s="178"/>
      <c r="AY15" s="178"/>
      <c r="AZ15" s="168"/>
    </row>
    <row r="16" spans="1:53" ht="28.35" customHeight="1" thickBot="1">
      <c r="B16" s="302">
        <f>COUNTIFS(EXPEDIENTES!H:H,"&gt;=01/12/2023",EXPEDIENTES!H:H,"&lt;=31/12/2023",EXPEDIENTES!O:O,"=SI")</f>
        <v>0</v>
      </c>
      <c r="C16" s="304" t="s">
        <v>2091</v>
      </c>
      <c r="AW16" s="170"/>
      <c r="AX16" s="170"/>
      <c r="AZ16" s="173"/>
    </row>
    <row r="17" spans="2:54" ht="28.35" customHeight="1">
      <c r="B17" s="253">
        <f>SUM(B6:B16)</f>
        <v>0</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27/10/2023</v>
      </c>
    </row>
    <row r="21" spans="2:54" ht="28.35" customHeight="1"/>
    <row r="22" spans="2:54" ht="28.35" customHeight="1">
      <c r="AQ22" s="378" t="s">
        <v>1327</v>
      </c>
      <c r="AR22" s="378"/>
      <c r="AS22" s="378"/>
      <c r="AT22" s="378"/>
      <c r="AU22" s="378"/>
      <c r="AV22" s="378"/>
      <c r="AW22" s="378"/>
      <c r="AX22" s="378"/>
      <c r="AY22" s="378"/>
      <c r="AZ22" s="378"/>
      <c r="BA22" s="205"/>
      <c r="BB22" s="205"/>
    </row>
    <row r="24" spans="2:54" ht="26.25">
      <c r="AQ24" s="377" t="s">
        <v>1611</v>
      </c>
      <c r="AR24" s="377"/>
      <c r="AS24" s="377"/>
      <c r="AT24" s="377"/>
      <c r="AU24" s="377"/>
      <c r="AV24" s="377"/>
      <c r="AW24" s="377"/>
      <c r="AX24" s="377"/>
      <c r="AY24" s="377"/>
      <c r="AZ24" s="377"/>
      <c r="BA24" s="206"/>
      <c r="BB24" s="206"/>
    </row>
    <row r="25" spans="2:54" ht="26.25">
      <c r="AQ25" s="377" t="s">
        <v>1953</v>
      </c>
      <c r="AR25" s="377"/>
      <c r="AS25" s="377"/>
      <c r="AT25" s="377"/>
      <c r="AU25" s="377"/>
      <c r="AV25" s="377"/>
      <c r="AW25" s="377"/>
      <c r="AX25" s="377"/>
      <c r="AY25" s="377"/>
      <c r="AZ25" s="377"/>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375" t="s">
        <v>1952</v>
      </c>
      <c r="AR34" s="375"/>
    </row>
    <row r="35" spans="1:52" ht="30" customHeight="1">
      <c r="M35" s="253" t="e">
        <f>SUM(M29:M34)</f>
        <v>#VALUE!</v>
      </c>
      <c r="N35" s="252" t="e">
        <f>SUM(N29:N34)</f>
        <v>#VALUE!</v>
      </c>
      <c r="O35" s="251" t="s">
        <v>324</v>
      </c>
      <c r="AK35" s="253" t="e">
        <f>SUM(AK29:AK34)</f>
        <v>#VALUE!</v>
      </c>
      <c r="AL35" s="252" t="e">
        <f>SUM(AL29:AL34)</f>
        <v>#VALUE!</v>
      </c>
      <c r="AM35" s="251" t="s">
        <v>324</v>
      </c>
      <c r="AQ35" s="375"/>
      <c r="AR35" s="375"/>
    </row>
    <row r="36" spans="1:52" ht="30" customHeight="1">
      <c r="AQ36" s="376">
        <f>(AQ32*100)/[2]EXPEDIENTES!C1</f>
        <v>0</v>
      </c>
      <c r="AR36" s="376"/>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27/10/2023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378" t="s">
        <v>1327</v>
      </c>
      <c r="AR42" s="378"/>
      <c r="AS42" s="378"/>
      <c r="AT42" s="378"/>
      <c r="AU42" s="378"/>
      <c r="AV42" s="378"/>
      <c r="AW42" s="378"/>
      <c r="AX42" s="378"/>
      <c r="AY42" s="378"/>
      <c r="AZ42" s="378"/>
    </row>
    <row r="43" spans="1:52" ht="30" customHeight="1">
      <c r="A43" s="264"/>
      <c r="B43" s="264"/>
      <c r="C43" s="264"/>
      <c r="AK43" s="256" t="e">
        <f>COUNTIFS([2]EXPEDIENTES!Q:Q,"Libertad",[2]EXPEDIENTES!J:J,"=Dr. Rodriguez Pipino")</f>
        <v>#VALUE!</v>
      </c>
      <c r="AL43" s="255" t="e">
        <f>AK43/AK51</f>
        <v>#VALUE!</v>
      </c>
      <c r="AM43" s="257" t="s">
        <v>671</v>
      </c>
      <c r="AQ43" s="377" t="s">
        <v>1611</v>
      </c>
      <c r="AR43" s="377"/>
      <c r="AS43" s="377"/>
      <c r="AT43" s="377"/>
      <c r="AU43" s="377"/>
      <c r="AV43" s="377"/>
      <c r="AW43" s="377"/>
      <c r="AX43" s="377"/>
      <c r="AY43" s="377"/>
      <c r="AZ43" s="377"/>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27/10/2023</v>
      </c>
    </row>
    <row r="62" spans="1:52" ht="24.95" customHeight="1"/>
    <row r="63" spans="1:52" ht="24.95" customHeight="1">
      <c r="AQ63" s="378" t="s">
        <v>1327</v>
      </c>
      <c r="AR63" s="378"/>
      <c r="AS63" s="378"/>
      <c r="AT63" s="378"/>
      <c r="AU63" s="378"/>
      <c r="AV63" s="378"/>
      <c r="AW63" s="378"/>
      <c r="AX63" s="378"/>
      <c r="AY63" s="378"/>
      <c r="AZ63" s="378"/>
    </row>
    <row r="64" spans="1:52" ht="24.95" customHeight="1">
      <c r="AQ64" s="377" t="s">
        <v>1951</v>
      </c>
      <c r="AR64" s="377"/>
      <c r="AS64" s="377"/>
      <c r="AT64" s="377"/>
      <c r="AU64" s="377"/>
      <c r="AV64" s="377"/>
      <c r="AW64" s="377"/>
      <c r="AX64" s="377"/>
      <c r="AY64" s="377"/>
      <c r="AZ64" s="377"/>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45226</v>
      </c>
    </row>
    <row r="2" spans="1:16384" ht="21.95" customHeight="1">
      <c r="B2" s="381" t="s">
        <v>345</v>
      </c>
      <c r="C2" s="381"/>
    </row>
    <row r="3" spans="1:16384" ht="21.95" customHeight="1">
      <c r="B3" s="12" t="s">
        <v>3</v>
      </c>
      <c r="C3" s="12" t="s">
        <v>317</v>
      </c>
    </row>
    <row r="4" spans="1:16384" ht="21.95" customHeight="1">
      <c r="B4" s="10" t="s">
        <v>32</v>
      </c>
      <c r="C4" s="10">
        <f>COUNTIFS(EXPEDIENTES!G:G,B4,EXPEDIENTES!O:O,"NO")</f>
        <v>0</v>
      </c>
    </row>
    <row r="5" spans="1:16384" ht="21.95" customHeight="1">
      <c r="B5" s="10" t="s">
        <v>21</v>
      </c>
      <c r="C5" s="10">
        <f>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COUNTIFS(EXPEDIENTES!G:G,B12,EXPEDIENTES!O:O,"NO")</f>
        <v>0</v>
      </c>
    </row>
    <row r="13" spans="1:16384" ht="21.95" customHeight="1">
      <c r="B13" s="244" t="s">
        <v>1840</v>
      </c>
      <c r="C13" s="10">
        <f>COUNTIFS(EXPEDIENTES!G:G,B13,EXPEDIENTES!O:O,"NO")</f>
        <v>0</v>
      </c>
    </row>
    <row r="14" spans="1:16384" ht="21.95" customHeight="1">
      <c r="B14" s="244" t="s">
        <v>1841</v>
      </c>
      <c r="C14" s="10">
        <f>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381" t="s">
        <v>385</v>
      </c>
      <c r="C22" s="381"/>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14</v>
      </c>
      <c r="F24" s="203"/>
      <c r="G24" s="203" t="s">
        <v>1526</v>
      </c>
      <c r="H24" s="203"/>
      <c r="I24" s="203"/>
      <c r="J24" s="203"/>
      <c r="K24" s="203"/>
      <c r="L24" s="203"/>
    </row>
    <row r="25" spans="2:12" ht="21.95" customHeight="1">
      <c r="B25" s="10" t="s">
        <v>21</v>
      </c>
      <c r="C25" s="10">
        <f>COUNTIF(EXPEDIENTES!G:G,B25)</f>
        <v>13</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COUNTIFS(EXPEDIENTES!G:G,B38,EXPEDIENTES!O:O,"SI")</f>
        <v>0</v>
      </c>
      <c r="F38" s="203"/>
      <c r="G38" s="203" t="s">
        <v>1527</v>
      </c>
      <c r="H38" s="203"/>
      <c r="I38" s="203"/>
      <c r="J38" s="203"/>
      <c r="K38" s="203"/>
      <c r="L38" s="203"/>
    </row>
    <row r="39" spans="2:12" ht="21.95" customHeight="1">
      <c r="B39" s="10" t="s">
        <v>21</v>
      </c>
      <c r="C39" s="10">
        <f>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17" sqref="B17"/>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63"/>
  <sheetViews>
    <sheetView topLeftCell="A51" workbookViewId="0">
      <selection activeCell="A63" sqref="A63"/>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2178</v>
      </c>
    </row>
    <row r="161" spans="1:1">
      <c r="A161" s="53" t="s">
        <v>2215</v>
      </c>
    </row>
    <row r="162" spans="1:1">
      <c r="A162" s="53" t="s">
        <v>2217</v>
      </c>
    </row>
    <row r="163" spans="1:1">
      <c r="A163" s="53" t="s">
        <v>2275</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51" priority="48">
      <formula>"SI(P115=""HOY"")"</formula>
    </cfRule>
  </conditionalFormatting>
  <conditionalFormatting sqref="C113:I113 K113:L113">
    <cfRule type="expression" dxfId="50" priority="47">
      <formula>"SI(P115=""HOY"")"</formula>
    </cfRule>
  </conditionalFormatting>
  <conditionalFormatting sqref="C113:I113 K113:L113">
    <cfRule type="expression" dxfId="49" priority="46">
      <formula>"SI(P115=""HOY"")"</formula>
    </cfRule>
  </conditionalFormatting>
  <conditionalFormatting sqref="C113:I113 K113:L113">
    <cfRule type="expression" dxfId="48" priority="45">
      <formula>"SI(P115=""HOY"")"</formula>
    </cfRule>
  </conditionalFormatting>
  <conditionalFormatting sqref="C113:I113 K113:L113">
    <cfRule type="expression" dxfId="47" priority="44">
      <formula>"SI(P115=""HOY"")"</formula>
    </cfRule>
  </conditionalFormatting>
  <conditionalFormatting sqref="C113:I113 K113:L113">
    <cfRule type="expression" dxfId="46" priority="43">
      <formula>"SI(P115=""HOY"")"</formula>
    </cfRule>
  </conditionalFormatting>
  <conditionalFormatting sqref="C113:I113 K113:L113">
    <cfRule type="expression" dxfId="45" priority="42">
      <formula>"SI(P115=""HOY"")"</formula>
    </cfRule>
  </conditionalFormatting>
  <conditionalFormatting sqref="C113:I113 K113:L113">
    <cfRule type="expression" dxfId="44" priority="41">
      <formula>"SI(P115=""HOY"")"</formula>
    </cfRule>
  </conditionalFormatting>
  <conditionalFormatting sqref="C113:I113 K113:L113">
    <cfRule type="expression" dxfId="43" priority="40">
      <formula>"SI(P115=""HOY"")"</formula>
    </cfRule>
  </conditionalFormatting>
  <conditionalFormatting sqref="C113:I113 K113:L113">
    <cfRule type="expression" dxfId="42" priority="39">
      <formula>"SI(P115=""HOY"")"</formula>
    </cfRule>
  </conditionalFormatting>
  <conditionalFormatting sqref="C113:I113 K113:L113">
    <cfRule type="expression" dxfId="41" priority="38">
      <formula>"SI(P115=""HOY"")"</formula>
    </cfRule>
  </conditionalFormatting>
  <conditionalFormatting sqref="C113:I113 K113:L113">
    <cfRule type="expression" dxfId="40" priority="37">
      <formula>"SI(P115=""HOY"")"</formula>
    </cfRule>
  </conditionalFormatting>
  <conditionalFormatting sqref="C113:I113 K113:L113">
    <cfRule type="expression" dxfId="39" priority="36">
      <formula>"SI(P115=""HOY"")"</formula>
    </cfRule>
  </conditionalFormatting>
  <conditionalFormatting sqref="C113:I113 K113:L113">
    <cfRule type="expression" dxfId="38" priority="35">
      <formula>"SI(P115=""HOY"")"</formula>
    </cfRule>
  </conditionalFormatting>
  <conditionalFormatting sqref="C113:I113 K113:L113">
    <cfRule type="expression" dxfId="37" priority="34">
      <formula>"SI(P115=""HOY"")"</formula>
    </cfRule>
  </conditionalFormatting>
  <conditionalFormatting sqref="C113:I113 K113:L113">
    <cfRule type="expression" dxfId="36" priority="33">
      <formula>"SI(P115=""HOY"")"</formula>
    </cfRule>
  </conditionalFormatting>
  <conditionalFormatting sqref="C113:I113 K113:L113">
    <cfRule type="expression" dxfId="35" priority="32">
      <formula>"SI(P115=""HOY"")"</formula>
    </cfRule>
  </conditionalFormatting>
  <conditionalFormatting sqref="C113:I113 K113:L113">
    <cfRule type="expression" dxfId="34" priority="31">
      <formula>"SI(P115=""HOY"")"</formula>
    </cfRule>
  </conditionalFormatting>
  <conditionalFormatting sqref="C113:I113 K113:L113">
    <cfRule type="expression" dxfId="33" priority="30">
      <formula>"SI(P115=""HOY"")"</formula>
    </cfRule>
  </conditionalFormatting>
  <conditionalFormatting sqref="C113:I113 K113:L113">
    <cfRule type="expression" dxfId="32" priority="29">
      <formula>"SI(P115=""HOY"")"</formula>
    </cfRule>
  </conditionalFormatting>
  <conditionalFormatting sqref="C113:I113 K113:L113">
    <cfRule type="expression" dxfId="31" priority="28">
      <formula>"SI(P115=""HOY"")"</formula>
    </cfRule>
  </conditionalFormatting>
  <conditionalFormatting sqref="C113:I113 K113:L113">
    <cfRule type="expression" dxfId="30" priority="27">
      <formula>"SI(P115=""HOY"")"</formula>
    </cfRule>
  </conditionalFormatting>
  <conditionalFormatting sqref="C113:I113 K113:L113">
    <cfRule type="expression" dxfId="29" priority="26">
      <formula>"SI(P115=""HOY"")"</formula>
    </cfRule>
  </conditionalFormatting>
  <conditionalFormatting sqref="C113:I113 K113:L113">
    <cfRule type="expression" dxfId="28" priority="25">
      <formula>"SI(P115=""HOY"")"</formula>
    </cfRule>
  </conditionalFormatting>
  <conditionalFormatting sqref="C113:I113 K113:L113">
    <cfRule type="expression" dxfId="27" priority="24">
      <formula>"SI(P115=""HOY"")"</formula>
    </cfRule>
  </conditionalFormatting>
  <conditionalFormatting sqref="C113:I113 K113:L113">
    <cfRule type="expression" dxfId="26" priority="23">
      <formula>"SI(P115=""HOY"")"</formula>
    </cfRule>
  </conditionalFormatting>
  <conditionalFormatting sqref="C113:I113 K113:L113">
    <cfRule type="expression" dxfId="25" priority="22">
      <formula>"SI(P115=""HOY"")"</formula>
    </cfRule>
  </conditionalFormatting>
  <conditionalFormatting sqref="C113:I113 K113:L113">
    <cfRule type="expression" dxfId="24" priority="21">
      <formula>"SI(P115=""HOY"")"</formula>
    </cfRule>
  </conditionalFormatting>
  <conditionalFormatting sqref="C113:I113 K113:L113">
    <cfRule type="expression" dxfId="23" priority="20">
      <formula>"SI(P115=""HOY"")"</formula>
    </cfRule>
  </conditionalFormatting>
  <conditionalFormatting sqref="C113:I113 K113:L113">
    <cfRule type="expression" dxfId="22" priority="19">
      <formula>"SI(P115=""HOY"")"</formula>
    </cfRule>
  </conditionalFormatting>
  <conditionalFormatting sqref="C113:I113 K113:L113">
    <cfRule type="expression" dxfId="21" priority="18">
      <formula>"SI(P115=""HOY"")"</formula>
    </cfRule>
  </conditionalFormatting>
  <conditionalFormatting sqref="C113:I113 K113:L113">
    <cfRule type="expression" dxfId="20" priority="17">
      <formula>"SI(P115=""HOY"")"</formula>
    </cfRule>
  </conditionalFormatting>
  <conditionalFormatting sqref="C113:I113 K113:L113">
    <cfRule type="expression" dxfId="19" priority="16">
      <formula>"SI(P115=""HOY"")"</formula>
    </cfRule>
  </conditionalFormatting>
  <conditionalFormatting sqref="C113:I113 K113:L113">
    <cfRule type="expression" dxfId="18" priority="15">
      <formula>"SI(P115=""HOY"")"</formula>
    </cfRule>
  </conditionalFormatting>
  <conditionalFormatting sqref="C113:I113 K113:L113">
    <cfRule type="expression" dxfId="17" priority="14">
      <formula>"SI(P115=""HOY"")"</formula>
    </cfRule>
  </conditionalFormatting>
  <conditionalFormatting sqref="C113:I113 K113:L113">
    <cfRule type="expression" dxfId="16" priority="13">
      <formula>"SI(P115=""HOY"")"</formula>
    </cfRule>
  </conditionalFormatting>
  <conditionalFormatting sqref="C113:I113 K113:L113">
    <cfRule type="expression" dxfId="15" priority="12">
      <formula>"SI(P115=""HOY"")"</formula>
    </cfRule>
  </conditionalFormatting>
  <conditionalFormatting sqref="C113:I113 K113:L113">
    <cfRule type="expression" dxfId="14" priority="11">
      <formula>"SI(P115=""HOY"")"</formula>
    </cfRule>
  </conditionalFormatting>
  <conditionalFormatting sqref="C113:I113 K113:L113">
    <cfRule type="expression" dxfId="13" priority="10">
      <formula>"SI(P115=""HOY"")"</formula>
    </cfRule>
  </conditionalFormatting>
  <conditionalFormatting sqref="C113:I113 K113:L113">
    <cfRule type="expression" dxfId="12" priority="9">
      <formula>"SI(P115=""HOY"")"</formula>
    </cfRule>
  </conditionalFormatting>
  <conditionalFormatting sqref="C113:I113 K113:L113">
    <cfRule type="expression" dxfId="11" priority="8">
      <formula>"SI(P115=""HOY"")"</formula>
    </cfRule>
  </conditionalFormatting>
  <conditionalFormatting sqref="C113:I113 K113:L113">
    <cfRule type="expression" dxfId="10" priority="7">
      <formula>"SI(P115=""HOY"")"</formula>
    </cfRule>
  </conditionalFormatting>
  <conditionalFormatting sqref="C113:I113 K113:L113">
    <cfRule type="expression" dxfId="9" priority="6">
      <formula>"SI(P115=""HOY"")"</formula>
    </cfRule>
  </conditionalFormatting>
  <conditionalFormatting sqref="C113:I113 K113:L113">
    <cfRule type="expression" dxfId="8" priority="5">
      <formula>"SI(P115=""HOY"")"</formula>
    </cfRule>
  </conditionalFormatting>
  <conditionalFormatting sqref="C113:I113 K113:L113">
    <cfRule type="expression" dxfId="7" priority="4">
      <formula>"SI(P115=""HOY"")"</formula>
    </cfRule>
  </conditionalFormatting>
  <conditionalFormatting sqref="C113:I113 K113:L113">
    <cfRule type="expression" dxfId="6" priority="3">
      <formula>"SI(P115=""HOY"")"</formula>
    </cfRule>
  </conditionalFormatting>
  <conditionalFormatting sqref="C113:I113 K113:L113">
    <cfRule type="expression" dxfId="5" priority="2">
      <formula>"SI(P115=""HOY"")"</formula>
    </cfRule>
  </conditionalFormatting>
  <conditionalFormatting sqref="C113:I113 K113:L113">
    <cfRule type="expression" dxfId="4"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2254</v>
      </c>
    </row>
    <row r="2" spans="1:1">
      <c r="A2" s="9" t="s">
        <v>2255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2254</v>
      </c>
    </row>
    <row r="2" spans="1:1">
      <c r="A2" s="9" t="s">
        <v>2255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delacruz</cp:lastModifiedBy>
  <cp:lastPrinted>2023-10-20T16:06:44Z</cp:lastPrinted>
  <dcterms:created xsi:type="dcterms:W3CDTF">2023-02-23T14:47:20Z</dcterms:created>
  <dcterms:modified xsi:type="dcterms:W3CDTF">2023-10-27T16:40:26Z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