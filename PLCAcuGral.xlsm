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activeX/activeX3.bin" ContentType="application/vnd.ms-office.activeX"/>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activeX/activeX1.bin" ContentType="application/vnd.ms-office.activeX"/>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EXPEDIENTES!$A$2:$AA$2</definedName>
    <definedName name="A.I._Nº_2___Dr._Flores_Larsen">defensores!$A$1:$A$192</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6" r:id="rId32"/>
    <pivotCache cacheId="7" r:id="rId33"/>
    <pivotCache cacheId="8" r:id="rId34"/>
    <pivotCache cacheId="9" r:id="rId35"/>
    <pivotCache cacheId="10" r:id="rId36"/>
    <pivotCache cacheId="11"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30" i="1"/>
  <c r="O129"/>
  <c r="O128"/>
  <c r="O127"/>
  <c r="O126"/>
  <c r="O125"/>
  <c r="O124" l="1"/>
  <c r="O123"/>
  <c r="O122"/>
  <c r="O121"/>
  <c r="O120"/>
  <c r="O119"/>
  <c r="O118"/>
  <c r="O117"/>
  <c r="O116"/>
  <c r="O115"/>
  <c r="O114"/>
  <c r="O113"/>
  <c r="O112"/>
  <c r="O111"/>
  <c r="O110"/>
  <c r="O109" l="1"/>
  <c r="O108"/>
  <c r="O107"/>
  <c r="O106"/>
  <c r="O105"/>
  <c r="O104"/>
  <c r="O103"/>
  <c r="O102"/>
  <c r="O101"/>
  <c r="O100"/>
  <c r="O99"/>
  <c r="O98"/>
  <c r="O97"/>
  <c r="O96"/>
  <c r="O95"/>
  <c r="O94"/>
  <c r="O93"/>
  <c r="O92"/>
  <c r="O91" l="1"/>
  <c r="O90"/>
  <c r="O89"/>
  <c r="O88"/>
  <c r="O87" l="1"/>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AF17"/>
  <c r="AF16"/>
  <c r="AF15"/>
  <c r="AF14"/>
  <c r="AF13"/>
  <c r="AF12"/>
  <c r="AF11"/>
  <c r="AF10"/>
  <c r="AF9"/>
  <c r="AF8"/>
  <c r="AF7"/>
  <c r="AF6"/>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4" s="1"/>
  <c r="C57" i="6"/>
  <c r="A19" i="23"/>
  <c r="B20"/>
  <c r="C30" i="6"/>
  <c r="C33"/>
  <c r="C32"/>
  <c r="C31"/>
  <c r="C9" i="9"/>
  <c r="C43"/>
  <c r="C46"/>
  <c r="C16"/>
  <c r="C41"/>
  <c r="C40"/>
  <c r="C38"/>
  <c r="C10"/>
  <c r="C44"/>
  <c r="C39"/>
  <c r="C8"/>
  <c r="C5"/>
  <c r="C6"/>
  <c r="C4"/>
  <c r="C7"/>
  <c r="C60" i="6"/>
  <c r="C59"/>
  <c r="C58"/>
  <c r="AG17" i="1" l="1"/>
  <c r="AG13"/>
  <c r="AG10"/>
  <c r="AG5"/>
  <c r="AG11"/>
  <c r="AG14"/>
  <c r="AG7"/>
  <c r="AG6"/>
  <c r="AG15"/>
  <c r="AG3"/>
  <c r="AG8"/>
  <c r="AG12"/>
  <c r="AG9"/>
  <c r="AG16"/>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<sst xmlns="http://schemas.openxmlformats.org/spreadsheetml/2006/main" count="7332" uniqueCount="2435">
  <si>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</si>
  <si>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</si>
  <si>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</si>
  <si>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</si>
  <si>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</si>
  <si>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</si>
  <si>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</si>
  <si>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</si>
  <si>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</si>
  <si>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</si>
  <si>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</si>
  <si>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</si>
  <si>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</si>
  <si>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</si>
  <si>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</si>
  <si>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</si>
  <si>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</si>
  <si>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</si>
  <si>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</si>
  <si>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</si>
  <si>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</si>
  <si>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</si>
  <si>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</si>
  <si>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</si>
  <si>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</si>
  <si>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</si>
  <si>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</si>
  <si>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</si>
  <si>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</si>
  <si>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</si>
  <si>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</si>
  <si>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</si>
  <si>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</si>
  <si>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</si>
  <si>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</si>
  <si>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</si>
  <si>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</si>
  <si>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</si>
  <si>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</si>
  <si>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</si>
  <si>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</si>
  <si>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</si>
  <si>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</si>
  <si>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</si>
  <si>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</si>
  <si>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</si>
  <si>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</si>
  <si>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</si>
  <si>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</si>
  <si>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</si>
  <si>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</si>
  <si>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</si>
  <si>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</si>
  <si>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</si>
  <si>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</si>
  <si>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</si>
  <si>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</si>
  <si>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</si>
  <si>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</si>
  <si>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</si>
  <si>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</si>
  <si>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</si>
  <si>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</si>
  <si>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</si>
  <si>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</si>
  <si>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</si>
  <si>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</si>
  <si>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</si>
  <si>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</si>
  <si>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</si>
  <si>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</si>
  <si>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</si>
  <si>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</si>
  <si>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</si>
  <si>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</si>
  <si>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</si>
  <si>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</si>
  <si>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</si>
  <si>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</si>
  <si>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</si>
  <si>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</si>
  <si>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</si>
  <si>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</si>
  <si>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</si>
  <si>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</si>
  <si>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</si>
  <si>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</si>
  <si>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</si>
  <si>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</si>
  <si>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</si>
  <si>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</si>
  <si>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</si>
  <si>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</si>
  <si>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</si>
  <si>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</si>
  <si>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</si>
  <si>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</si>
  <si>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</si>
  <si>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</si>
  <si>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</si>
  <si>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</si>
  <si>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</si>
  <si>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</si>
  <si>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</si>
  <si>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</si>
  <si>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</si>
  <si>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</si>
  <si>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</si>
  <si>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</si>
  <si>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</si>
  <si>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</si>
  <si>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</si>
  <si>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</si>
  <si>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</si>
  <si>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</si>
  <si>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</si>
  <si>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</si>
  <si>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</si>
  <si>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</si>
  <si>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</si>
  <si>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</si>
  <si>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</si>
  <si>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</si>
  <si>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</si>
  <si>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</si>
  <si>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</si>
  <si>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</si>
  <si>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</si>
  <si>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</si>
  <si>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</si>
  <si>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</si>
  <si>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</si>
  <si>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</si>
  <si>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</si>
  <si>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</si>
  <si>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</si>
  <si>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</si>
  <si>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</si>
  <si>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</si>
  <si>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</si>
  <si>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</si>
  <si>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</si>
  <si>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</si>
  <si>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</si>
  <si>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</si>
  <si>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</si>
  <si>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</si>
  <si>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</si>
  <si>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</si>
  <si>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</si>
  <si>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</si>
  <si>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</si>
  <si>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</si>
  <si>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</si>
  <si>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</si>
  <si>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</si>
  <si>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</si>
  <si>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</si>
  <si>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</si>
  <si>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</si>
  <si>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</si>
  <si>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</si>
  <si>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</si>
  <si>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</si>
  <si>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</si>
  <si>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</si>
  <si>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</si>
  <si>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</si>
  <si>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</si>
  <si>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</si>
  <si>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</si>
  <si>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</si>
  <si>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</si>
  <si>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</si>
  <si>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</si>
  <si>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</si>
  <si>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</si>
  <si>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</si>
  <si>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</si>
  <si>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</si>
  <si>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</si>
  <si>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</si>
  <si>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</si>
  <si>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</si>
  <si>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</si>
  <si>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</si>
  <si>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</si>
  <si>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</si>
  <si>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</si>
  <si>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</si>
  <si>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</si>
  <si>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</si>
  <si>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</si>
  <si>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</si>
  <si>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</si>
  <si>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</si>
  <si>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</si>
  <si>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</si>
  <si>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</si>
  <si>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</si>
  <si>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</si>
  <si>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</si>
  <si>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</si>
  <si>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</si>
  <si>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</si>
  <si>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</si>
  <si>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</si>
  <si>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</si>
  <si>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</si>
  <si>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</si>
  <si>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</si>
  <si>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</si>
  <si>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</si>
  <si>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</si>
  <si>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</si>
  <si>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</si>
  <si>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</si>
  <si>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</si>
  <si>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</si>
  <si>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</si>
  <si>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</si>
  <si>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</si>
  <si>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</si>
  <si>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</si>
  <si>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</si>
  <si>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</si>
  <si>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</si>
  <si>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</si>
  <si>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</si>
  <si>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</si>
  <si>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</si>
  <si>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</si>
  <si>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</si>
  <si>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</si>
  <si>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</si>
  <si>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</si>
  <si>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</si>
  <si>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</si>
  <si>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</si>
  <si>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</si>
  <si>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</si>
  <si>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</si>
  <si>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</si>
  <si>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</si>
  <si>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</si>
  <si>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</si>
  <si>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</si>
  <si>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</si>
  <si>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</si>
  <si>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</si>
  <si>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</si>
  <si>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</si>
  <si>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</si>
  <si>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</si>
  <si>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</si>
  <si>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</si>
  <si>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</si>
  <si>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</si>
  <si>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</si>
  <si>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</si>
  <si>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</si>
  <si>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</si>
  <si>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</si>
  <si>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</si>
  <si>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</si>
  <si>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</si>
  <si>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</si>
  <si>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</si>
  <si>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</si>
  <si>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</si>
  <si>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</si>
  <si>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</si>
  <si>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</si>
  <si>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</si>
  <si>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</si>
  <si>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</si>
  <si>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</si>
  <si>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</si>
  <si>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</si>
  <si>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</si>
  <si>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</si>
  <si>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</si>
  <si>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</si>
  <si>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</si>
  <si>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</si>
  <si>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</si>
  <si>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</si>
  <si>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</si>
  <si>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</si>
  <si>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</si>
  <si>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</si>
  <si>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</si>
  <si>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</si>
  <si>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</si>
  <si>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</si>
  <si>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</si>
  <si>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</si>
  <si>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</si>
  <si>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</si>
  <si>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</si>
  <si>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</si>
  <si>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</si>
  <si>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</si>
  <si>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</si>
  <si>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</si>
  <si>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</si>
  <si>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</si>
  <si>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</si>
  <si>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</si>
  <si>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</si>
  <si>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</si>
  <si>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</si>
  <si>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</si>
  <si>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</si>
  <si>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</si>
  <si>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</si>
  <si>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</si>
  <si>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</si>
  <si>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</si>
  <si>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</si>
  <si>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</si>
  <si>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</si>
  <si>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</si>
  <si>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</si>
  <si>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</si>
  <si>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</si>
  <si>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</si>
  <si>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</si>
  <si>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</si>
  <si>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</si>
  <si>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</si>
  <si>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</si>
  <si>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</si>
  <si>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</si>
  <si>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</si>
  <si>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</si>
  <si>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</si>
  <si>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</si>
  <si>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</si>
  <si>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</si>
  <si>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</si>
  <si>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</si>
  <si>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</si>
  <si>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</si>
  <si>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</si>
  <si>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</si>
  <si>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</si>
  <si>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</si>
  <si>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</si>
  <si>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</si>
  <si>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</si>
  <si>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</si>
  <si>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</si>
  <si>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</si>
  <si>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</si>
  <si>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</si>
  <si>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</si>
  <si>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</si>
  <si>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</si>
  <si>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</si>
  <si>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</si>
  <si>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</si>
  <si>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</si>
  <si>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</si>
  <si>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</si>
  <si>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</si>
  <si>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</si>
  <si>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</si>
  <si>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</si>
  <si>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</si>
  <si>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</si>
  <si>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</si>
  <si>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</si>
  <si>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</si>
  <si>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</si>
  <si>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</si>
  <si>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</si>
  <si>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</si>
  <si>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</si>
  <si>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</si>
  <si>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</si>
  <si>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</si>
  <si>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</si>
  <si>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</si>
  <si>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</si>
  <si>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</si>
  <si>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</si>
  <si>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</si>
  <si>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</si>
  <si>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</si>
  <si>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</si>
  <si>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</si>
  <si>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</si>
  <si>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</si>
  <si>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</si>
  <si>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</si>
  <si>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</si>
  <si>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</si>
  <si>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</si>
  <si>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</si>
  <si>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</si>
  <si>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</si>
  <si>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</si>
  <si>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</si>
  <si>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</si>
  <si>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</si>
  <si>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</si>
  <si>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</si>
  <si>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</si>
  <si>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</si>
  <si>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</si>
  <si>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</si>
  <si>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</si>
  <si>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</si>
  <si>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</si>
  <si>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</si>
  <si>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</si>
  <si>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</si>
  <si>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</si>
  <si>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</si>
  <si>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</si>
  <si>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</si>
  <si>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</si>
  <si>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</si>
  <si>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</si>
  <si>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</si>
  <si>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</si>
  <si>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</si>
  <si>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</si>
  <si>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</si>
  <si>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</si>
  <si>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</si>
  <si>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</si>
  <si>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</si>
  <si>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</si>
  <si>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</si>
  <si>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</si>
  <si>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</si>
  <si>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</si>
  <si>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</si>
  <si>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</si>
  <si>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</si>
  <si>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</si>
  <si>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</si>
  <si>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</si>
  <si>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</si>
  <si>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</si>
  <si>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</si>
  <si>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</si>
  <si>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</si>
  <si>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</si>
  <si>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</si>
  <si>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</si>
  <si>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</si>
  <si>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</si>
  <si>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</si>
  <si>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</si>
  <si>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</si>
  <si>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</si>
  <si>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</si>
  <si>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</si>
  <si>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</si>
  <si>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</si>
  <si>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</si>
  <si>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</si>
  <si>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</si>
  <si>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</si>
  <si>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</si>
  <si>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</si>
  <si>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</si>
  <si>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</si>
  <si>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</si>
  <si>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</si>
  <si>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</si>
  <si>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</si>
  <si>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</si>
  <si>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</si>
  <si>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</si>
  <si>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</si>
  <si>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</si>
  <si>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</si>
  <si>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</si>
  <si>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</si>
  <si>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</si>
  <si>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</si>
  <si>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</si>
  <si>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</si>
  <si>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</si>
  <si>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</si>
  <si>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</si>
  <si>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</si>
  <si>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</si>
  <si>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</si>
  <si>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</si>
  <si>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</si>
  <si>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</si>
  <si>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</si>
  <si>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</si>
  <si>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</si>
  <si>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</si>
  <si>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</si>
  <si>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</si>
  <si>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</si>
  <si>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</si>
  <si>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</si>
  <si>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</si>
  <si>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</si>
  <si>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</si>
  <si>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</si>
  <si>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</si>
  <si>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</si>
  <si>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</si>
  <si>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</si>
  <si>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</si>
  <si>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</si>
  <si>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</si>
  <si>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</si>
  <si>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</si>
  <si>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</si>
  <si>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</si>
  <si>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</si>
  <si>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</si>
  <si>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</si>
  <si>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</si>
  <si>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</si>
  <si>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</si>
  <si>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</si>
  <si>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</si>
  <si>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</si>
  <si>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</si>
  <si>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</si>
  <si>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</si>
  <si>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</si>
  <si>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</si>
  <si>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</si>
  <si>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</si>
  <si>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</si>
  <si>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</si>
  <si>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</si>
  <si>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</si>
  <si>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</si>
  <si>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</si>
  <si>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</si>
  <si>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</si>
  <si>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</si>
  <si>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</si>
  <si>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</si>
  <si>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</si>
  <si>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</si>
  <si>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</si>
  <si>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</si>
  <si>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</si>
  <si>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</si>
  <si>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</si>
  <si>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</si>
  <si>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</si>
  <si>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</si>
  <si>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</si>
  <si>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</si>
  <si>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</si>
  <si>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</si>
  <si>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</si>
  <si>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</si>
  <si>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</si>
  <si>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</si>
  <si>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</si>
  <si>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</si>
  <si>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</si>
  <si>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</si>
  <si>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</si>
  <si>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</si>
  <si>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</si>
  <si>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</si>
  <si>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</si>
  <si>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</si>
  <si>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</si>
  <si>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</si>
  <si>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</si>
  <si>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</si>
  <si>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</si>
  <si>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</si>
  <si>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</si>
  <si>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</si>
  <si>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</si>
  <si>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</si>
  <si>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</si>
  <si>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</si>
  <si>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</si>
  <si>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</si>
  <si>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</si>
  <si>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</si>
  <si>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</si>
  <si>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</si>
  <si>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</si>
  <si>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</si>
  <si>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</si>
  <si>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</si>
  <si>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</si>
  <si>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</si>
  <si>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</si>
  <si>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</si>
  <si>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</si>
  <si>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</si>
  <si>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</si>
  <si>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</si>
  <si>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</si>
  <si>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</si>
  <si>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</si>
  <si>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</si>
  <si>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</si>
  <si>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</si>
  <si>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</si>
  <si>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</si>
  <si>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</si>
  <si>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</si>
  <si>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</si>
  <si>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</si>
  <si>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</si>
  <si>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</si>
  <si>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</si>
  <si>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</si>
  <si>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</si>
  <si>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</si>
  <si>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</si>
  <si>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</si>
  <si>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</si>
  <si>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</si>
  <si>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</si>
  <si>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</si>
  <si>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</si>
  <si>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</si>
  <si>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</si>
  <si>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</si>
  <si>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</si>
  <si>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</si>
  <si>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</si>
  <si>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</si>
  <si>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</si>
  <si>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</si>
  <si>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</si>
  <si>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</si>
  <si>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</si>
  <si>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</si>
  <si>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</si>
  <si>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</si>
  <si>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</si>
  <si>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</si>
  <si>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</si>
  <si>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</si>
  <si>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</si>
  <si>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</si>
  <si>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</si>
  <si>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</si>
  <si>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</si>
  <si>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</si>
  <si>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</si>
  <si>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</si>
  <si>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</si>
  <si>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</si>
  <si>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</si>
  <si>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</si>
  <si>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</si>
  <si>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</si>
  <si>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</si>
  <si>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</si>
  <si>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</si>
  <si>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</si>
  <si>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</si>
  <si>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</si>
  <si>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</si>
  <si>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</si>
  <si>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</si>
  <si>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</si>
  <si>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</si>
  <si>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</si>
  <si>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</si>
  <si>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</si>
  <si>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</si>
  <si>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</si>
  <si>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</si>
  <si>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</si>
  <si>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</si>
  <si>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</si>
  <si>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</si>
  <si>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</si>
  <si>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</si>
  <si>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</si>
  <si>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</si>
  <si>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</si>
  <si>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</si>
  <si>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</si>
  <si>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</si>
  <si>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</si>
  <si>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</si>
  <si>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</si>
  <si>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</si>
  <si>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</si>
  <si>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</si>
  <si>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</si>
  <si>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</si>
  <si>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</si>
  <si>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</si>
  <si>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</si>
  <si>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</si>
  <si>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</si>
  <si>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</si>
  <si>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</si>
  <si>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</si>
  <si>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</si>
  <si>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</si>
  <si>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</si>
  <si>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</si>
  <si>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</si>
  <si>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</si>
  <si>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</si>
  <si>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</si>
  <si>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</si>
  <si>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</si>
  <si>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</si>
  <si>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</si>
  <si>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</si>
  <si>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</si>
  <si>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</si>
  <si>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</si>
  <si>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</si>
  <si>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</si>
  <si>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</si>
  <si>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</si>
  <si>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</si>
  <si>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</si>
  <si>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</si>
  <si>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</si>
  <si>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</si>
  <si>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</si>
  <si>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</si>
  <si>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</si>
  <si>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</si>
  <si>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</si>
  <si>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</si>
  <si>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</si>
  <si>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</si>
  <si>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</si>
  <si>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</si>
  <si>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</si>
  <si>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</si>
  <si>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</si>
  <si>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</si>
  <si>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</si>
  <si>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</si>
  <si>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</si>
  <si>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</si>
  <si>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</si>
  <si>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</si>
  <si>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</si>
  <si>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</si>
  <si>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</si>
  <si>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</si>
  <si>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</si>
  <si>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</si>
  <si>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</si>
  <si>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</si>
  <si>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</si>
  <si>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</si>
  <si>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</si>
  <si>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</si>
  <si>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</si>
  <si>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</si>
  <si>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</si>
  <si>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</si>
  <si>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</si>
  <si>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</si>
  <si>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</si>
  <si>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</si>
  <si>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</si>
  <si>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</si>
  <si>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</si>
  <si>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</si>
  <si>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</si>
  <si>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</si>
  <si>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</si>
  <si>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</si>
  <si>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</si>
  <si>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</si>
  <si>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</si>
  <si>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</si>
  <si>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</si>
  <si>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</si>
  <si>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</si>
  <si>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</si>
  <si>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</si>
  <si>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</si>
  <si>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</si>
  <si>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</si>
  <si>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</si>
  <si>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</si>
  <si>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</si>
  <si>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</si>
  <si>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</si>
  <si>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</si>
  <si>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</si>
  <si>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</si>
  <si>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</si>
  <si>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</si>
  <si>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</si>
  <si>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</si>
  <si>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</si>
  <si>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</si>
  <si>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</si>
  <si>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</si>
  <si>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</si>
  <si>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</si>
  <si>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</si>
  <si>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</si>
  <si>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</si>
  <si>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</si>
  <si>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</si>
  <si>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</si>
  <si>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</si>
  <si>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</si>
  <si>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</si>
  <si>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</si>
  <si>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</si>
  <si>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</si>
  <si>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</si>
  <si>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</si>
  <si>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</si>
  <si>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</si>
  <si>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</si>
  <si>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</si>
  <si>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</si>
  <si>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</si>
  <si>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</si>
  <si>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</si>
  <si>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</si>
  <si>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</si>
  <si>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</si>
  <si>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</si>
  <si>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</si>
  <si>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</si>
  <si>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</si>
  <si>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</si>
  <si>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</si>
  <si>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</si>
  <si>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</si>
  <si>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</si>
  <si>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</si>
  <si>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</si>
  <si>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</si>
  <si>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</si>
  <si>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</si>
  <si>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</si>
  <si>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</si>
  <si>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</si>
  <si>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</si>
  <si>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</si>
  <si>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</si>
  <si>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</si>
  <si>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</si>
  <si>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</si>
  <si>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</si>
  <si>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</si>
  <si>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</si>
  <si>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</si>
  <si>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</si>
  <si>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</si>
  <si>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</si>
  <si>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</si>
  <si>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</si>
  <si>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</si>
  <si>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</si>
  <si>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</si>
  <si>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</si>
  <si>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</si>
  <si>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</si>
  <si>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</si>
  <si>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</si>
  <si>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</si>
  <si>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</si>
  <si>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</si>
  <si>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</si>
  <si>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</si>
  <si>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</si>
  <si>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</si>
  <si>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</si>
  <si>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</si>
  <si>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</si>
  <si>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</si>
  <si>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</si>
  <si>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</si>
  <si>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</si>
  <si>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</si>
  <si>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</si>
  <si>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</si>
  <si>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</si>
  <si>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</si>
  <si>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</si>
  <si>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</si>
  <si>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</si>
  <si>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</si>
  <si>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</si>
  <si>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</si>
  <si>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</si>
  <si>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</si>
  <si>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</si>
  <si>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</si>
  <si>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</si>
  <si>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</si>
  <si>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</si>
  <si>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</si>
  <si>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</si>
  <si>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</si>
  <si>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</si>
  <si>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</si>
  <si>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</si>
  <si>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</si>
  <si>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</si>
  <si>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</si>
  <si>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</si>
  <si>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</si>
  <si>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</si>
  <si>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</si>
  <si>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</si>
  <si>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</si>
  <si>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</si>
  <si>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</si>
  <si>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</si>
  <si>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</si>
  <si>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</si>
  <si>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</si>
  <si>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</si>
  <si>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</si>
  <si>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</si>
  <si>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</si>
  <si>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</si>
  <si>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</si>
  <si>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</si>
  <si>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</si>
  <si>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</si>
  <si>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</si>
  <si>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</si>
  <si>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</si>
  <si>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</si>
  <si>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</si>
  <si>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</si>
  <si>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</si>
  <si>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</si>
  <si>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</si>
  <si>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</si>
  <si>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</si>
  <si>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</si>
  <si>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</si>
  <si>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</si>
  <si>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</si>
  <si>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</si>
  <si>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</si>
  <si>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</si>
  <si>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</si>
  <si>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</si>
  <si>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</si>
  <si>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</si>
  <si>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</si>
  <si>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</si>
  <si>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</si>
  <si>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</si>
  <si>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</si>
  <si>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</si>
  <si>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</si>
  <si>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</si>
  <si>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</si>
  <si>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</si>
  <si>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</si>
  <si>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</si>
  <si>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</si>
  <si>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</si>
  <si>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</si>
  <si>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</si>
  <si>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</si>
  <si>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</si>
  <si>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</si>
  <si>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</si>
  <si>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</si>
  <si>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</si>
  <si>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</si>
  <si>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</si>
  <si>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</si>
  <si>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</si>
  <si>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</si>
  <si>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</si>
  <si>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</si>
  <si>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</si>
  <si>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</si>
  <si>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</si>
  <si>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</si>
  <si>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</si>
  <si>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</si>
  <si>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</si>
  <si>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</si>
  <si>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</si>
  <si>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</si>
  <si>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</si>
  <si>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</si>
  <si>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</si>
  <si>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</si>
  <si>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</si>
  <si>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</si>
  <si>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</si>
  <si>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</si>
  <si>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</si>
  <si>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</si>
  <si>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</si>
  <si>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</si>
  <si>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</si>
  <si>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</si>
  <si>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</si>
  <si>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</si>
  <si>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</si>
  <si>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</si>
  <si>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</si>
  <si>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</si>
  <si>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</si>
  <si>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</si>
  <si>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</si>
  <si>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</si>
  <si>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</si>
  <si>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</si>
  <si>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</si>
  <si>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</si>
  <si>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</si>
  <si>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</si>
  <si>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</si>
  <si>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</si>
  <si>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</si>
  <si>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</si>
  <si>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</si>
  <si>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</si>
  <si>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</si>
  <si>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</si>
  <si>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</si>
  <si>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</si>
  <si>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</si>
  <si>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</si>
  <si>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</si>
  <si>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</si>
  <si>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</si>
  <si>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</si>
  <si>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</si>
  <si>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</si>
  <si>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</si>
  <si>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</si>
  <si>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</si>
  <si>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</si>
  <si>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</si>
  <si>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</si>
  <si>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</si>
  <si>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</si>
  <si>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</si>
  <si>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</si>
  <si>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</si>
  <si>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</si>
  <si>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</si>
  <si>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</si>
  <si>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</si>
  <si>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</si>
  <si>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</si>
  <si>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</si>
  <si>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</si>
  <si>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</si>
  <si>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</si>
  <si>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</si>
  <si>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</si>
  <si>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</si>
  <si>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</si>
  <si>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</si>
  <si>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</si>
  <si>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</si>
  <si>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</si>
  <si>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</si>
  <si>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</si>
  <si>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</si>
  <si>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</si>
  <si>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</si>
  <si>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</si>
  <si>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</si>
  <si>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</si>
  <si>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</si>
  <si>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</si>
  <si>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</si>
  <si>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</si>
  <si>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</si>
  <si>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</si>
  <si>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</si>
  <si>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</si>
  <si>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</si>
  <si>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</si>
  <si>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</si>
  <si>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</si>
  <si>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</si>
  <si>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</si>
  <si>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</si>
  <si>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</si>
  <si>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</si>
  <si>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</si>
  <si>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</si>
  <si>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</si>
  <si>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</si>
  <si>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</si>
  <si>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</si>
  <si>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</si>
  <si>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</si>
  <si>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</si>
  <si>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</si>
  <si>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</si>
  <si>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</si>
  <si>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</si>
  <si>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</si>
  <si>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</si>
  <si>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</si>
  <si>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</si>
  <si>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</si>
  <si>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</si>
  <si>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</si>
  <si>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</si>
  <si>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</si>
  <si>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</si>
  <si>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</si>
  <si>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</si>
  <si>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</si>
  <si>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</si>
  <si>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</si>
  <si>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</si>
  <si>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</si>
  <si>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</si>
  <si>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</si>
  <si>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</si>
  <si>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</si>
  <si>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</si>
  <si>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</si>
  <si>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</si>
  <si>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</si>
  <si>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</si>
  <si>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</si>
  <si>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</si>
  <si>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</si>
  <si>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</si>
  <si>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</si>
  <si>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</si>
  <si>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</si>
  <si>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</si>
  <si>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</si>
  <si>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</si>
  <si>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</si>
  <si>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</si>
  <si>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</si>
  <si>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</si>
  <si>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</si>
  <si>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</si>
  <si>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</si>
  <si>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</si>
  <si>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</si>
  <si>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</si>
  <si>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</si>
  <si>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</si>
  <si>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</si>
  <si>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</si>
  <si>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</si>
  <si>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</si>
  <si>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</si>
  <si>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</si>
  <si>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</si>
  <si>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</si>
  <si>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</si>
  <si>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</si>
  <si>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</si>
  <si>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</si>
  <si>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</si>
  <si>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</si>
  <si>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</si>
  <si>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</si>
  <si>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</si>
  <si>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</si>
  <si>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</si>
  <si>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</si>
  <si>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</si>
  <si>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</si>
  <si>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</si>
  <si>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</si>
  <si>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</si>
  <si>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</si>
  <si>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</si>
  <si>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</si>
  <si>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</si>
  <si>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</si>
  <si>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</si>
  <si>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</si>
  <si>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</si>
  <si>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</si>
  <si>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</si>
  <si>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</si>
  <si>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</si>
  <si>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</si>
  <si>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</si>
  <si>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</si>
  <si>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</si>
  <si>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</si>
  <si>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</si>
  <si>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</si>
  <si>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</si>
  <si>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</si>
  <si>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</si>
  <si>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</si>
  <si>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</si>
  <si>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</si>
  <si>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</si>
  <si>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</si>
  <si>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</si>
  <si>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</si>
  <si>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</si>
  <si>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</si>
  <si>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</si>
  <si>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</si>
  <si>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</si>
  <si>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</si>
  <si>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</si>
  <si>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</si>
  <si>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</si>
  <si>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</si>
  <si>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</si>
  <si>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</si>
  <si>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</si>
  <si>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</si>
  <si>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</si>
  <si>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</si>
  <si>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</si>
  <si>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</si>
  <si>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</si>
  <si>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</si>
  <si>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</si>
  <si>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</si>
  <si>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</si>
  <si>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</si>
  <si>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</si>
  <si>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</si>
  <si>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</si>
  <si>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</si>
  <si>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</si>
  <si>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</si>
  <si>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</si>
  <si>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</si>
  <si>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</si>
  <si>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</si>
  <si>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</si>
  <si>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</si>
  <si>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</si>
  <si>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</si>
  <si>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</si>
  <si>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</si>
  <si>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</si>
  <si>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</si>
  <si>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</si>
  <si>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</si>
  <si>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</si>
  <si>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</si>
  <si>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</si>
  <si>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</si>
  <si>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</si>
  <si>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</si>
  <si>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</si>
  <si>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</si>
  <si>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</si>
  <si>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</si>
  <si>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</si>
  <si>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</si>
  <si>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</si>
  <si>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</si>
  <si>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</si>
  <si>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</si>
  <si>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</si>
  <si>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</si>
  <si>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</si>
  <si>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</si>
  <si>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</si>
  <si>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</si>
  <si>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</si>
  <si>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</si>
  <si>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</si>
  <si>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</si>
  <si>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</si>
  <si>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</si>
  <si>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</si>
  <si>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</si>
  <si>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</si>
  <si>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</si>
  <si>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</si>
  <si>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</si>
  <si>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</si>
  <si>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</si>
  <si>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</si>
  <si>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</si>
  <si>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</si>
  <si>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</si>
  <si>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</si>
  <si>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</si>
  <si>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</si>
  <si>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</si>
  <si>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</si>
  <si>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</si>
  <si>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</si>
  <si>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</si>
  <si>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</si>
  <si>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</si>
  <si>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</si>
  <si>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</si>
  <si>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</si>
  <si>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</si>
  <si>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</si>
  <si>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</si>
  <si>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</si>
  <si>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</si>
  <si>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</si>
  <si>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</si>
  <si>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</si>
  <si>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</si>
  <si>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</si>
  <si>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</si>
  <si>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</si>
  <si>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</si>
  <si>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</si>
  <si>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</si>
  <si>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</si>
  <si>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</si>
  <si>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</si>
  <si>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</si>
  <si>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</si>
  <si>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</si>
  <si>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</si>
  <si>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</si>
  <si>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</si>
  <si>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</si>
  <si>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</si>
  <si>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</si>
  <si>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</si>
  <si>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</si>
  <si>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</si>
  <si>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</si>
  <si>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</si>
  <si>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</si>
  <si>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</si>
  <si>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</si>
  <si>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</si>
  <si>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</si>
  <si>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</si>
  <si>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</si>
  <si>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</si>
  <si>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</si>
  <si>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</si>
  <si>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</si>
  <si>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</si>
  <si>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</si>
  <si>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</si>
  <si>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</si>
  <si>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</si>
  <si>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</si>
  <si>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</si>
  <si>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</si>
  <si>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</si>
  <si>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</si>
  <si>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</si>
  <si>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</si>
  <si>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</si>
  <si>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</si>
  <si>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</si>
  <si>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</si>
  <si>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</si>
  <si>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</si>
  <si>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</si>
  <si>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</si>
  <si>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</si>
  <si>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</si>
  <si>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</si>
  <si>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</si>
  <si>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</si>
  <si>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</si>
  <si>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</si>
  <si>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</si>
  <si>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</si>
  <si>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</si>
  <si>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</si>
  <si>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</si>
  <si>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</si>
  <si>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</si>
  <si>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</si>
  <si>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</si>
  <si>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</si>
  <si>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</si>
  <si>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</si>
  <si>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</si>
  <si>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</si>
  <si>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</si>
  <si>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</si>
  <si>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</si>
  <si>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</si>
  <si>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</si>
  <si>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</si>
  <si>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</si>
  <si>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</si>
  <si>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</si>
  <si>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</si>
  <si>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</si>
  <si>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</si>
  <si>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</si>
  <si>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</si>
  <si>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</si>
  <si>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</si>
  <si>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</si>
  <si>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</si>
  <si>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</si>
  <si>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</si>
  <si>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</si>
  <si>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</si>
  <si>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</si>
  <si>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</si>
  <si>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</si>
  <si>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</si>
  <si>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</si>
  <si>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</si>
  <si>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</si>
  <si>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</si>
  <si>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</si>
  <si>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</si>
  <si>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</si>
  <si>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</si>
  <si>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</si>
  <si>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</si>
  <si>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</si>
  <si>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</si>
  <si>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</si>
  <si>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</si>
  <si>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</si>
  <si>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</si>
  <si>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</si>
  <si>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</si>
  <si>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</si>
  <si>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</si>
  <si>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</si>
  <si>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</si>
  <si>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</si>
  <si>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</si>
  <si>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</si>
  <si>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</si>
  <si>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</si>
  <si>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</si>
  <si>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</si>
  <si>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</si>
  <si>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</si>
  <si>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</si>
  <si>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</si>
  <si>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</si>
  <si>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</si>
  <si>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</si>
  <si>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</si>
  <si>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</si>
  <si>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</si>
  <si>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</si>
  <si>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</si>
  <si>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</si>
  <si>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</si>
  <si>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</si>
  <si>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</si>
  <si>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</si>
  <si>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</si>
  <si>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</si>
  <si>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</si>
  <si>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</si>
  <si>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</si>
  <si>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</si>
  <si>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</si>
  <si>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</si>
  <si>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</si>
  <si>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</si>
  <si>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</si>
  <si>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</si>
  <si>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</si>
  <si>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</si>
  <si>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</si>
  <si>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</si>
  <si>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</si>
  <si>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</si>
  <si>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</si>
  <si>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</si>
  <si>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</si>
  <si>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</si>
  <si>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</si>
  <si>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</si>
  <si>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</si>
  <si>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</si>
  <si>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</si>
  <si>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</si>
  <si>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</si>
  <si>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</si>
  <si>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</si>
  <si>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</si>
  <si>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</si>
  <si>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</si>
  <si>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</si>
  <si>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</si>
  <si>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</si>
  <si>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</si>
  <si>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</si>
  <si>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</si>
  <si>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</si>
  <si>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</si>
  <si>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</si>
  <si>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</si>
  <si>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</si>
  <si>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</si>
  <si>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</si>
  <si>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</si>
  <si>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</si>
  <si>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</si>
  <si>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</si>
  <si>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</si>
  <si>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</si>
  <si>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</si>
  <si>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</si>
  <si>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</si>
  <si>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</si>
  <si>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</si>
  <si>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</si>
  <si>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</si>
  <si>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</si>
  <si>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</si>
  <si>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</si>
  <si>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</si>
  <si>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</si>
  <si>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</si>
  <si>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</si>
  <si>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</si>
  <si>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</si>
  <si>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</si>
  <si>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</si>
  <si>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</si>
  <si>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</si>
  <si>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</si>
  <si>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</si>
  <si>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</si>
  <si>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</si>
  <si>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</si>
  <si>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</si>
  <si>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</si>
  <si>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</si>
  <si>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</si>
  <si>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</si>
  <si>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</si>
  <si>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</si>
  <si>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</si>
  <si>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</si>
  <si>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</si>
  <si>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</si>
  <si>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</si>
  <si>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</si>
  <si>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</si>
  <si>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</si>
  <si>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</si>
  <si>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</si>
  <si>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</si>
  <si>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</si>
  <si>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</si>
  <si>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</si>
  <si>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</si>
  <si>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</si>
  <si>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</si>
  <si>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</si>
  <si>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</si>
  <si>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</si>
  <si>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</si>
  <si>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</si>
  <si>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</si>
  <si>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</si>
  <si>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</si>
  <si>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</si>
  <si>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</si>
  <si>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</si>
  <si>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</si>
  <si>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</si>
  <si>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</si>
  <si>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</si>
  <si>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</si>
  <si>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</si>
  <si>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</si>
  <si>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</si>
  <si>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</si>
  <si>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</si>
  <si>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</si>
  <si>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</si>
  <si>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</si>
  <si>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</si>
  <si>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</si>
  <si>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</si>
  <si>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</si>
  <si>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</si>
  <si>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</si>
  <si>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</si>
  <si>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</si>
  <si>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</si>
  <si>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</si>
  <si>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</si>
  <si>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</si>
  <si>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</si>
  <si>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</si>
  <si>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</si>
  <si>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</si>
  <si>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</si>
  <si>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</si>
  <si>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</si>
  <si>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</si>
  <si>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</si>
  <si>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</si>
  <si>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</si>
  <si>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</si>
  <si>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</si>
  <si>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</si>
  <si>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</si>
  <si>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</si>
  <si>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</si>
  <si>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</si>
  <si>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</si>
  <si>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</si>
  <si>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</si>
  <si>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</si>
  <si>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</si>
  <si>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</si>
  <si>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</si>
  <si>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</si>
  <si>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</si>
  <si>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</si>
  <si>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</si>
  <si>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</si>
  <si>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</si>
  <si>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</si>
  <si>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</si>
  <si>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</si>
  <si>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</si>
  <si>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</si>
  <si>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</si>
  <si>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</si>
  <si>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</si>
  <si>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</si>
  <si>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</si>
  <si>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</si>
  <si>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</si>
  <si>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</si>
  <si>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</si>
  <si>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</si>
  <si>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</si>
  <si>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</si>
  <si>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</si>
  <si>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</si>
  <si>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</si>
  <si>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</si>
  <si>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</si>
  <si>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</si>
  <si>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</si>
  <si>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</si>
  <si>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</si>
  <si>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</si>
  <si>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</si>
  <si>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</si>
  <si>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</si>
  <si>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</si>
  <si>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</si>
  <si>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</si>
  <si>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</si>
  <si>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</si>
  <si>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</si>
  <si>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</si>
  <si>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</si>
  <si>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</si>
  <si>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</si>
  <si>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</si>
  <si>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</si>
  <si>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</si>
  <si>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</si>
  <si>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</si>
  <si>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</si>
  <si>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</si>
  <si>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</si>
  <si>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</si>
  <si>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</si>
  <si>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</si>
  <si>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</si>
  <si>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</si>
  <si>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</si>
  <si>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</si>
  <si>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</si>
  <si>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</si>
  <si>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</si>
  <si>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</si>
  <si>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</si>
  <si>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</si>
  <si>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</si>
  <si>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</si>
  <si>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</si>
  <si>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</si>
  <si>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</si>
  <si>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</si>
  <si>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</si>
  <si>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</si>
  <si>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</si>
  <si>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</si>
  <si>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</si>
  <si>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</si>
  <si>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</si>
  <si>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</si>
  <si>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</si>
  <si>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</si>
  <si>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</si>
  <si>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</si>
  <si>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</si>
  <si>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</si>
  <si>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</si>
  <si>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</si>
  <si>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</si>
  <si>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</si>
  <si>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</si>
  <si>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</si>
  <si>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</si>
  <si>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</si>
  <si>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</si>
  <si>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</si>
  <si>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</si>
  <si>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</si>
  <si>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</si>
  <si>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</si>
  <si>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</si>
  <si>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</si>
  <si>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</si>
  <si>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</si>
  <si>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</si>
  <si>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</si>
  <si>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</si>
  <si>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</si>
  <si>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</si>
  <si>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</si>
  <si>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</si>
  <si>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</si>
  <si>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</si>
  <si>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</si>
  <si>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</si>
  <si>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</si>
  <si>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</si>
  <si>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</si>
  <si>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</si>
  <si>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</si>
  <si>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</si>
  <si>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</si>
  <si>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</si>
  <si>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</si>
  <si>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</si>
  <si>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</si>
  <si>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</si>
  <si>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</si>
  <si>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</si>
  <si>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</si>
  <si>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</si>
  <si>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</si>
  <si>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</si>
  <si>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</si>
  <si>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</si>
  <si>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</si>
  <si>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</si>
  <si>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</si>
  <si>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</si>
  <si>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</si>
  <si>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</si>
  <si>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</si>
  <si>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</si>
  <si>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</si>
  <si>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</si>
  <si>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</si>
  <si>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</si>
  <si>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</si>
  <si>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</si>
  <si>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</si>
  <si>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</si>
  <si>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</si>
  <si>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</si>
  <si>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</si>
  <si>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</si>
  <si>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</si>
  <si>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</si>
  <si>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</si>
  <si>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</si>
  <si>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</si>
  <si>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</si>
  <si>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</si>
  <si>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</si>
  <si>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</si>
  <si>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</si>
  <si>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</si>
  <si>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</si>
  <si>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</si>
  <si>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</si>
  <si>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</si>
  <si>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</si>
  <si>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</si>
  <si>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</si>
  <si>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</si>
  <si>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</si>
  <si>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</si>
  <si>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</si>
  <si>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</si>
  <si>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</si>
  <si>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</si>
  <si>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</si>
  <si>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</si>
  <si>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</si>
  <si>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</si>
  <si>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</si>
  <si>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</si>
  <si>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</si>
  <si>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</si>
  <si>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</si>
  <si>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</si>
  <si>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</si>
  <si>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</si>
  <si>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</si>
  <si>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</si>
  <si>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</si>
  <si>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</si>
  <si>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</si>
  <si>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</si>
  <si>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</si>
  <si>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</si>
  <si>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</si>
  <si>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</si>
  <si>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</si>
  <si>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</si>
  <si>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</si>
  <si>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</si>
  <si>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</si>
  <si>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</si>
  <si>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</si>
  <si>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</si>
  <si>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</si>
  <si>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</si>
  <si>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</si>
  <si>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</si>
  <si>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</si>
  <si>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</si>
  <si>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</si>
  <si>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</si>
  <si>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</si>
  <si>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</si>
  <si>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</si>
  <si>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</si>
  <si>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</si>
  <si>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</si>
  <si>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</si>
  <si>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</si>
  <si>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</si>
  <si>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</si>
  <si>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</si>
  <si>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</si>
  <si>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</si>
  <si>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</si>
  <si>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</si>
  <si>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</si>
  <si>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</si>
  <si>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</si>
  <si>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</si>
  <si>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</si>
  <si>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</si>
  <si>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</si>
  <si>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</si>
  <si>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</si>
  <si>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</si>
  <si>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</si>
  <si>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</si>
  <si>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</si>
  <si>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</si>
  <si>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</si>
  <si>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</si>
  <si>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</si>
  <si>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</si>
  <si>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</si>
  <si>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</si>
  <si>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</si>
  <si>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</si>
  <si>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</si>
  <si>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</si>
  <si>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</si>
  <si>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</si>
  <si>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</si>
  <si>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</si>
  <si>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</si>
  <si>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</si>
  <si>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</si>
  <si>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</si>
  <si>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</si>
  <si>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</si>
  <si>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</si>
  <si>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</si>
  <si>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</si>
  <si>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</si>
  <si>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</si>
  <si>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</si>
  <si>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</si>
  <si>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</si>
  <si>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</si>
  <si>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</si>
  <si>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</si>
  <si>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</si>
  <si>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</si>
  <si>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</si>
  <si>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</si>
  <si>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</si>
  <si>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</si>
  <si>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</si>
  <si>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</si>
  <si>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</si>
  <si>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</si>
  <si>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</si>
  <si>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</si>
  <si>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</si>
  <si>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</si>
  <si>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</si>
  <si>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</si>
  <si>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</si>
  <si>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</si>
  <si>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</si>
  <si>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</si>
  <si>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</si>
  <si>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</si>
  <si>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</si>
  <si>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</si>
  <si>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</si>
  <si>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</si>
  <si>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</si>
  <si>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</si>
  <si>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</si>
  <si>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</si>
  <si>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</si>
  <si>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</si>
  <si>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</si>
  <si>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</si>
  <si>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</si>
  <si>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</si>
  <si>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</si>
  <si>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</si>
  <si>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</si>
  <si>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</si>
  <si>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</si>
  <si>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</si>
  <si>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</si>
  <si>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</si>
  <si>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</si>
  <si>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</si>
  <si>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</si>
  <si>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</si>
  <si>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</si>
  <si>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</si>
  <si>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</si>
  <si>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</si>
  <si>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</si>
  <si>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</si>
  <si>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</si>
  <si>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</si>
  <si>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</si>
  <si>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</si>
  <si>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</si>
  <si>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</si>
  <si>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</si>
  <si>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</si>
  <si>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</si>
  <si>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</si>
  <si>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</si>
  <si>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</si>
  <si>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</si>
  <si>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</si>
  <si>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</si>
  <si>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</si>
  <si>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</si>
  <si>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</si>
  <si>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</si>
  <si>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</si>
  <si>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</si>
  <si>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</si>
  <si>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</si>
  <si>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</si>
  <si>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</si>
  <si>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</si>
  <si>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</si>
  <si>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</si>
  <si>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</si>
  <si>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</si>
  <si>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</si>
  <si>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</si>
  <si>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</si>
  <si>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</si>
  <si>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</si>
  <si>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</si>
  <si>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</si>
  <si>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</si>
  <si>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</si>
  <si>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</si>
  <si>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</si>
  <si>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</si>
  <si>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</si>
  <si>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</si>
  <si>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</si>
  <si>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</si>
  <si>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</si>
  <si>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</si>
  <si>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</si>
  <si>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</si>
  <si>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</si>
  <si>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</si>
  <si>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</si>
  <si>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</si>
  <si>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</si>
  <si>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</si>
  <si>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</si>
  <si>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</si>
  <si>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</si>
  <si>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</si>
  <si>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</si>
  <si>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</si>
  <si>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</si>
  <si>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</si>
  <si>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</si>
  <si>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</si>
  <si>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</si>
  <si>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</si>
  <si>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</si>
  <si>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</si>
  <si>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</si>
  <si>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</si>
  <si>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</si>
  <si>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</si>
  <si>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</si>
  <si>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</si>
  <si>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</si>
  <si>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</si>
  <si>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</si>
  <si>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</si>
  <si>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</si>
  <si>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</si>
  <si>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</si>
  <si>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</si>
  <si>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</si>
  <si>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</si>
  <si>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</si>
  <si>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</si>
  <si>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</si>
  <si>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</si>
  <si>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</si>
  <si>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</si>
  <si>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</si>
  <si>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</si>
  <si>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</si>
  <si>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</si>
  <si>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</si>
  <si>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</si>
  <si>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</si>
  <si>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</si>
  <si>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</si>
  <si>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</si>
  <si>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</si>
  <si>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</si>
  <si>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</si>
  <si>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</si>
  <si>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</si>
  <si>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</si>
  <si>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</si>
  <si>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</si>
  <si>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</si>
  <si>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</si>
  <si>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</si>
  <si>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</si>
  <si>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</si>
  <si>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</si>
  <si>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</si>
  <si>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</si>
  <si>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</si>
  <si>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</si>
  <si>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</si>
  <si>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</si>
  <si>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</si>
  <si>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</si>
  <si>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</si>
  <si>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</si>
  <si>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</si>
  <si>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</si>
  <si>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</si>
  <si>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</si>
  <si>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</si>
  <si>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</si>
  <si>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</si>
  <si>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</si>
  <si>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</si>
  <si>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</si>
  <si>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</si>
  <si>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</si>
  <si>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</si>
  <si>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</si>
  <si>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</si>
  <si>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</si>
  <si>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</si>
  <si>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</si>
  <si>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</si>
  <si>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</si>
  <si>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</si>
  <si>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</si>
  <si>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</si>
  <si>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</si>
  <si>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</si>
  <si>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</si>
  <si>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</si>
  <si>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</si>
  <si>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</si>
  <si>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</si>
  <si>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</si>
  <si>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</si>
  <si>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</si>
  <si>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</si>
  <si>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</si>
  <si>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</si>
  <si>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</si>
  <si>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</si>
  <si>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</si>
  <si>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</si>
  <si>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</si>
  <si>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</si>
  <si>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</si>
  <si>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</si>
  <si>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</si>
  <si>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</si>
  <si>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</si>
  <si>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</si>
  <si>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</si>
  <si>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</si>
  <si>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</si>
  <si>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</si>
  <si>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</si>
  <si>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</si>
  <si>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</si>
  <si>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</si>
  <si>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</si>
  <si>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</si>
  <si>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</si>
  <si>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</si>
  <si>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</si>
  <si>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</si>
  <si>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</si>
  <si>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</si>
  <si>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</si>
  <si>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</si>
  <si>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GARNICA, LUCAS FERNANDO ULISES POR LESINOES Y AMENAZAS CON ARMA AGRAVADA POR EL VINCULO en perjuicio de Barrionuevo, Daniela María</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</si>
  <si>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</si>
  <si>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</si>
  <si>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</si>
  <si>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</si>
  <si>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</si>
  <si>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</si>
  <si>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</si>
  <si>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</si>
  <si>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</si>
  <si>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</si>
  <si>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</si>
  <si>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</si>
  <si>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</si>
  <si>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</si>
  <si>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</si>
  <si>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</si>
  <si>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</si>
  <si>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</si>
  <si>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</si>
  <si>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</si>
  <si>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</si>
  <si>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</si>
  <si>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</si>
  <si>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</si>
  <si>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</si>
  <si>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</si>
  <si>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</si>
  <si>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</si>
  <si>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</si>
  <si>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</si>
  <si>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</si>
  <si>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</si>
  <si>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</si>
  <si>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</si>
  <si>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</si>
  <si>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</si>
  <si>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</si>
  <si>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</si>
  <si>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</si>
  <si>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</si>
  <si>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</si>
  <si>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</si>
  <si>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</si>
  <si>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</si>
  <si>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</si>
  <si>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</si>
  <si>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</si>
  <si>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</si>
  <si>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</si>
  <si>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</si>
  <si>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</si>
  <si>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</si>
  <si>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VILLABA, ENRIQUE SEBASTIAN POR ROBO CALIFICADO POR LAS CIRCUANTANCIAS DE HURTO CALIFICADO EN PERJUICIO DE SORUCCO GARCIA, CARMEN SILVIA</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</si>
  <si>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</si>
  <si>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</si>
  <si>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</si>
  <si>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</si>
  <si>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</si>
  <si>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</si>
  <si>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</si>
  <si>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</si>
  <si>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</si>
  <si>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</si>
  <si>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</si>
  <si>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</si>
  <si>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</si>
  <si>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</si>
  <si>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</si>
  <si>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</si>
  <si>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</si>
  <si>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</si>
  <si>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</si>
  <si>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</si>
  <si>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</si>
  <si>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</si>
  <si>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</si>
  <si>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</si>
  <si>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</si>
  <si>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</si>
  <si>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</si>
  <si>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</si>
  <si>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</si>
  <si>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</si>
  <si>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</si>
  <si>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</si>
  <si>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</si>
  <si>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</si>
  <si>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</si>
  <si>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</si>
  <si>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</si>
  <si>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</si>
  <si>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</si>
  <si>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</si>
  <si>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</si>
  <si>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</si>
  <si>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</si>
  <si>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</si>
  <si>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</si>
  <si>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</si>
  <si>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</si>
  <si>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</si>
  <si>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</si>
  <si>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</si>
  <si>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</si>
  <si>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</si>
  <si>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</si>
  <si>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</si>
  <si>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</si>
  <si>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</si>
  <si>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</si>
  <si>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</si>
  <si>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</si>
  <si>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</si>
  <si>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</si>
  <si>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</si>
  <si>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</si>
  <si>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</si>
  <si>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</si>
  <si>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</si>
  <si>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</si>
  <si>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</si>
  <si>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</si>
  <si>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</si>
  <si>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</si>
  <si>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</si>
  <si>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</si>
  <si>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</si>
  <si>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</si>
  <si>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</si>
  <si>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</si>
  <si>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</si>
  <si>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</si>
  <si>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</si>
  <si>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</si>
  <si>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</si>
  <si>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</si>
  <si>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</si>
  <si>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</si>
  <si>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</si>
  <si>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</si>
  <si>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</si>
  <si>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</si>
  <si>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</si>
  <si>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</si>
  <si>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</si>
  <si>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</si>
  <si>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</si>
  <si>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</si>
  <si>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</si>
  <si>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</si>
  <si>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</si>
  <si>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</si>
  <si>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</si>
  <si>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</si>
  <si>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</si>
  <si>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</si>
  <si>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</si>
  <si>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</si>
  <si>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</si>
  <si>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</si>
  <si>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</si>
  <si>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</si>
  <si>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</si>
  <si>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</si>
  <si>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</si>
  <si>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</si>
  <si>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</si>
  <si>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</si>
  <si>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</si>
  <si>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</si>
  <si>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</si>
  <si>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</si>
  <si>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</si>
  <si>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</si>
  <si>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</si>
  <si>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</si>
  <si>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</si>
  <si>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</si>
  <si>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</si>
  <si>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</si>
  <si>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</si>
  <si>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</si>
  <si>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</si>
  <si>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</si>
  <si>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</si>
  <si>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</si>
  <si>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</si>
  <si>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</si>
  <si>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</si>
  <si>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</si>
  <si>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</si>
  <si>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</si>
  <si>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</si>
  <si>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</si>
  <si>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</si>
  <si>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</si>
  <si>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</si>
  <si>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</si>
  <si>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</si>
  <si>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</si>
  <si>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</si>
  <si>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</si>
  <si>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</si>
  <si>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</si>
  <si>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</si>
  <si>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</si>
  <si>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</si>
  <si>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</si>
  <si>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</si>
  <si>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</si>
  <si>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</si>
  <si>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</si>
  <si>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</si>
  <si>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</si>
  <si>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</si>
  <si>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</si>
  <si>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</si>
  <si>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</si>
  <si>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</si>
  <si>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</si>
  <si>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</si>
  <si>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</si>
  <si>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</si>
  <si>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</si>
  <si>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</si>
  <si>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</si>
  <si>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</si>
  <si>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</si>
  <si>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</si>
  <si>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</si>
  <si>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</si>
  <si>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</si>
  <si>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</si>
  <si>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</si>
  <si>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</si>
  <si>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</si>
  <si>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con preso</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</si>
  <si>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</si>
  <si>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</si>
  <si>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</si>
  <si>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DIAZ, JESICA ELIZABETH; GONZALEZ, CESAR DOMINGO; MERCADO, VICTOR GUSTAVO; RIVERO, CRISTIAN RONALDO; RIVERO, NICOLAS ALEJANDRO POR TENENCIA DE ESTUPEFACIENTES CON FINES DE COMERCIALIZACION</t>
  </si>
  <si>
    <t>DR. POCLAVA POR MERCADO, ANGEL; DRA. ORIANA NEVORA POR DIAZ, JESICA Y RIVERO, VICTOR</t>
  </si>
  <si>
    <t>186572/23</t>
  </si>
  <si>
    <t>ANGEL FERNANDO DAVID RAMIREZ, FEDERICO ALEJANDRO RIOJA POR ROBO DOBLEMENTE CALIFICADO POR SER COMETIDO EN POBLADO Y EN BANDA Y CON EL USO DE ARMA Y FRANCO EXEQUIEL ASH POR ENCUBRIMIENTO</t>
  </si>
  <si>
    <t>186613/23</t>
  </si>
  <si>
    <t>BRUNO, OMAR JOSE LUIS Y UGARTE GUSTAVO EXEQUIEL POR AMENAZAS</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</si>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</sst>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0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164" fontId="4" fillId="0" borderId="2" xfId="0" applyNumberFormat="1"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49" fontId="2" fillId="13" borderId="0" xfId="0" applyNumberFormat="1" applyFont="1" applyFill="1" applyAlignment="1">
      <alignment horizontal="center" vertical="center"/>
    </xf>
    <xf numFmtId="0" fontId="2" fillId="13"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2" fillId="10" borderId="1"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164" fontId="0" fillId="11" borderId="12" xfId="0" applyNumberFormat="1" applyFill="1" applyBorder="1" applyAlignment="1">
      <alignment horizontal="center" vertical="center" wrapText="1"/>
    </xf>
    <xf numFmtId="164" fontId="4" fillId="11" borderId="12" xfId="0" applyNumberFormat="1"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49" fontId="0" fillId="11" borderId="1" xfId="0" applyNumberForma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11" borderId="6" xfId="0" applyNumberFormat="1" applyFont="1" applyFill="1" applyBorder="1" applyAlignment="1">
      <alignment horizontal="center" vertical="center" wrapText="1"/>
    </xf>
    <xf numFmtId="0" fontId="0" fillId="11" borderId="1" xfId="0" applyFill="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0" xfId="0" applyNumberFormat="1" applyFont="1" applyFill="1" applyAlignment="1">
      <alignment horizontal="center" vertical="center" wrapText="1"/>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2" fillId="0" borderId="2" xfId="0" applyNumberFormat="1" applyFont="1" applyFill="1" applyBorder="1" applyAlignment="1">
      <alignment horizontal="left" vertical="center" wrapText="1"/>
    </xf>
    <xf numFmtId="0" fontId="4" fillId="0" borderId="2" xfId="0" applyFont="1" applyFill="1" applyBorder="1" applyAlignment="1">
      <alignment horizontal="center" vertical="center" wrapText="1"/>
    </xf>
    <xf numFmtId="0" fontId="9" fillId="0" borderId="2" xfId="0" applyFon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0" fontId="0" fillId="10" borderId="3" xfId="0"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0" fillId="10" borderId="1" xfId="0" applyFill="1" applyBorder="1" applyAlignment="1">
      <alignment horizontal="center" vertical="center" wrapText="1"/>
    </xf>
    <xf numFmtId="20" fontId="0" fillId="10" borderId="1" xfId="0" applyNumberFormat="1" applyFill="1" applyBorder="1" applyAlignment="1">
      <alignment horizontal="center" vertical="center" wrapText="1"/>
    </xf>
  </cellXfs>
  <cellStyles count="3">
    <cellStyle name="Normal" xfId="0" builtinId="0"/>
    <cellStyle name="Normal 2" xfId="1"/>
    <cellStyle name="Porcentual" xfId="2" builtinId="5"/>
  </cellStyles>
  <dxfs count="500">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082"/>
        </c:manualLayout>
      </c:layout>
      <c:pieChart>
        <c:varyColors val="1"/>
        <c:ser>
          <c:idx val="0"/>
          <c:order val="0"/>
          <c:dLbls>
            <c:txPr>
              <a:bodyPr/>
              <a:lstStyle/>
              <a:p>
                <a:pPr>
                  <a:defRPr lang="es-ES" sz="1400"/>
                </a:pPr>
                <a:endParaRPr lang="es-AR"/>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42120064"/>
        <c:axId val="142121600"/>
      </c:barChart>
      <c:catAx>
        <c:axId val="142120064"/>
        <c:scaling>
          <c:orientation val="minMax"/>
        </c:scaling>
        <c:axPos val="b"/>
        <c:majorTickMark val="none"/>
        <c:tickLblPos val="nextTo"/>
        <c:txPr>
          <a:bodyPr/>
          <a:lstStyle/>
          <a:p>
            <a:pPr>
              <a:defRPr lang="es-ES"/>
            </a:pPr>
            <a:endParaRPr lang="es-AR"/>
          </a:p>
        </c:txPr>
        <c:crossAx val="142121600"/>
        <c:crosses val="autoZero"/>
        <c:auto val="1"/>
        <c:lblAlgn val="ctr"/>
        <c:lblOffset val="100"/>
      </c:catAx>
      <c:valAx>
        <c:axId val="142121600"/>
        <c:scaling>
          <c:orientation val="minMax"/>
        </c:scaling>
        <c:axPos val="l"/>
        <c:majorGridlines/>
        <c:numFmt formatCode="General" sourceLinked="1"/>
        <c:majorTickMark val="none"/>
        <c:tickLblPos val="nextTo"/>
        <c:txPr>
          <a:bodyPr/>
          <a:lstStyle/>
          <a:p>
            <a:pPr>
              <a:defRPr lang="es-ES"/>
            </a:pPr>
            <a:endParaRPr lang="es-AR"/>
          </a:p>
        </c:txPr>
        <c:crossAx val="142120064"/>
        <c:crosses val="autoZero"/>
        <c:crossBetween val="between"/>
      </c:valAx>
      <c:dTable>
        <c:showHorzBorder val="1"/>
        <c:showVertBorder val="1"/>
        <c:showOutline val="1"/>
        <c:showKeys val="1"/>
        <c:txPr>
          <a:bodyPr/>
          <a:lstStyle/>
          <a:p>
            <a:pPr>
              <a:defRPr lang="es-ES"/>
            </a:pPr>
            <a:endParaRPr lang="es-AR"/>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AR"/>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20681984"/>
        <c:axId val="120683520"/>
      </c:barChart>
      <c:catAx>
        <c:axId val="120681984"/>
        <c:scaling>
          <c:orientation val="minMax"/>
        </c:scaling>
        <c:axPos val="b"/>
        <c:majorTickMark val="none"/>
        <c:tickLblPos val="nextTo"/>
        <c:txPr>
          <a:bodyPr/>
          <a:lstStyle/>
          <a:p>
            <a:pPr>
              <a:defRPr lang="es-ES"/>
            </a:pPr>
            <a:endParaRPr lang="es-AR"/>
          </a:p>
        </c:txPr>
        <c:crossAx val="120683520"/>
        <c:crosses val="autoZero"/>
        <c:auto val="1"/>
        <c:lblAlgn val="ctr"/>
        <c:lblOffset val="100"/>
      </c:catAx>
      <c:valAx>
        <c:axId val="120683520"/>
        <c:scaling>
          <c:orientation val="minMax"/>
        </c:scaling>
        <c:axPos val="l"/>
        <c:majorGridlines/>
        <c:numFmt formatCode="General" sourceLinked="1"/>
        <c:majorTickMark val="none"/>
        <c:tickLblPos val="nextTo"/>
        <c:txPr>
          <a:bodyPr/>
          <a:lstStyle/>
          <a:p>
            <a:pPr>
              <a:defRPr lang="es-ES"/>
            </a:pPr>
            <a:endParaRPr lang="es-AR"/>
          </a:p>
        </c:txPr>
        <c:crossAx val="120681984"/>
        <c:crosses val="autoZero"/>
        <c:crossBetween val="between"/>
      </c:valAx>
      <c:dTable>
        <c:showHorzBorder val="1"/>
        <c:showVertBorder val="1"/>
        <c:showOutline val="1"/>
        <c:showKeys val="1"/>
        <c:txPr>
          <a:bodyPr/>
          <a:lstStyle/>
          <a:p>
            <a:pPr>
              <a:defRPr lang="es-ES"/>
            </a:pPr>
            <a:endParaRPr lang="es-AR"/>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AR"/>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42280960"/>
        <c:axId val="142286848"/>
      </c:barChart>
      <c:catAx>
        <c:axId val="142280960"/>
        <c:scaling>
          <c:orientation val="minMax"/>
        </c:scaling>
        <c:axPos val="b"/>
        <c:majorTickMark val="none"/>
        <c:tickLblPos val="nextTo"/>
        <c:txPr>
          <a:bodyPr/>
          <a:lstStyle/>
          <a:p>
            <a:pPr>
              <a:defRPr lang="es-ES"/>
            </a:pPr>
            <a:endParaRPr lang="es-AR"/>
          </a:p>
        </c:txPr>
        <c:crossAx val="142286848"/>
        <c:crosses val="autoZero"/>
        <c:auto val="1"/>
        <c:lblAlgn val="ctr"/>
        <c:lblOffset val="100"/>
      </c:catAx>
      <c:valAx>
        <c:axId val="142286848"/>
        <c:scaling>
          <c:orientation val="minMax"/>
        </c:scaling>
        <c:axPos val="l"/>
        <c:majorGridlines/>
        <c:title>
          <c:txPr>
            <a:bodyPr/>
            <a:lstStyle/>
            <a:p>
              <a:pPr>
                <a:defRPr lang="es-ES"/>
              </a:pPr>
              <a:endParaRPr lang="es-AR"/>
            </a:p>
          </c:txPr>
        </c:title>
        <c:numFmt formatCode="General" sourceLinked="1"/>
        <c:majorTickMark val="none"/>
        <c:tickLblPos val="nextTo"/>
        <c:txPr>
          <a:bodyPr/>
          <a:lstStyle/>
          <a:p>
            <a:pPr>
              <a:defRPr lang="es-ES"/>
            </a:pPr>
            <a:endParaRPr lang="es-AR"/>
          </a:p>
        </c:txPr>
        <c:crossAx val="142280960"/>
        <c:crosses val="autoZero"/>
        <c:crossBetween val="between"/>
      </c:valAx>
      <c:dTable>
        <c:showHorzBorder val="1"/>
        <c:showVertBorder val="1"/>
        <c:showOutline val="1"/>
        <c:showKeys val="1"/>
        <c:txPr>
          <a:bodyPr/>
          <a:lstStyle/>
          <a:p>
            <a:pPr>
              <a:defRPr lang="es-ES"/>
            </a:pPr>
            <a:endParaRPr lang="es-AR"/>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42330496"/>
        <c:axId val="142332288"/>
      </c:barChart>
      <c:catAx>
        <c:axId val="142330496"/>
        <c:scaling>
          <c:orientation val="minMax"/>
        </c:scaling>
        <c:axPos val="b"/>
        <c:majorTickMark val="none"/>
        <c:tickLblPos val="nextTo"/>
        <c:txPr>
          <a:bodyPr/>
          <a:lstStyle/>
          <a:p>
            <a:pPr>
              <a:defRPr lang="es-ES"/>
            </a:pPr>
            <a:endParaRPr lang="es-AR"/>
          </a:p>
        </c:txPr>
        <c:crossAx val="142332288"/>
        <c:crosses val="autoZero"/>
        <c:auto val="1"/>
        <c:lblAlgn val="ctr"/>
        <c:lblOffset val="100"/>
      </c:catAx>
      <c:valAx>
        <c:axId val="142332288"/>
        <c:scaling>
          <c:orientation val="minMax"/>
        </c:scaling>
        <c:axPos val="l"/>
        <c:majorGridlines/>
        <c:title>
          <c:txPr>
            <a:bodyPr/>
            <a:lstStyle/>
            <a:p>
              <a:pPr>
                <a:defRPr lang="es-ES"/>
              </a:pPr>
              <a:endParaRPr lang="es-AR"/>
            </a:p>
          </c:txPr>
        </c:title>
        <c:numFmt formatCode="General" sourceLinked="1"/>
        <c:majorTickMark val="none"/>
        <c:tickLblPos val="nextTo"/>
        <c:txPr>
          <a:bodyPr/>
          <a:lstStyle/>
          <a:p>
            <a:pPr>
              <a:defRPr lang="es-ES"/>
            </a:pPr>
            <a:endParaRPr lang="es-AR"/>
          </a:p>
        </c:txPr>
        <c:crossAx val="142330496"/>
        <c:crosses val="autoZero"/>
        <c:crossBetween val="between"/>
      </c:valAx>
      <c:dTable>
        <c:showHorzBorder val="1"/>
        <c:showVertBorder val="1"/>
        <c:showOutline val="1"/>
        <c:showKeys val="1"/>
        <c:txPr>
          <a:bodyPr/>
          <a:lstStyle/>
          <a:p>
            <a:pPr>
              <a:defRPr lang="es-ES"/>
            </a:pPr>
            <a:endParaRPr lang="es-AR"/>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AR"/>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AR"/>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AR"/>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AR"/>
                </a:p>
              </c:txPr>
              <c:showVal val="1"/>
              <c:showCatName val="1"/>
              <c:showPercent val="1"/>
            </c:dLbl>
            <c:dLbl>
              <c:idx val="1"/>
              <c:layout>
                <c:manualLayout>
                  <c:x val="0.20419595783738895"/>
                  <c:y val="-0.13389714619230508"/>
                </c:manualLayout>
              </c:layout>
              <c:spPr>
                <a:scene3d>
                  <a:camera prst="orthographicFront"/>
                  <a:lightRig rig="threePt" dir="t"/>
                </a:scene3d>
                <a:sp3d prstMaterial="legacyWireframe"/>
              </c:spPr>
              <c:txPr>
                <a:bodyPr/>
                <a:lstStyle/>
                <a:p>
                  <a:pPr>
                    <a:defRPr lang="es-ES" sz="1400" b="1">
                      <a:solidFill>
                        <a:schemeClr val="bg1"/>
                      </a:solidFill>
                    </a:defRPr>
                  </a:pPr>
                  <a:endParaRPr lang="es-AR"/>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741"/>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596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AR"/>
                </a:p>
              </c:txPr>
              <c:showVal val="1"/>
              <c:showCatName val="1"/>
              <c:showPercent val="1"/>
            </c:dLbl>
            <c:dLbl>
              <c:idx val="7"/>
              <c:layout>
                <c:manualLayout>
                  <c:x val="0.27997078648452106"/>
                  <c:y val="-3.8029270993357775E-2"/>
                </c:manualLayout>
              </c:layout>
              <c:dLblPos val="bestFit"/>
              <c:showVal val="1"/>
              <c:showCatName val="1"/>
              <c:showPercent val="1"/>
            </c:dLbl>
            <c:dLbl>
              <c:idx val="8"/>
              <c:layout>
                <c:manualLayout>
                  <c:x val="0.29249880865527517"/>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AR"/>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552" footer="0.3149606299213055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325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072"/>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367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658"/>
                  <c:y val="0.35111261781951103"/>
                </c:manualLayout>
              </c:layout>
              <c:showVal val="1"/>
              <c:showCatName val="1"/>
              <c:showPercent val="1"/>
            </c:dLbl>
            <c:txPr>
              <a:bodyPr/>
              <a:lstStyle/>
              <a:p>
                <a:pPr>
                  <a:defRPr lang="es-ES"/>
                </a:pPr>
                <a:endParaRPr lang="es-AR"/>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AR"/>
  <c:chart>
    <c:view3D>
      <c:rotX val="30"/>
      <c:rotY val="180"/>
      <c:perspective val="30"/>
    </c:view3D>
    <c:plotArea>
      <c:layout/>
      <c:pie3DChart>
        <c:varyColors val="1"/>
        <c:ser>
          <c:idx val="0"/>
          <c:order val="0"/>
          <c:explosion val="25"/>
          <c:dLbls>
            <c:dLbl>
              <c:idx val="0"/>
              <c:layout>
                <c:manualLayout>
                  <c:x val="-0.36318441482089542"/>
                  <c:y val="0.10810008182188822"/>
                </c:manualLayout>
              </c:layout>
              <c:showVal val="1"/>
              <c:showCatName val="1"/>
              <c:showPercent val="1"/>
            </c:dLbl>
            <c:dLbl>
              <c:idx val="1"/>
              <c:layout>
                <c:manualLayout>
                  <c:x val="-0.34680714491641884"/>
                  <c:y val="9.880080092320511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AR"/>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AR"/>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52E-2"/>
                  <c:y val="-0.2022213866513509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99"/>
                  <c:y val="-7.8406782442156903E-2"/>
                </c:manualLayout>
              </c:layout>
              <c:showVal val="1"/>
              <c:showCatName val="1"/>
              <c:showPercent val="1"/>
            </c:dLbl>
            <c:dLbl>
              <c:idx val="10"/>
              <c:layout>
                <c:manualLayout>
                  <c:x val="0.15381044618908679"/>
                  <c:y val="3.1547200269128446E-2"/>
                </c:manualLayout>
              </c:layout>
              <c:showVal val="1"/>
              <c:showCatName val="1"/>
              <c:showPercent val="1"/>
            </c:dLbl>
            <c:dLbl>
              <c:idx val="11"/>
              <c:layout>
                <c:manualLayout>
                  <c:x val="0.19633672921483933"/>
                  <c:y val="0.1493162344699297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73"/>
                </c:manualLayout>
              </c:layout>
              <c:showVal val="1"/>
              <c:showCatName val="1"/>
              <c:showPercent val="1"/>
            </c:dLbl>
            <c:txPr>
              <a:bodyPr/>
              <a:lstStyle/>
              <a:p>
                <a:pPr>
                  <a:defRPr lang="es-ES"/>
                </a:pPr>
                <a:endParaRPr lang="es-AR"/>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AR"/>
  <c:chart>
    <c:view3D>
      <c:rotX val="30"/>
      <c:rotY val="180"/>
      <c:perspective val="30"/>
    </c:view3D>
    <c:plotArea>
      <c:layout/>
      <c:pie3DChart>
        <c:varyColors val="1"/>
        <c:ser>
          <c:idx val="0"/>
          <c:order val="0"/>
          <c:explosion val="25"/>
          <c:dLbls>
            <c:dLbl>
              <c:idx val="0"/>
              <c:layout>
                <c:manualLayout>
                  <c:x val="-0.36318441482089553"/>
                  <c:y val="0.10810008182188822"/>
                </c:manualLayout>
              </c:layout>
              <c:showVal val="1"/>
              <c:showCatName val="1"/>
              <c:showPercent val="1"/>
            </c:dLbl>
            <c:dLbl>
              <c:idx val="1"/>
              <c:layout>
                <c:manualLayout>
                  <c:x val="-0.34680714491641884"/>
                  <c:y val="9.8800800923205183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AR"/>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AR"/>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57E-2"/>
                  <c:y val="-0.202221386651351"/>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03"/>
                  <c:y val="-7.8406782442156903E-2"/>
                </c:manualLayout>
              </c:layout>
              <c:showVal val="1"/>
              <c:showCatName val="1"/>
              <c:showPercent val="1"/>
            </c:dLbl>
            <c:dLbl>
              <c:idx val="10"/>
              <c:layout>
                <c:manualLayout>
                  <c:x val="0.15381044618908687"/>
                  <c:y val="3.1547200269128446E-2"/>
                </c:manualLayout>
              </c:layout>
              <c:showVal val="1"/>
              <c:showCatName val="1"/>
              <c:showPercent val="1"/>
            </c:dLbl>
            <c:dLbl>
              <c:idx val="11"/>
              <c:layout>
                <c:manualLayout>
                  <c:x val="0.19633672921483927"/>
                  <c:y val="0.1493162344699298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79"/>
                </c:manualLayout>
              </c:layout>
              <c:showVal val="1"/>
              <c:showCatName val="1"/>
              <c:showPercent val="1"/>
            </c:dLbl>
            <c:txPr>
              <a:bodyPr/>
              <a:lstStyle/>
              <a:p>
                <a:pPr>
                  <a:defRPr lang="es-ES"/>
                </a:pPr>
                <a:endParaRPr lang="es-AR"/>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sheetData sheetId="2"/>
      <sheetData sheetId="3"/>
      <sheetData sheetId="4"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refreshError="1"/>
      <sheetData sheetId="2"/>
      <sheetData sheetId="3" refreshError="1"/>
      <sheetData sheetId="4"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s>
    <sheetDataSet>
      <sheetData sheetId="0" refreshError="1"/>
      <sheetData sheetId="1"/>
      <sheetData sheetId="2"/>
      <sheetData sheetId="3"/>
      <sheetData sheetId="4"/>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74">
      <pivotArea dataOnly="0" labelOnly="1" outline="0" fieldPosition="0">
        <references count="1">
          <reference field="4" count="1">
            <x v="88"/>
          </reference>
        </references>
      </pivotArea>
    </format>
    <format dxfId="73">
      <pivotArea dataOnly="0" labelOnly="1" outline="0" fieldPosition="0">
        <references count="1">
          <reference field="4" count="1">
            <x v="88"/>
          </reference>
        </references>
      </pivotArea>
    </format>
    <format dxfId="72">
      <pivotArea dataOnly="0" labelOnly="1" fieldPosition="0">
        <references count="1">
          <reference field="6" count="3">
            <x v="0"/>
            <x v="2"/>
            <x v="8"/>
          </reference>
        </references>
      </pivotArea>
    </format>
    <format dxfId="71">
      <pivotArea dataOnly="0" outline="0" fieldPosition="0">
        <references count="1">
          <reference field="4" count="1">
            <x v="92"/>
          </reference>
        </references>
      </pivotArea>
    </format>
    <format dxfId="70">
      <pivotArea dataOnly="0" labelOnly="1" outline="0" fieldPosition="0">
        <references count="1">
          <reference field="4" count="1">
            <x v="96"/>
          </reference>
        </references>
      </pivotArea>
    </format>
    <format dxfId="69">
      <pivotArea dataOnly="0" labelOnly="1" outline="0" fieldPosition="0">
        <references count="1">
          <reference field="4" count="1">
            <x v="96"/>
          </reference>
        </references>
      </pivotArea>
    </format>
    <format dxfId="68">
      <pivotArea dataOnly="0" labelOnly="1" outline="0" fieldPosition="0">
        <references count="1">
          <reference field="4" count="1">
            <x v="101"/>
          </reference>
        </references>
      </pivotArea>
    </format>
    <format dxfId="6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82">
      <pivotArea dataOnly="0" labelOnly="1" outline="0" fieldPosition="0">
        <references count="1">
          <reference field="4" count="1">
            <x v="88"/>
          </reference>
        </references>
      </pivotArea>
    </format>
    <format dxfId="81">
      <pivotArea dataOnly="0" labelOnly="1" outline="0" fieldPosition="0">
        <references count="1">
          <reference field="4" count="1">
            <x v="88"/>
          </reference>
        </references>
      </pivotArea>
    </format>
    <format dxfId="80">
      <pivotArea dataOnly="0" labelOnly="1" fieldPosition="0">
        <references count="1">
          <reference field="6" count="3">
            <x v="0"/>
            <x v="2"/>
            <x v="8"/>
          </reference>
        </references>
      </pivotArea>
    </format>
    <format dxfId="79">
      <pivotArea dataOnly="0" outline="0" fieldPosition="0">
        <references count="1">
          <reference field="4" count="1">
            <x v="92"/>
          </reference>
        </references>
      </pivotArea>
    </format>
    <format dxfId="78">
      <pivotArea dataOnly="0" labelOnly="1" outline="0" fieldPosition="0">
        <references count="1">
          <reference field="4" count="1">
            <x v="96"/>
          </reference>
        </references>
      </pivotArea>
    </format>
    <format dxfId="77">
      <pivotArea dataOnly="0" labelOnly="1" outline="0" fieldPosition="0">
        <references count="1">
          <reference field="4" count="1">
            <x v="96"/>
          </reference>
        </references>
      </pivotArea>
    </format>
    <format dxfId="76">
      <pivotArea dataOnly="0" labelOnly="1" outline="0" fieldPosition="0">
        <references count="1">
          <reference field="4" count="1">
            <x v="101"/>
          </reference>
        </references>
      </pivotArea>
    </format>
    <format dxfId="7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90">
      <pivotArea dataOnly="0" labelOnly="1" outline="0" fieldPosition="0">
        <references count="1">
          <reference field="4" count="1">
            <x v="88"/>
          </reference>
        </references>
      </pivotArea>
    </format>
    <format dxfId="89">
      <pivotArea dataOnly="0" labelOnly="1" outline="0" fieldPosition="0">
        <references count="1">
          <reference field="4" count="1">
            <x v="88"/>
          </reference>
        </references>
      </pivotArea>
    </format>
    <format dxfId="88">
      <pivotArea dataOnly="0" labelOnly="1" fieldPosition="0">
        <references count="1">
          <reference field="6" count="3">
            <x v="0"/>
            <x v="2"/>
            <x v="8"/>
          </reference>
        </references>
      </pivotArea>
    </format>
    <format dxfId="87">
      <pivotArea dataOnly="0" outline="0" fieldPosition="0">
        <references count="1">
          <reference field="4" count="1">
            <x v="92"/>
          </reference>
        </references>
      </pivotArea>
    </format>
    <format dxfId="86">
      <pivotArea dataOnly="0" labelOnly="1" outline="0" fieldPosition="0">
        <references count="1">
          <reference field="4" count="1">
            <x v="96"/>
          </reference>
        </references>
      </pivotArea>
    </format>
    <format dxfId="85">
      <pivotArea dataOnly="0" labelOnly="1" outline="0" fieldPosition="0">
        <references count="1">
          <reference field="4" count="1">
            <x v="96"/>
          </reference>
        </references>
      </pivotArea>
    </format>
    <format dxfId="84">
      <pivotArea dataOnly="0" labelOnly="1" outline="0" fieldPosition="0">
        <references count="1">
          <reference field="4" count="1">
            <x v="101"/>
          </reference>
        </references>
      </pivotArea>
    </format>
    <format dxfId="8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99">
      <pivotArea dataOnly="0" labelOnly="1" outline="0" fieldPosition="0">
        <references count="1">
          <reference field="4" count="1">
            <x v="85"/>
          </reference>
        </references>
      </pivotArea>
    </format>
    <format dxfId="98">
      <pivotArea type="all" dataOnly="0" outline="0" fieldPosition="0"/>
    </format>
    <format dxfId="97">
      <pivotArea dataOnly="0" labelOnly="1" outline="0" fieldPosition="0">
        <references count="1">
          <reference field="4" count="1">
            <x v="85"/>
          </reference>
        </references>
      </pivotArea>
    </format>
    <format dxfId="96">
      <pivotArea field="6" type="button" dataOnly="0" labelOnly="1" outline="0" axis="axisRow" fieldPosition="0"/>
    </format>
    <format dxfId="95">
      <pivotArea dataOnly="0" labelOnly="1" fieldPosition="0">
        <references count="1">
          <reference field="6" count="3">
            <x v="0"/>
            <x v="2"/>
            <x v="8"/>
          </reference>
        </references>
      </pivotArea>
    </format>
    <format dxfId="94">
      <pivotArea dataOnly="0" labelOnly="1" outline="0" fieldPosition="0">
        <references count="1">
          <reference field="4" count="1">
            <x v="90"/>
          </reference>
        </references>
      </pivotArea>
    </format>
    <format dxfId="93">
      <pivotArea dataOnly="0" labelOnly="1" outline="0" fieldPosition="0">
        <references count="1">
          <reference field="4" count="1">
            <x v="99"/>
          </reference>
        </references>
      </pivotArea>
    </format>
    <format dxfId="92">
      <pivotArea dataOnly="0" labelOnly="1" outline="0" fieldPosition="0">
        <references count="1">
          <reference field="4" count="1">
            <x v="99"/>
          </reference>
        </references>
      </pivotArea>
    </format>
    <format dxfId="91">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107">
      <pivotArea dataOnly="0" labelOnly="1" outline="0" fieldPosition="0">
        <references count="1">
          <reference field="4" count="1">
            <x v="86"/>
          </reference>
        </references>
      </pivotArea>
    </format>
    <format dxfId="106">
      <pivotArea dataOnly="0" labelOnly="1" outline="0" fieldPosition="0">
        <references count="1">
          <reference field="4" count="1">
            <x v="86"/>
          </reference>
        </references>
      </pivotArea>
    </format>
    <format dxfId="105">
      <pivotArea dataOnly="0" labelOnly="1" fieldPosition="0">
        <references count="1">
          <reference field="6" count="3">
            <x v="0"/>
            <x v="2"/>
            <x v="8"/>
          </reference>
        </references>
      </pivotArea>
    </format>
    <format dxfId="104">
      <pivotArea dataOnly="0" labelOnly="1" outline="0" fieldPosition="0">
        <references count="1">
          <reference field="4" count="1">
            <x v="91"/>
          </reference>
        </references>
      </pivotArea>
    </format>
    <format dxfId="103">
      <pivotArea dataOnly="0" labelOnly="1" outline="0" fieldPosition="0">
        <references count="1">
          <reference field="4" count="1">
            <x v="95"/>
          </reference>
        </references>
      </pivotArea>
    </format>
    <format dxfId="102">
      <pivotArea dataOnly="0" labelOnly="1" outline="0" fieldPosition="0">
        <references count="1">
          <reference field="4" count="1">
            <x v="95"/>
          </reference>
        </references>
      </pivotArea>
    </format>
    <format dxfId="101">
      <pivotArea dataOnly="0" labelOnly="1" outline="0" fieldPosition="0">
        <references count="1">
          <reference field="4" count="1">
            <x v="100"/>
          </reference>
        </references>
      </pivotArea>
    </format>
    <format dxfId="100">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115">
      <pivotArea dataOnly="0" labelOnly="1" outline="0" fieldPosition="0">
        <references count="1">
          <reference field="4" count="1">
            <x v="88"/>
          </reference>
        </references>
      </pivotArea>
    </format>
    <format dxfId="114">
      <pivotArea dataOnly="0" labelOnly="1" outline="0" fieldPosition="0">
        <references count="1">
          <reference field="4" count="1">
            <x v="88"/>
          </reference>
        </references>
      </pivotArea>
    </format>
    <format dxfId="113">
      <pivotArea dataOnly="0" labelOnly="1" fieldPosition="0">
        <references count="1">
          <reference field="6" count="3">
            <x v="0"/>
            <x v="2"/>
            <x v="8"/>
          </reference>
        </references>
      </pivotArea>
    </format>
    <format dxfId="112">
      <pivotArea dataOnly="0" outline="0" fieldPosition="0">
        <references count="1">
          <reference field="4" count="1">
            <x v="92"/>
          </reference>
        </references>
      </pivotArea>
    </format>
    <format dxfId="111">
      <pivotArea dataOnly="0" labelOnly="1" outline="0" fieldPosition="0">
        <references count="1">
          <reference field="4" count="1">
            <x v="96"/>
          </reference>
        </references>
      </pivotArea>
    </format>
    <format dxfId="110">
      <pivotArea dataOnly="0" labelOnly="1" outline="0" fieldPosition="0">
        <references count="1">
          <reference field="4" count="1">
            <x v="96"/>
          </reference>
        </references>
      </pivotArea>
    </format>
    <format dxfId="109">
      <pivotArea dataOnly="0" labelOnly="1" outline="0" fieldPosition="0">
        <references count="1">
          <reference field="4" count="1">
            <x v="101"/>
          </reference>
        </references>
      </pivotArea>
    </format>
    <format dxfId="10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130"/>
  <sheetViews>
    <sheetView tabSelected="1" zoomScale="75" zoomScaleNormal="75" zoomScaleSheetLayoutView="55" workbookViewId="0">
      <pane ySplit="2" topLeftCell="A127" activePane="bottomLeft" state="frozen"/>
      <selection pane="bottomLeft" activeCell="A130" sqref="A130:AJ130"/>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48"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127</v>
      </c>
      <c r="B1" s="209" t="str">
        <f ca="1" xml:space="preserve"> COUNTIF(O:O,"NO") &amp;
"                                      -                          "                 &amp; COUNTIF(O:O,"LIMBO")</f>
        <v>0                                      -                          128</v>
      </c>
      <c r="C1" s="209">
        <f ca="1" xml:space="preserve"> COUNTIF(O:O,"SI")</f>
        <v>0</v>
      </c>
      <c r="D1" s="207" t="s">
        <v>2331</v>
      </c>
      <c r="E1" s="342" t="str">
        <f ca="1" xml:space="preserve"> "Cantidad de audiencias de la fecha:   " &amp; COUNTIF(H:H,TODAY())</f>
        <v>Cantidad de audiencias de la fecha:   0</v>
      </c>
      <c r="F1" s="210"/>
      <c r="G1" s="211"/>
      <c r="H1" s="212"/>
      <c r="I1" s="212"/>
      <c r="J1" s="212" t="s">
        <v>21</v>
      </c>
      <c r="K1" s="211" t="s">
        <v>668</v>
      </c>
      <c r="L1" s="213" t="s">
        <v>802</v>
      </c>
      <c r="M1" s="85"/>
      <c r="N1" s="86"/>
      <c r="O1" s="86"/>
      <c r="P1" s="87">
        <v>45230</v>
      </c>
      <c r="Q1" s="214">
        <v>45098</v>
      </c>
      <c r="R1" s="214">
        <v>45100</v>
      </c>
      <c r="S1" s="207"/>
      <c r="T1" s="88"/>
      <c r="U1" s="85"/>
      <c r="Y1" s="207"/>
      <c r="Z1" s="215"/>
    </row>
    <row r="2" spans="1:36" ht="63.75">
      <c r="A2" s="70" t="s">
        <v>905</v>
      </c>
      <c r="B2" s="71" t="s">
        <v>0</v>
      </c>
      <c r="C2" s="70" t="s">
        <v>18</v>
      </c>
      <c r="D2" s="70" t="s">
        <v>1</v>
      </c>
      <c r="E2" s="34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8" t="s">
        <v>2145</v>
      </c>
      <c r="AD2" s="318" t="s">
        <v>2146</v>
      </c>
      <c r="AE2" s="318" t="s">
        <v>2147</v>
      </c>
      <c r="AF2" s="318" t="s">
        <v>2148</v>
      </c>
      <c r="AG2" s="333" t="str">
        <f ca="1">IF(TEXT($AF3,"DD/MM/YYYY")=TEXT($C$1,"dd/mm/yyyy"),"DIASOL","DIANOSOL")</f>
        <v>DIANOSOL</v>
      </c>
      <c r="AH2" s="367" t="s">
        <v>2163</v>
      </c>
      <c r="AI2" s="318" t="s">
        <v>2164</v>
      </c>
      <c r="AJ2" s="44" t="s">
        <v>2255</v>
      </c>
    </row>
    <row r="3" spans="1:36" ht="76.5">
      <c r="A3" s="352">
        <v>1</v>
      </c>
      <c r="B3" s="353">
        <v>45209</v>
      </c>
      <c r="C3" s="354">
        <v>0.38680555555555557</v>
      </c>
      <c r="D3" s="352" t="s">
        <v>2130</v>
      </c>
      <c r="E3" s="355" t="s">
        <v>2231</v>
      </c>
      <c r="F3" s="352">
        <v>5</v>
      </c>
      <c r="G3" s="352" t="s">
        <v>1841</v>
      </c>
      <c r="H3" s="353"/>
      <c r="I3" s="354"/>
      <c r="J3" s="353"/>
      <c r="K3" s="352"/>
      <c r="L3" s="352" t="s">
        <v>2131</v>
      </c>
      <c r="M3" s="352" t="s">
        <v>2106</v>
      </c>
      <c r="N3" s="356" t="s">
        <v>2175</v>
      </c>
      <c r="O3" s="352" t="str">
        <f t="shared" ref="O3:O34" ca="1" si="0">IF($H3&lt;&gt;"",IF($H3&lt;=TODAY(),"SI","NO"),"LIMBO")</f>
        <v>LIMBO</v>
      </c>
      <c r="P3" s="352"/>
      <c r="Q3" s="352"/>
      <c r="R3" s="352"/>
      <c r="S3" s="352" t="s">
        <v>2111</v>
      </c>
      <c r="T3" s="357"/>
      <c r="U3" s="357"/>
      <c r="V3" s="352"/>
      <c r="W3" s="352"/>
      <c r="X3" s="352"/>
      <c r="Y3" s="352"/>
      <c r="Z3" s="357"/>
      <c r="AA3" s="357"/>
      <c r="AB3" s="357"/>
      <c r="AC3" s="358">
        <v>45255</v>
      </c>
      <c r="AD3" s="358">
        <v>45216</v>
      </c>
      <c r="AE3" s="358">
        <v>45224</v>
      </c>
      <c r="AF3" s="359">
        <v>45262</v>
      </c>
      <c r="AG3" s="360" t="str">
        <f ca="1">IF(TEXT($AF4,"DD/MM/YYYY")=TEXT($C$1,"dd/mm/yyyy"),"DIASOL","DIANOSOL")</f>
        <v>DIANOSOL</v>
      </c>
      <c r="AH3" s="360"/>
      <c r="AI3" s="369" t="s">
        <v>2253</v>
      </c>
      <c r="AJ3" s="369"/>
    </row>
    <row r="4" spans="1:36" ht="51">
      <c r="A4" s="352">
        <v>2</v>
      </c>
      <c r="B4" s="353">
        <v>45216</v>
      </c>
      <c r="C4" s="352"/>
      <c r="D4" s="352" t="s">
        <v>2109</v>
      </c>
      <c r="E4" s="361" t="s">
        <v>2232</v>
      </c>
      <c r="F4" s="352">
        <v>3</v>
      </c>
      <c r="G4" s="352" t="s">
        <v>32</v>
      </c>
      <c r="H4" s="353"/>
      <c r="I4" s="354"/>
      <c r="J4" s="353"/>
      <c r="K4" s="352"/>
      <c r="L4" s="352" t="s">
        <v>2110</v>
      </c>
      <c r="M4" s="352"/>
      <c r="N4" s="352"/>
      <c r="O4" s="352" t="str">
        <f t="shared" ca="1" si="0"/>
        <v>LIMBO</v>
      </c>
      <c r="P4" s="352"/>
      <c r="Q4" s="352"/>
      <c r="R4" s="352"/>
      <c r="S4" s="352" t="s">
        <v>2111</v>
      </c>
      <c r="T4" s="357"/>
      <c r="U4" s="357"/>
      <c r="V4" s="352"/>
      <c r="W4" s="352"/>
      <c r="X4" s="352"/>
      <c r="Y4" s="352"/>
      <c r="Z4" s="357"/>
      <c r="AA4" s="357"/>
      <c r="AB4" s="357"/>
      <c r="AC4" s="362">
        <v>45217</v>
      </c>
      <c r="AD4" s="362">
        <v>45218</v>
      </c>
      <c r="AE4" s="362">
        <v>45216</v>
      </c>
      <c r="AF4" s="363">
        <v>45225</v>
      </c>
      <c r="AG4" s="364" t="str">
        <f ca="1">IF(TEXT($AF4,"DD/MM/YYYY")=TEXT($C$1,"dd/mm/yyyy"),"DIASOL","DIANOSOL")</f>
        <v>DIANOSOL</v>
      </c>
      <c r="AH4" s="368"/>
      <c r="AI4" s="365" t="s">
        <v>2254</v>
      </c>
      <c r="AJ4" s="369"/>
    </row>
    <row r="5" spans="1:36" ht="51">
      <c r="A5" s="352">
        <v>3</v>
      </c>
      <c r="B5" s="353">
        <v>45216</v>
      </c>
      <c r="C5" s="352"/>
      <c r="D5" s="352" t="s">
        <v>863</v>
      </c>
      <c r="E5" s="355" t="s">
        <v>2230</v>
      </c>
      <c r="F5" s="352">
        <v>4</v>
      </c>
      <c r="G5" s="352" t="s">
        <v>1839</v>
      </c>
      <c r="H5" s="353"/>
      <c r="I5" s="354"/>
      <c r="J5" s="353"/>
      <c r="K5" s="352"/>
      <c r="L5" s="352" t="s">
        <v>2121</v>
      </c>
      <c r="M5" s="352" t="s">
        <v>2105</v>
      </c>
      <c r="N5" s="352"/>
      <c r="O5" s="352" t="str">
        <f t="shared" ca="1" si="0"/>
        <v>LIMBO</v>
      </c>
      <c r="P5" s="352"/>
      <c r="Q5" s="352"/>
      <c r="R5" s="352"/>
      <c r="S5" s="352" t="s">
        <v>2111</v>
      </c>
      <c r="T5" s="357"/>
      <c r="U5" s="357"/>
      <c r="V5" s="352"/>
      <c r="W5" s="352"/>
      <c r="X5" s="352"/>
      <c r="Y5" s="352"/>
      <c r="Z5" s="357"/>
      <c r="AA5" s="357"/>
      <c r="AB5" s="357"/>
      <c r="AC5" s="353">
        <v>31705</v>
      </c>
      <c r="AD5" s="362">
        <v>25567</v>
      </c>
      <c r="AE5" s="362">
        <v>36818</v>
      </c>
      <c r="AF5" s="366">
        <v>36825</v>
      </c>
      <c r="AG5" s="360" t="str">
        <f t="shared" ref="AG5:AG17" ca="1" si="1">IF(TEXT($AF6,"DD/MM/YYYY")=TEXT($C$1,"dd/mm/yyyy"),"DIASOL","DIANOSOL")</f>
        <v>DIANOSOL</v>
      </c>
      <c r="AH5" s="360"/>
      <c r="AI5" s="360" t="s">
        <v>2254</v>
      </c>
      <c r="AJ5" s="360"/>
    </row>
    <row r="6" spans="1:36" ht="76.5">
      <c r="A6" s="216">
        <v>4</v>
      </c>
      <c r="B6" s="338">
        <v>45216</v>
      </c>
      <c r="C6" s="339">
        <v>0.51736111111111105</v>
      </c>
      <c r="D6" s="324" t="s">
        <v>2137</v>
      </c>
      <c r="E6" s="347" t="s">
        <v>2228</v>
      </c>
      <c r="F6" s="324">
        <v>1</v>
      </c>
      <c r="G6" s="324" t="s">
        <v>21</v>
      </c>
      <c r="H6" s="338"/>
      <c r="I6" s="339"/>
      <c r="J6" s="338"/>
      <c r="K6" s="324"/>
      <c r="L6" s="324" t="s">
        <v>592</v>
      </c>
      <c r="M6" s="324" t="s">
        <v>530</v>
      </c>
      <c r="N6" s="324" t="s">
        <v>2229</v>
      </c>
      <c r="O6" s="324" t="str">
        <f t="shared" ca="1" si="0"/>
        <v>LIMBO</v>
      </c>
      <c r="P6" s="324"/>
      <c r="Q6" s="324"/>
      <c r="R6" s="324"/>
      <c r="S6" s="324" t="s">
        <v>2111</v>
      </c>
      <c r="T6" s="335"/>
      <c r="U6" s="335"/>
      <c r="V6" s="324"/>
      <c r="W6" s="324"/>
      <c r="X6" s="324"/>
      <c r="Y6" s="324"/>
      <c r="Z6" s="335"/>
      <c r="AA6" s="335"/>
      <c r="AB6" s="335"/>
      <c r="AC6" s="334"/>
      <c r="AD6" s="334"/>
      <c r="AE6" s="334"/>
      <c r="AF6" s="337">
        <f t="shared" ref="AF6:AF17" si="2">MAX($AC6,$AE6)+7</f>
        <v>7</v>
      </c>
      <c r="AG6" s="336" t="str">
        <f t="shared" ca="1" si="1"/>
        <v>DIANOSOL</v>
      </c>
      <c r="AH6" s="336"/>
      <c r="AI6" s="336" t="s">
        <v>2162</v>
      </c>
    </row>
    <row r="7" spans="1:36" s="84" customFormat="1" ht="39.950000000000003" customHeight="1">
      <c r="A7" s="216">
        <v>5</v>
      </c>
      <c r="B7" s="288">
        <v>45216</v>
      </c>
      <c r="C7" s="319">
        <v>0.44930555555555557</v>
      </c>
      <c r="D7" s="216" t="s">
        <v>1531</v>
      </c>
      <c r="E7" s="344" t="s">
        <v>2138</v>
      </c>
      <c r="F7" s="216">
        <v>8</v>
      </c>
      <c r="G7" s="216" t="s">
        <v>21</v>
      </c>
      <c r="H7" s="288"/>
      <c r="I7" s="319"/>
      <c r="J7" s="288"/>
      <c r="K7" s="216"/>
      <c r="L7" s="216" t="s">
        <v>781</v>
      </c>
      <c r="M7" s="216" t="s">
        <v>569</v>
      </c>
      <c r="N7" s="216" t="s">
        <v>2150</v>
      </c>
      <c r="O7" s="216" t="str">
        <f t="shared" ca="1" si="0"/>
        <v>LIMBO</v>
      </c>
      <c r="P7" s="216"/>
      <c r="Q7" s="216"/>
      <c r="R7" s="216"/>
      <c r="S7" s="216"/>
      <c r="T7" s="320"/>
      <c r="U7" s="320"/>
      <c r="V7" s="216"/>
      <c r="W7" s="216"/>
      <c r="X7" s="216"/>
      <c r="Y7" s="216"/>
      <c r="Z7" s="321"/>
      <c r="AA7" s="321"/>
      <c r="AB7" s="321"/>
      <c r="AC7" s="322"/>
      <c r="AD7" s="66"/>
      <c r="AE7" s="66"/>
      <c r="AF7" s="315">
        <f t="shared" si="2"/>
        <v>7</v>
      </c>
      <c r="AG7" s="1" t="str">
        <f t="shared" ca="1" si="1"/>
        <v>DIANOSOL</v>
      </c>
      <c r="AH7" s="317"/>
      <c r="AI7" s="317"/>
    </row>
    <row r="8" spans="1:36" s="84" customFormat="1" ht="39.950000000000003" customHeight="1">
      <c r="A8" s="216">
        <v>6</v>
      </c>
      <c r="B8" s="288">
        <v>45217</v>
      </c>
      <c r="C8" s="319" t="s">
        <v>2112</v>
      </c>
      <c r="D8" s="216" t="s">
        <v>2113</v>
      </c>
      <c r="E8" s="346" t="s">
        <v>2194</v>
      </c>
      <c r="F8" s="216">
        <v>1</v>
      </c>
      <c r="G8" s="216" t="s">
        <v>32</v>
      </c>
      <c r="H8" s="288"/>
      <c r="I8" s="319"/>
      <c r="J8" s="288"/>
      <c r="K8" s="216"/>
      <c r="L8" s="216" t="s">
        <v>2114</v>
      </c>
      <c r="M8" s="323" t="s">
        <v>794</v>
      </c>
      <c r="N8" s="216"/>
      <c r="O8" s="216" t="str">
        <f t="shared" ca="1" si="0"/>
        <v>LIMBO</v>
      </c>
      <c r="P8" s="216"/>
      <c r="Q8" s="216"/>
      <c r="R8" s="216"/>
      <c r="S8" s="319"/>
      <c r="T8" s="320"/>
      <c r="U8" s="320"/>
      <c r="V8" s="216"/>
      <c r="W8" s="319"/>
      <c r="X8" s="216"/>
      <c r="Y8" s="216"/>
      <c r="Z8" s="321"/>
      <c r="AA8" s="321"/>
      <c r="AB8" s="321"/>
      <c r="AC8" s="322"/>
      <c r="AD8" s="66"/>
      <c r="AE8" s="66"/>
      <c r="AF8" s="315">
        <f t="shared" si="2"/>
        <v>7</v>
      </c>
      <c r="AG8" s="1" t="str">
        <f t="shared" ca="1" si="1"/>
        <v>DIANOSOL</v>
      </c>
      <c r="AI8" s="84" t="s">
        <v>2162</v>
      </c>
    </row>
    <row r="9" spans="1:36" s="84" customFormat="1" ht="39.950000000000003" customHeight="1">
      <c r="A9" s="216">
        <v>7</v>
      </c>
      <c r="B9" s="288">
        <v>45217</v>
      </c>
      <c r="C9" s="319" t="s">
        <v>2115</v>
      </c>
      <c r="D9" s="216" t="s">
        <v>2116</v>
      </c>
      <c r="E9" s="346" t="s">
        <v>2198</v>
      </c>
      <c r="F9" s="216">
        <v>1</v>
      </c>
      <c r="G9" s="216" t="s">
        <v>32</v>
      </c>
      <c r="H9" s="288"/>
      <c r="I9" s="319"/>
      <c r="J9" s="288"/>
      <c r="K9" s="216"/>
      <c r="L9" s="216" t="s">
        <v>2117</v>
      </c>
      <c r="M9" s="216" t="s">
        <v>1005</v>
      </c>
      <c r="N9" s="216"/>
      <c r="O9" s="216" t="str">
        <f t="shared" ca="1" si="0"/>
        <v>LIMBO</v>
      </c>
      <c r="P9" s="216"/>
      <c r="Q9" s="216"/>
      <c r="R9" s="216"/>
      <c r="S9" s="216"/>
      <c r="T9" s="320"/>
      <c r="U9" s="320"/>
      <c r="V9" s="216"/>
      <c r="W9" s="216"/>
      <c r="X9" s="216"/>
      <c r="Y9" s="216"/>
      <c r="Z9" s="321"/>
      <c r="AA9" s="321"/>
      <c r="AB9" s="321"/>
      <c r="AC9" s="322"/>
      <c r="AD9" s="66"/>
      <c r="AE9" s="66"/>
      <c r="AF9" s="315">
        <f t="shared" si="2"/>
        <v>7</v>
      </c>
      <c r="AG9" s="1" t="str">
        <f t="shared" ca="1" si="1"/>
        <v>DIANOSOL</v>
      </c>
      <c r="AI9" s="84" t="s">
        <v>2162</v>
      </c>
    </row>
    <row r="10" spans="1:36" s="84" customFormat="1" ht="39.950000000000003" customHeight="1">
      <c r="A10" s="152">
        <v>8</v>
      </c>
      <c r="B10" s="325">
        <v>45217</v>
      </c>
      <c r="C10" s="326" t="s">
        <v>2118</v>
      </c>
      <c r="D10" s="327" t="s">
        <v>2119</v>
      </c>
      <c r="E10" s="345" t="s">
        <v>2120</v>
      </c>
      <c r="F10" s="327">
        <v>1</v>
      </c>
      <c r="G10" s="327" t="s">
        <v>32</v>
      </c>
      <c r="H10" s="325"/>
      <c r="I10" s="326"/>
      <c r="J10" s="325"/>
      <c r="K10" s="327"/>
      <c r="L10" s="327" t="s">
        <v>592</v>
      </c>
      <c r="M10" s="327"/>
      <c r="N10" s="327"/>
      <c r="O10" s="327" t="str">
        <f t="shared" ca="1" si="0"/>
        <v>LIMBO</v>
      </c>
      <c r="P10" s="327"/>
      <c r="Q10" s="327"/>
      <c r="R10" s="327"/>
      <c r="S10" s="326"/>
      <c r="T10" s="328"/>
      <c r="U10" s="328"/>
      <c r="V10" s="327"/>
      <c r="W10" s="326"/>
      <c r="X10" s="327"/>
      <c r="Y10" s="327"/>
      <c r="Z10" s="329"/>
      <c r="AA10" s="329"/>
      <c r="AB10" s="329"/>
      <c r="AC10" s="330"/>
      <c r="AD10" s="189"/>
      <c r="AE10" s="189"/>
      <c r="AF10" s="316">
        <f t="shared" si="2"/>
        <v>7</v>
      </c>
      <c r="AG10" s="1" t="str">
        <f t="shared" ca="1" si="1"/>
        <v>DIANOSOL</v>
      </c>
    </row>
    <row r="11" spans="1:36" s="84" customFormat="1" ht="76.5">
      <c r="A11" s="216">
        <v>9</v>
      </c>
      <c r="B11" s="288">
        <v>45217</v>
      </c>
      <c r="C11" s="319" t="s">
        <v>2122</v>
      </c>
      <c r="D11" s="216" t="s">
        <v>2123</v>
      </c>
      <c r="E11" s="346" t="s">
        <v>2193</v>
      </c>
      <c r="F11" s="216">
        <v>1</v>
      </c>
      <c r="G11" s="216" t="s">
        <v>1839</v>
      </c>
      <c r="H11" s="288"/>
      <c r="I11" s="319"/>
      <c r="J11" s="288"/>
      <c r="K11" s="216"/>
      <c r="L11" s="216" t="s">
        <v>2124</v>
      </c>
      <c r="M11" s="216" t="s">
        <v>976</v>
      </c>
      <c r="N11" s="216" t="s">
        <v>2188</v>
      </c>
      <c r="O11" s="216" t="str">
        <f t="shared" ca="1" si="0"/>
        <v>LIMBO</v>
      </c>
      <c r="P11" s="216"/>
      <c r="Q11" s="216"/>
      <c r="R11" s="216"/>
      <c r="S11" s="319"/>
      <c r="T11" s="320"/>
      <c r="U11" s="320"/>
      <c r="V11" s="216"/>
      <c r="W11" s="319"/>
      <c r="X11" s="216"/>
      <c r="Y11" s="216"/>
      <c r="Z11" s="321"/>
      <c r="AA11" s="321"/>
      <c r="AB11" s="321"/>
      <c r="AC11" s="322"/>
      <c r="AD11" s="66"/>
      <c r="AE11" s="66"/>
      <c r="AF11" s="315">
        <f t="shared" si="2"/>
        <v>7</v>
      </c>
      <c r="AG11" s="1" t="str">
        <f t="shared" ca="1" si="1"/>
        <v>DIANOSOL</v>
      </c>
      <c r="AI11" s="317" t="s">
        <v>2162</v>
      </c>
    </row>
    <row r="12" spans="1:36" s="84" customFormat="1" ht="39.950000000000003" customHeight="1">
      <c r="A12" s="216">
        <v>10</v>
      </c>
      <c r="B12" s="288">
        <v>45217</v>
      </c>
      <c r="C12" s="319" t="s">
        <v>2125</v>
      </c>
      <c r="D12" s="216" t="s">
        <v>2126</v>
      </c>
      <c r="E12" s="346" t="s">
        <v>2197</v>
      </c>
      <c r="F12" s="216">
        <v>1</v>
      </c>
      <c r="G12" s="216" t="s">
        <v>1839</v>
      </c>
      <c r="H12" s="288"/>
      <c r="I12" s="319"/>
      <c r="J12" s="288"/>
      <c r="K12" s="216"/>
      <c r="L12" s="216" t="s">
        <v>2127</v>
      </c>
      <c r="M12" s="216" t="s">
        <v>569</v>
      </c>
      <c r="N12" s="216"/>
      <c r="O12" s="216" t="str">
        <f t="shared" ca="1" si="0"/>
        <v>LIMBO</v>
      </c>
      <c r="P12" s="216"/>
      <c r="Q12" s="216"/>
      <c r="R12" s="216"/>
      <c r="S12" s="216"/>
      <c r="T12" s="320"/>
      <c r="U12" s="320"/>
      <c r="V12" s="216"/>
      <c r="W12" s="216"/>
      <c r="X12" s="216"/>
      <c r="Y12" s="216"/>
      <c r="Z12" s="321"/>
      <c r="AA12" s="321"/>
      <c r="AB12" s="321"/>
      <c r="AC12" s="322"/>
      <c r="AD12" s="66"/>
      <c r="AE12" s="66"/>
      <c r="AF12" s="315">
        <f t="shared" si="2"/>
        <v>7</v>
      </c>
      <c r="AG12" s="1" t="str">
        <f t="shared" ca="1" si="1"/>
        <v>DIANOSOL</v>
      </c>
      <c r="AI12" s="84" t="s">
        <v>2162</v>
      </c>
    </row>
    <row r="13" spans="1:36" s="84" customFormat="1" ht="39.950000000000003" customHeight="1">
      <c r="A13" s="216">
        <v>11</v>
      </c>
      <c r="B13" s="338">
        <v>45217</v>
      </c>
      <c r="C13" s="339">
        <v>0.46180555555555558</v>
      </c>
      <c r="D13" s="324" t="s">
        <v>951</v>
      </c>
      <c r="E13" s="347" t="s">
        <v>2201</v>
      </c>
      <c r="F13" s="324">
        <v>4</v>
      </c>
      <c r="G13" s="324" t="s">
        <v>1839</v>
      </c>
      <c r="H13" s="338"/>
      <c r="I13" s="339"/>
      <c r="J13" s="338"/>
      <c r="K13" s="324"/>
      <c r="L13" s="324" t="s">
        <v>2128</v>
      </c>
      <c r="M13" s="324" t="s">
        <v>2129</v>
      </c>
      <c r="N13" s="324" t="s">
        <v>2189</v>
      </c>
      <c r="O13" s="324" t="str">
        <f t="shared" ca="1" si="0"/>
        <v>LIMBO</v>
      </c>
      <c r="P13" s="324"/>
      <c r="Q13" s="324"/>
      <c r="R13" s="324"/>
      <c r="S13" s="339"/>
      <c r="T13" s="335"/>
      <c r="U13" s="335"/>
      <c r="V13" s="324"/>
      <c r="W13" s="339"/>
      <c r="X13" s="324"/>
      <c r="Y13" s="324"/>
      <c r="Z13" s="340"/>
      <c r="AA13" s="340"/>
      <c r="AB13" s="340"/>
      <c r="AC13" s="334"/>
      <c r="AD13" s="334"/>
      <c r="AE13" s="334"/>
      <c r="AF13" s="337">
        <f t="shared" si="2"/>
        <v>7</v>
      </c>
      <c r="AG13" s="336" t="str">
        <f t="shared" ca="1" si="1"/>
        <v>DIANOSOL</v>
      </c>
      <c r="AI13" s="336" t="s">
        <v>2162</v>
      </c>
    </row>
    <row r="14" spans="1:36" s="84" customFormat="1" ht="39.950000000000003" customHeight="1">
      <c r="A14" s="216">
        <v>12</v>
      </c>
      <c r="B14" s="288">
        <v>45217</v>
      </c>
      <c r="C14" s="319" t="s">
        <v>2132</v>
      </c>
      <c r="D14" s="216" t="s">
        <v>2133</v>
      </c>
      <c r="E14" s="346" t="s">
        <v>2199</v>
      </c>
      <c r="F14" s="216">
        <v>1</v>
      </c>
      <c r="G14" s="216" t="s">
        <v>1841</v>
      </c>
      <c r="H14" s="288"/>
      <c r="I14" s="319"/>
      <c r="J14" s="288"/>
      <c r="K14" s="216"/>
      <c r="L14" s="216" t="s">
        <v>2134</v>
      </c>
      <c r="M14" s="216" t="s">
        <v>794</v>
      </c>
      <c r="N14" s="216"/>
      <c r="O14" s="216" t="str">
        <f t="shared" ca="1" si="0"/>
        <v>LIMBO</v>
      </c>
      <c r="P14" s="216"/>
      <c r="Q14" s="216"/>
      <c r="R14" s="216"/>
      <c r="S14" s="216"/>
      <c r="T14" s="320"/>
      <c r="U14" s="320"/>
      <c r="V14" s="216"/>
      <c r="W14" s="216"/>
      <c r="X14" s="216"/>
      <c r="Y14" s="216"/>
      <c r="Z14" s="321"/>
      <c r="AA14" s="321"/>
      <c r="AB14" s="321"/>
      <c r="AC14" s="322"/>
      <c r="AD14" s="66"/>
      <c r="AE14" s="66"/>
      <c r="AF14" s="315">
        <f t="shared" si="2"/>
        <v>7</v>
      </c>
      <c r="AG14" s="1" t="str">
        <f t="shared" ca="1" si="1"/>
        <v>DIANOSOL</v>
      </c>
      <c r="AI14" s="317" t="s">
        <v>2162</v>
      </c>
    </row>
    <row r="15" spans="1:36" s="84" customFormat="1" ht="39.950000000000003" customHeight="1">
      <c r="A15" s="216">
        <v>13</v>
      </c>
      <c r="B15" s="288">
        <v>45217</v>
      </c>
      <c r="C15" s="319" t="s">
        <v>2135</v>
      </c>
      <c r="D15" s="216" t="s">
        <v>2136</v>
      </c>
      <c r="E15" s="346" t="s">
        <v>2195</v>
      </c>
      <c r="F15" s="216">
        <v>1</v>
      </c>
      <c r="G15" s="216" t="s">
        <v>1841</v>
      </c>
      <c r="H15" s="288"/>
      <c r="I15" s="319"/>
      <c r="J15" s="288"/>
      <c r="K15" s="216"/>
      <c r="L15" s="216" t="s">
        <v>2134</v>
      </c>
      <c r="M15" s="216" t="s">
        <v>2177</v>
      </c>
      <c r="N15" s="216"/>
      <c r="O15" s="216" t="str">
        <f t="shared" ca="1" si="0"/>
        <v>LIMBO</v>
      </c>
      <c r="P15" s="216"/>
      <c r="Q15" s="216"/>
      <c r="R15" s="216"/>
      <c r="S15" s="319"/>
      <c r="T15" s="320"/>
      <c r="U15" s="320"/>
      <c r="V15" s="216"/>
      <c r="W15" s="319"/>
      <c r="X15" s="216"/>
      <c r="Y15" s="216"/>
      <c r="Z15" s="321"/>
      <c r="AA15" s="321"/>
      <c r="AB15" s="321"/>
      <c r="AC15" s="322"/>
      <c r="AD15" s="322"/>
      <c r="AE15" s="322"/>
      <c r="AF15" s="341">
        <f t="shared" si="2"/>
        <v>7</v>
      </c>
      <c r="AG15" s="336" t="str">
        <f t="shared" ca="1" si="1"/>
        <v>DIANOSOL</v>
      </c>
      <c r="AH15" s="336"/>
      <c r="AI15" s="336" t="s">
        <v>2162</v>
      </c>
    </row>
    <row r="16" spans="1:36" s="84" customFormat="1" ht="39.950000000000003" customHeight="1">
      <c r="A16" s="216">
        <v>14</v>
      </c>
      <c r="B16" s="288">
        <v>45217</v>
      </c>
      <c r="C16" s="319" t="s">
        <v>2139</v>
      </c>
      <c r="D16" s="216" t="s">
        <v>2140</v>
      </c>
      <c r="E16" s="346" t="s">
        <v>2196</v>
      </c>
      <c r="F16" s="216">
        <v>1</v>
      </c>
      <c r="G16" s="216" t="s">
        <v>21</v>
      </c>
      <c r="H16" s="288"/>
      <c r="I16" s="319"/>
      <c r="J16" s="288"/>
      <c r="K16" s="216"/>
      <c r="L16" s="216" t="s">
        <v>2141</v>
      </c>
      <c r="M16" s="216"/>
      <c r="N16" s="216" t="s">
        <v>2149</v>
      </c>
      <c r="O16" s="216" t="str">
        <f t="shared" ca="1" si="0"/>
        <v>LIMBO</v>
      </c>
      <c r="P16" s="216"/>
      <c r="Q16" s="216"/>
      <c r="R16" s="216"/>
      <c r="S16" s="319"/>
      <c r="T16" s="320"/>
      <c r="U16" s="320"/>
      <c r="V16" s="216"/>
      <c r="W16" s="319"/>
      <c r="X16" s="216"/>
      <c r="Y16" s="216"/>
      <c r="Z16" s="321"/>
      <c r="AA16" s="321"/>
      <c r="AB16" s="321"/>
      <c r="AC16" s="322"/>
      <c r="AD16" s="66"/>
      <c r="AE16" s="66"/>
      <c r="AF16" s="315">
        <f t="shared" si="2"/>
        <v>7</v>
      </c>
      <c r="AG16" s="1" t="str">
        <f t="shared" ca="1" si="1"/>
        <v>DIANOSOL</v>
      </c>
      <c r="AI16" s="84" t="s">
        <v>2162</v>
      </c>
    </row>
    <row r="17" spans="1:35" s="84" customFormat="1" ht="39.950000000000003" customHeight="1">
      <c r="A17" s="216">
        <v>15</v>
      </c>
      <c r="B17" s="288">
        <v>45217</v>
      </c>
      <c r="C17" s="319">
        <v>0.50763888888888886</v>
      </c>
      <c r="D17" s="216" t="s">
        <v>2142</v>
      </c>
      <c r="E17" s="346" t="s">
        <v>2200</v>
      </c>
      <c r="F17" s="216">
        <v>5</v>
      </c>
      <c r="G17" s="216" t="s">
        <v>21</v>
      </c>
      <c r="H17" s="288"/>
      <c r="I17" s="319"/>
      <c r="J17" s="288"/>
      <c r="K17" s="216"/>
      <c r="L17" s="216" t="s">
        <v>2143</v>
      </c>
      <c r="M17" s="216" t="s">
        <v>2144</v>
      </c>
      <c r="N17" s="216"/>
      <c r="O17" s="216" t="str">
        <f t="shared" ca="1" si="0"/>
        <v>LIMBO</v>
      </c>
      <c r="P17" s="216"/>
      <c r="Q17" s="216"/>
      <c r="R17" s="216"/>
      <c r="S17" s="216"/>
      <c r="T17" s="320"/>
      <c r="U17" s="320"/>
      <c r="V17" s="216"/>
      <c r="W17" s="216"/>
      <c r="X17" s="216" t="s">
        <v>2219</v>
      </c>
      <c r="Y17" s="216"/>
      <c r="Z17" s="321"/>
      <c r="AA17" s="321"/>
      <c r="AB17" s="321"/>
      <c r="AC17" s="322"/>
      <c r="AD17" s="189"/>
      <c r="AE17" s="189"/>
      <c r="AF17" s="316">
        <f t="shared" si="2"/>
        <v>7</v>
      </c>
      <c r="AG17" s="1" t="str">
        <f t="shared" ca="1" si="1"/>
        <v>DIASOL</v>
      </c>
      <c r="AI17" s="84" t="s">
        <v>2162</v>
      </c>
    </row>
    <row r="18" spans="1:35" ht="39.950000000000003" customHeight="1">
      <c r="A18" s="331">
        <v>16</v>
      </c>
      <c r="B18" s="322">
        <v>45218</v>
      </c>
      <c r="C18" s="216" t="s">
        <v>2151</v>
      </c>
      <c r="D18" s="216" t="s">
        <v>2152</v>
      </c>
      <c r="E18" s="344" t="s">
        <v>2160</v>
      </c>
      <c r="F18" s="331">
        <v>1</v>
      </c>
      <c r="G18" s="331" t="s">
        <v>1841</v>
      </c>
      <c r="H18" s="322"/>
      <c r="I18" s="322"/>
      <c r="J18" s="322"/>
      <c r="K18" s="331"/>
      <c r="L18" s="216" t="s">
        <v>469</v>
      </c>
      <c r="M18" s="216" t="s">
        <v>1366</v>
      </c>
      <c r="N18" s="324" t="s">
        <v>2220</v>
      </c>
      <c r="O18" s="216" t="str">
        <f t="shared" ca="1" si="0"/>
        <v>LIMBO</v>
      </c>
      <c r="P18" s="216"/>
      <c r="Q18" s="216" t="s">
        <v>709</v>
      </c>
      <c r="R18" s="216"/>
      <c r="S18" s="216"/>
      <c r="T18" s="320"/>
      <c r="U18" s="320"/>
      <c r="V18" s="331"/>
      <c r="W18" s="331"/>
      <c r="X18" s="331"/>
      <c r="Y18" s="331"/>
      <c r="Z18" s="331"/>
      <c r="AA18" s="331"/>
      <c r="AB18" s="331"/>
      <c r="AC18" s="331"/>
    </row>
    <row r="19" spans="1:35" ht="39.950000000000003" customHeight="1">
      <c r="A19" s="331">
        <v>17</v>
      </c>
      <c r="B19" s="322">
        <v>45217</v>
      </c>
      <c r="C19" s="332">
        <v>0.46458333333333335</v>
      </c>
      <c r="D19" s="216" t="s">
        <v>785</v>
      </c>
      <c r="E19" s="346" t="s">
        <v>2203</v>
      </c>
      <c r="F19" s="331">
        <v>4</v>
      </c>
      <c r="G19" s="331" t="s">
        <v>1839</v>
      </c>
      <c r="H19" s="322"/>
      <c r="I19" s="322"/>
      <c r="J19" s="322"/>
      <c r="K19" s="331"/>
      <c r="L19" s="216" t="s">
        <v>599</v>
      </c>
      <c r="M19" s="216" t="s">
        <v>519</v>
      </c>
      <c r="N19" s="216" t="s">
        <v>2155</v>
      </c>
      <c r="O19" s="216" t="str">
        <f t="shared" ca="1" si="0"/>
        <v>LIMBO</v>
      </c>
      <c r="P19" s="216"/>
      <c r="Q19" s="216" t="s">
        <v>709</v>
      </c>
      <c r="R19" s="216"/>
      <c r="S19" s="216"/>
      <c r="T19" s="320"/>
      <c r="U19" s="320"/>
      <c r="V19" s="331"/>
      <c r="W19" s="331"/>
      <c r="X19" s="331"/>
      <c r="Y19" s="331"/>
      <c r="Z19" s="331"/>
      <c r="AA19" s="331"/>
      <c r="AB19" s="331"/>
      <c r="AC19" s="331"/>
      <c r="AI19" s="1" t="s">
        <v>2162</v>
      </c>
    </row>
    <row r="20" spans="1:35" ht="39.950000000000003" customHeight="1">
      <c r="A20" s="331">
        <v>18</v>
      </c>
      <c r="B20" s="322">
        <v>45217</v>
      </c>
      <c r="C20" s="331"/>
      <c r="D20" s="216" t="s">
        <v>1607</v>
      </c>
      <c r="E20" s="346" t="s">
        <v>2204</v>
      </c>
      <c r="F20" s="331">
        <v>4</v>
      </c>
      <c r="G20" s="216" t="s">
        <v>32</v>
      </c>
      <c r="H20" s="322"/>
      <c r="I20" s="322"/>
      <c r="J20" s="322"/>
      <c r="K20" s="331"/>
      <c r="L20" s="216"/>
      <c r="M20" s="216" t="s">
        <v>1005</v>
      </c>
      <c r="N20" s="216" t="s">
        <v>2156</v>
      </c>
      <c r="O20" s="216" t="str">
        <f t="shared" ca="1" si="0"/>
        <v>LIMBO</v>
      </c>
      <c r="P20" s="216"/>
      <c r="Q20" s="216" t="s">
        <v>709</v>
      </c>
      <c r="R20" s="216"/>
      <c r="S20" s="216"/>
      <c r="T20" s="320"/>
      <c r="U20" s="320"/>
      <c r="V20" s="331"/>
      <c r="W20" s="331"/>
      <c r="X20" s="331"/>
      <c r="Y20" s="331"/>
      <c r="Z20" s="331"/>
      <c r="AA20" s="331"/>
      <c r="AB20" s="331"/>
      <c r="AC20" s="331"/>
      <c r="AI20" s="1" t="s">
        <v>2162</v>
      </c>
    </row>
    <row r="21" spans="1:35" ht="39.950000000000003" customHeight="1">
      <c r="A21" s="331">
        <v>19</v>
      </c>
      <c r="B21" s="288">
        <v>45217</v>
      </c>
      <c r="C21" s="332">
        <v>0.54999999999999993</v>
      </c>
      <c r="D21" s="216" t="s">
        <v>1712</v>
      </c>
      <c r="E21" s="344" t="s">
        <v>2157</v>
      </c>
      <c r="F21" s="331">
        <v>7</v>
      </c>
      <c r="G21" s="331" t="s">
        <v>1841</v>
      </c>
      <c r="H21" s="322"/>
      <c r="I21" s="322"/>
      <c r="J21" s="322"/>
      <c r="K21" s="331"/>
      <c r="L21" s="216" t="s">
        <v>586</v>
      </c>
      <c r="M21" s="216" t="s">
        <v>538</v>
      </c>
      <c r="N21" s="331"/>
      <c r="O21" s="216" t="str">
        <f t="shared" ca="1" si="0"/>
        <v>LIMBO</v>
      </c>
      <c r="P21" s="216"/>
      <c r="Q21" s="216" t="s">
        <v>709</v>
      </c>
      <c r="R21" s="216"/>
      <c r="S21" s="216"/>
      <c r="T21" s="320"/>
      <c r="U21" s="320"/>
      <c r="V21" s="331"/>
      <c r="W21" s="331"/>
      <c r="X21" s="331"/>
      <c r="Y21" s="331"/>
      <c r="Z21" s="331"/>
      <c r="AA21" s="331"/>
      <c r="AB21" s="331"/>
      <c r="AC21" s="331"/>
    </row>
    <row r="22" spans="1:35" ht="39.950000000000003" customHeight="1">
      <c r="A22" s="331">
        <v>20</v>
      </c>
      <c r="B22" s="322">
        <v>45217</v>
      </c>
      <c r="C22" s="332">
        <v>0.55208333333333337</v>
      </c>
      <c r="D22" s="216" t="s">
        <v>2158</v>
      </c>
      <c r="E22" s="346" t="s">
        <v>2202</v>
      </c>
      <c r="F22" s="331">
        <v>7</v>
      </c>
      <c r="G22" s="331" t="s">
        <v>32</v>
      </c>
      <c r="H22" s="322"/>
      <c r="I22" s="322"/>
      <c r="J22" s="322"/>
      <c r="K22" s="331"/>
      <c r="L22" s="216" t="s">
        <v>598</v>
      </c>
      <c r="M22" s="216" t="s">
        <v>1241</v>
      </c>
      <c r="N22" s="216" t="s">
        <v>2218</v>
      </c>
      <c r="O22" s="216" t="str">
        <f t="shared" ca="1" si="0"/>
        <v>LIMBO</v>
      </c>
      <c r="P22" s="216"/>
      <c r="Q22" s="216" t="s">
        <v>709</v>
      </c>
      <c r="R22" s="216"/>
      <c r="S22" s="216"/>
      <c r="T22" s="320"/>
      <c r="U22" s="320"/>
      <c r="V22" s="331"/>
      <c r="W22" s="331"/>
      <c r="X22" s="331"/>
      <c r="Y22" s="331"/>
      <c r="Z22" s="331"/>
      <c r="AA22" s="331"/>
      <c r="AB22" s="331"/>
      <c r="AC22" s="331"/>
      <c r="AI22" s="1" t="s">
        <v>2162</v>
      </c>
    </row>
    <row r="23" spans="1:35" ht="39.950000000000003" customHeight="1">
      <c r="A23" s="331">
        <v>21</v>
      </c>
      <c r="B23" s="322">
        <v>45217</v>
      </c>
      <c r="C23" s="332">
        <v>0.47569444444444442</v>
      </c>
      <c r="D23" s="216" t="s">
        <v>414</v>
      </c>
      <c r="E23" s="346" t="s">
        <v>2206</v>
      </c>
      <c r="F23" s="331">
        <v>4</v>
      </c>
      <c r="G23" s="331" t="s">
        <v>1839</v>
      </c>
      <c r="H23" s="322"/>
      <c r="I23" s="322"/>
      <c r="J23" s="322"/>
      <c r="K23" s="331"/>
      <c r="L23" s="216" t="s">
        <v>425</v>
      </c>
      <c r="M23" s="216" t="s">
        <v>511</v>
      </c>
      <c r="N23" s="216" t="s">
        <v>2159</v>
      </c>
      <c r="O23" s="216" t="str">
        <f t="shared" ca="1" si="0"/>
        <v>LIMBO</v>
      </c>
      <c r="P23" s="216"/>
      <c r="Q23" s="216" t="s">
        <v>709</v>
      </c>
      <c r="R23" s="216"/>
      <c r="S23" s="216"/>
      <c r="T23" s="320"/>
      <c r="U23" s="320"/>
      <c r="V23" s="331"/>
      <c r="W23" s="331"/>
      <c r="X23" s="331"/>
      <c r="Y23" s="331"/>
      <c r="Z23" s="331"/>
      <c r="AA23" s="331"/>
      <c r="AB23" s="331"/>
      <c r="AC23" s="331"/>
      <c r="AI23" s="1" t="s">
        <v>2162</v>
      </c>
    </row>
    <row r="24" spans="1:35" ht="39.950000000000003" customHeight="1">
      <c r="A24" s="331">
        <v>22</v>
      </c>
      <c r="B24" s="322">
        <v>45218</v>
      </c>
      <c r="C24" s="332">
        <v>0.42152777777777778</v>
      </c>
      <c r="D24" s="216" t="s">
        <v>1462</v>
      </c>
      <c r="E24" s="346" t="s">
        <v>2205</v>
      </c>
      <c r="F24" s="331">
        <v>2</v>
      </c>
      <c r="G24" s="331" t="s">
        <v>21</v>
      </c>
      <c r="H24" s="322"/>
      <c r="I24" s="322"/>
      <c r="J24" s="322"/>
      <c r="K24" s="331"/>
      <c r="L24" s="216" t="s">
        <v>599</v>
      </c>
      <c r="M24" s="216"/>
      <c r="N24" s="216" t="s">
        <v>2226</v>
      </c>
      <c r="O24" s="216" t="str">
        <f t="shared" ca="1" si="0"/>
        <v>LIMBO</v>
      </c>
      <c r="P24" s="216"/>
      <c r="Q24" s="216" t="s">
        <v>709</v>
      </c>
      <c r="R24" s="216"/>
      <c r="S24" s="216"/>
      <c r="T24" s="320"/>
      <c r="U24" s="320"/>
      <c r="V24" s="331"/>
      <c r="W24" s="331"/>
      <c r="X24" s="331"/>
      <c r="Y24" s="331"/>
      <c r="Z24" s="331"/>
      <c r="AA24" s="331"/>
      <c r="AB24" s="331"/>
      <c r="AC24" s="331"/>
      <c r="AD24" s="336"/>
      <c r="AE24" s="336"/>
      <c r="AF24" s="336"/>
      <c r="AG24" s="336"/>
      <c r="AH24" s="336"/>
      <c r="AI24" s="336" t="s">
        <v>2162</v>
      </c>
    </row>
    <row r="25" spans="1:35" ht="39.950000000000003" customHeight="1">
      <c r="A25" s="331">
        <v>23</v>
      </c>
      <c r="B25" s="322">
        <v>45218</v>
      </c>
      <c r="C25" s="332">
        <v>0.42152777777777778</v>
      </c>
      <c r="D25" s="216" t="s">
        <v>1012</v>
      </c>
      <c r="E25" s="346" t="s">
        <v>2207</v>
      </c>
      <c r="F25" s="331">
        <v>2</v>
      </c>
      <c r="G25" s="331" t="s">
        <v>32</v>
      </c>
      <c r="H25" s="322"/>
      <c r="I25" s="322"/>
      <c r="J25" s="322"/>
      <c r="K25" s="331"/>
      <c r="L25" s="216" t="s">
        <v>584</v>
      </c>
      <c r="M25" s="216" t="s">
        <v>510</v>
      </c>
      <c r="N25" s="216" t="s">
        <v>2167</v>
      </c>
      <c r="O25" s="216" t="str">
        <f t="shared" ca="1" si="0"/>
        <v>LIMBO</v>
      </c>
      <c r="P25" s="216"/>
      <c r="Q25" s="216" t="s">
        <v>709</v>
      </c>
      <c r="R25" s="216"/>
      <c r="S25" s="216"/>
      <c r="T25" s="320"/>
      <c r="U25" s="320"/>
      <c r="V25" s="331"/>
      <c r="W25" s="331"/>
      <c r="X25" s="331"/>
      <c r="Y25" s="331"/>
      <c r="Z25" s="331"/>
      <c r="AA25" s="331"/>
      <c r="AB25" s="331"/>
      <c r="AC25" s="331"/>
      <c r="AI25" s="1" t="s">
        <v>2162</v>
      </c>
    </row>
    <row r="26" spans="1:35" ht="39.950000000000003" customHeight="1">
      <c r="A26" s="331">
        <v>24</v>
      </c>
      <c r="B26" s="322">
        <v>45218</v>
      </c>
      <c r="C26" s="319">
        <v>0.41736111111111113</v>
      </c>
      <c r="D26" s="216" t="s">
        <v>2161</v>
      </c>
      <c r="E26" s="346" t="s">
        <v>2208</v>
      </c>
      <c r="F26" s="331">
        <v>2</v>
      </c>
      <c r="G26" s="331" t="s">
        <v>1841</v>
      </c>
      <c r="H26" s="322"/>
      <c r="I26" s="322"/>
      <c r="J26" s="322"/>
      <c r="K26" s="331"/>
      <c r="L26" s="216" t="s">
        <v>592</v>
      </c>
      <c r="M26" s="216" t="s">
        <v>510</v>
      </c>
      <c r="N26" s="324" t="s">
        <v>2190</v>
      </c>
      <c r="O26" s="216" t="str">
        <f t="shared" ca="1" si="0"/>
        <v>LIMBO</v>
      </c>
      <c r="P26" s="216"/>
      <c r="Q26" s="216" t="s">
        <v>709</v>
      </c>
      <c r="R26" s="216"/>
      <c r="S26" s="216"/>
      <c r="T26" s="320"/>
      <c r="U26" s="320"/>
      <c r="V26" s="331"/>
      <c r="W26" s="331"/>
      <c r="X26" s="331"/>
      <c r="Y26" s="331"/>
      <c r="Z26" s="331"/>
      <c r="AA26" s="331"/>
      <c r="AB26" s="331"/>
      <c r="AC26" s="331"/>
      <c r="AI26" s="3" t="s">
        <v>2162</v>
      </c>
    </row>
    <row r="27" spans="1:35" ht="39.950000000000003" customHeight="1">
      <c r="A27" s="331">
        <v>25</v>
      </c>
      <c r="B27" s="322"/>
      <c r="C27" s="331"/>
      <c r="D27" s="216" t="s">
        <v>2165</v>
      </c>
      <c r="E27" s="344" t="s">
        <v>2166</v>
      </c>
      <c r="F27" s="331">
        <v>3</v>
      </c>
      <c r="G27" s="331" t="s">
        <v>21</v>
      </c>
      <c r="H27" s="322"/>
      <c r="I27" s="322"/>
      <c r="J27" s="322"/>
      <c r="K27" s="331"/>
      <c r="L27" s="216" t="s">
        <v>167</v>
      </c>
      <c r="M27" s="216"/>
      <c r="N27" s="349" t="s">
        <v>2227</v>
      </c>
      <c r="O27" s="216" t="str">
        <f t="shared" ca="1" si="0"/>
        <v>LIMBO</v>
      </c>
      <c r="P27" s="216"/>
      <c r="Q27" s="216" t="s">
        <v>709</v>
      </c>
      <c r="R27" s="216"/>
      <c r="S27" s="216"/>
      <c r="T27" s="320"/>
      <c r="U27" s="320"/>
      <c r="V27" s="331"/>
      <c r="W27" s="331"/>
      <c r="X27" s="331"/>
      <c r="Y27" s="331"/>
      <c r="Z27" s="331"/>
      <c r="AA27" s="331"/>
      <c r="AB27" s="331"/>
      <c r="AC27" s="331"/>
      <c r="AD27" s="336"/>
      <c r="AE27" s="336"/>
      <c r="AF27" s="336"/>
      <c r="AG27" s="336"/>
      <c r="AH27" s="336"/>
      <c r="AI27" s="336"/>
    </row>
    <row r="28" spans="1:35" ht="39.950000000000003" customHeight="1">
      <c r="A28" s="331">
        <v>26</v>
      </c>
      <c r="B28" s="322">
        <v>45219</v>
      </c>
      <c r="C28" s="332">
        <v>0.42638888888888887</v>
      </c>
      <c r="D28" s="216" t="s">
        <v>2168</v>
      </c>
      <c r="E28" s="346" t="s">
        <v>2217</v>
      </c>
      <c r="F28" s="331">
        <v>1</v>
      </c>
      <c r="G28" s="331" t="s">
        <v>1839</v>
      </c>
      <c r="H28" s="322"/>
      <c r="I28" s="322"/>
      <c r="J28" s="322"/>
      <c r="K28" s="331"/>
      <c r="L28" s="216" t="s">
        <v>598</v>
      </c>
      <c r="M28" s="216" t="s">
        <v>2216</v>
      </c>
      <c r="N28" s="331"/>
      <c r="O28" s="216" t="str">
        <f t="shared" ca="1" si="0"/>
        <v>LIMBO</v>
      </c>
      <c r="P28" s="216"/>
      <c r="Q28" s="216" t="s">
        <v>709</v>
      </c>
      <c r="R28" s="216"/>
      <c r="S28" s="216"/>
      <c r="T28" s="320"/>
      <c r="U28" s="320"/>
      <c r="V28" s="331"/>
      <c r="W28" s="331"/>
      <c r="X28" s="331"/>
      <c r="Y28" s="331"/>
      <c r="Z28" s="331"/>
      <c r="AA28" s="331"/>
      <c r="AB28" s="331"/>
      <c r="AC28" s="331"/>
      <c r="AD28" s="336"/>
      <c r="AE28" s="336"/>
      <c r="AF28" s="336"/>
      <c r="AG28" s="336"/>
      <c r="AH28" s="336"/>
      <c r="AI28" s="336" t="s">
        <v>2162</v>
      </c>
    </row>
    <row r="29" spans="1:35" ht="39.950000000000003" customHeight="1">
      <c r="A29" s="331">
        <v>27</v>
      </c>
      <c r="B29" s="322">
        <v>45219</v>
      </c>
      <c r="C29" s="216" t="s">
        <v>2169</v>
      </c>
      <c r="D29" s="216" t="s">
        <v>2170</v>
      </c>
      <c r="E29" s="346" t="s">
        <v>2171</v>
      </c>
      <c r="F29" s="331"/>
      <c r="G29" s="331" t="s">
        <v>1841</v>
      </c>
      <c r="H29" s="322"/>
      <c r="I29" s="322"/>
      <c r="J29" s="322"/>
      <c r="K29" s="331"/>
      <c r="L29" s="216" t="s">
        <v>592</v>
      </c>
      <c r="M29" s="216" t="s">
        <v>510</v>
      </c>
      <c r="N29" s="216" t="s">
        <v>2191</v>
      </c>
      <c r="O29" s="216" t="str">
        <f t="shared" ca="1" si="0"/>
        <v>LIMBO</v>
      </c>
      <c r="P29" s="216"/>
      <c r="Q29" s="216" t="s">
        <v>709</v>
      </c>
      <c r="R29" s="216"/>
      <c r="S29" s="216"/>
      <c r="T29" s="320"/>
      <c r="U29" s="320"/>
      <c r="V29" s="331"/>
      <c r="W29" s="331"/>
      <c r="X29" s="331"/>
      <c r="Y29" s="331"/>
      <c r="Z29" s="331"/>
      <c r="AA29" s="331"/>
      <c r="AB29" s="331"/>
      <c r="AC29" s="331"/>
      <c r="AI29" s="1" t="s">
        <v>2162</v>
      </c>
    </row>
    <row r="30" spans="1:35" ht="39.950000000000003" customHeight="1">
      <c r="A30" s="331">
        <v>28</v>
      </c>
      <c r="B30" s="322">
        <v>45219</v>
      </c>
      <c r="C30" s="216" t="s">
        <v>2172</v>
      </c>
      <c r="D30" s="216" t="s">
        <v>2173</v>
      </c>
      <c r="E30" s="344" t="s">
        <v>2174</v>
      </c>
      <c r="F30" s="331">
        <v>3</v>
      </c>
      <c r="G30" s="331" t="s">
        <v>21</v>
      </c>
      <c r="H30" s="322"/>
      <c r="I30" s="322"/>
      <c r="J30" s="322"/>
      <c r="K30" s="331"/>
      <c r="L30" s="216" t="s">
        <v>167</v>
      </c>
      <c r="M30" s="216" t="s">
        <v>510</v>
      </c>
      <c r="N30" s="331"/>
      <c r="O30" s="216" t="str">
        <f t="shared" ca="1" si="0"/>
        <v>LIMBO</v>
      </c>
      <c r="P30" s="216"/>
      <c r="Q30" s="216" t="s">
        <v>709</v>
      </c>
      <c r="R30" s="216"/>
      <c r="S30" s="216"/>
      <c r="T30" s="320"/>
      <c r="U30" s="320"/>
      <c r="V30" s="331"/>
      <c r="W30" s="331"/>
      <c r="X30" s="331"/>
      <c r="Y30" s="331"/>
      <c r="Z30" s="331"/>
      <c r="AA30" s="331"/>
      <c r="AB30" s="331"/>
      <c r="AC30" s="331"/>
      <c r="AD30" s="331"/>
      <c r="AE30" s="331"/>
      <c r="AF30" s="331"/>
      <c r="AG30" s="331"/>
      <c r="AH30" s="331"/>
      <c r="AI30" s="331"/>
    </row>
    <row r="31" spans="1:35" ht="39.950000000000003" customHeight="1">
      <c r="A31" s="331">
        <v>29</v>
      </c>
      <c r="B31" s="322">
        <v>45218</v>
      </c>
      <c r="C31" s="216" t="s">
        <v>2153</v>
      </c>
      <c r="D31" s="216" t="s">
        <v>2154</v>
      </c>
      <c r="E31" s="346" t="s">
        <v>2209</v>
      </c>
      <c r="F31" s="331">
        <v>1</v>
      </c>
      <c r="G31" s="331" t="s">
        <v>1839</v>
      </c>
      <c r="H31" s="322"/>
      <c r="I31" s="322"/>
      <c r="J31" s="322"/>
      <c r="K31" s="331"/>
      <c r="L31" s="216" t="s">
        <v>469</v>
      </c>
      <c r="M31" s="216" t="s">
        <v>1257</v>
      </c>
      <c r="N31" s="216" t="s">
        <v>2176</v>
      </c>
      <c r="O31" s="216" t="str">
        <f t="shared" ca="1" si="0"/>
        <v>LIMBO</v>
      </c>
      <c r="P31" s="216"/>
      <c r="Q31" s="216" t="s">
        <v>709</v>
      </c>
      <c r="R31" s="216"/>
      <c r="S31" s="216"/>
      <c r="T31" s="320"/>
      <c r="U31" s="320"/>
      <c r="V31" s="331"/>
      <c r="W31" s="331"/>
      <c r="X31" s="331"/>
      <c r="Y31" s="331"/>
      <c r="Z31" s="331"/>
      <c r="AA31" s="331"/>
      <c r="AB31" s="331"/>
      <c r="AC31" s="331"/>
      <c r="AD31" s="331"/>
      <c r="AE31" s="331"/>
      <c r="AF31" s="331"/>
      <c r="AG31" s="331"/>
      <c r="AI31" s="331" t="s">
        <v>2162</v>
      </c>
    </row>
    <row r="32" spans="1:35" ht="39.950000000000003" customHeight="1">
      <c r="A32" s="331">
        <v>30</v>
      </c>
      <c r="B32" s="322">
        <v>45219</v>
      </c>
      <c r="C32" s="332">
        <v>0.38541666666666669</v>
      </c>
      <c r="D32" s="216" t="s">
        <v>1516</v>
      </c>
      <c r="E32" s="346" t="s">
        <v>2210</v>
      </c>
      <c r="F32" s="331">
        <v>6</v>
      </c>
      <c r="G32" s="331" t="s">
        <v>32</v>
      </c>
      <c r="H32" s="322"/>
      <c r="I32" s="322"/>
      <c r="J32" s="322"/>
      <c r="K32" s="331"/>
      <c r="L32" s="216" t="s">
        <v>591</v>
      </c>
      <c r="M32" s="216" t="s">
        <v>1476</v>
      </c>
      <c r="N32" s="216" t="s">
        <v>2265</v>
      </c>
      <c r="O32" s="216" t="str">
        <f t="shared" ca="1" si="0"/>
        <v>LIMBO</v>
      </c>
      <c r="P32" s="216"/>
      <c r="Q32" s="216" t="s">
        <v>709</v>
      </c>
      <c r="R32" s="216"/>
      <c r="S32" s="216"/>
      <c r="T32" s="320"/>
      <c r="U32" s="320"/>
      <c r="V32" s="331"/>
      <c r="W32" s="331"/>
      <c r="X32" s="331"/>
      <c r="Y32" s="331"/>
      <c r="Z32" s="331"/>
      <c r="AA32" s="331"/>
      <c r="AB32" s="331"/>
      <c r="AC32" s="331"/>
      <c r="AD32" s="331"/>
      <c r="AE32" s="331"/>
      <c r="AF32" s="331"/>
      <c r="AG32" s="331"/>
      <c r="AI32" s="331" t="s">
        <v>2162</v>
      </c>
    </row>
    <row r="33" spans="1:35" ht="39.950000000000003" customHeight="1">
      <c r="A33" s="331">
        <v>31</v>
      </c>
      <c r="B33" s="322">
        <v>45219</v>
      </c>
      <c r="C33" s="331"/>
      <c r="D33" s="216" t="s">
        <v>1507</v>
      </c>
      <c r="E33" s="346" t="s">
        <v>2211</v>
      </c>
      <c r="F33" s="331">
        <v>6</v>
      </c>
      <c r="G33" s="331" t="s">
        <v>1841</v>
      </c>
      <c r="H33" s="322"/>
      <c r="I33" s="322"/>
      <c r="J33" s="322"/>
      <c r="K33" s="331"/>
      <c r="L33" s="216" t="s">
        <v>598</v>
      </c>
      <c r="M33" s="216" t="s">
        <v>1476</v>
      </c>
      <c r="N33" s="216" t="s">
        <v>2178</v>
      </c>
      <c r="O33" s="216" t="str">
        <f t="shared" ca="1" si="0"/>
        <v>LIMBO</v>
      </c>
      <c r="P33" s="216"/>
      <c r="Q33" s="216" t="s">
        <v>709</v>
      </c>
      <c r="R33" s="216"/>
      <c r="S33" s="216"/>
      <c r="T33" s="320"/>
      <c r="U33" s="320"/>
      <c r="V33" s="331"/>
      <c r="W33" s="331"/>
      <c r="X33" s="331"/>
      <c r="Y33" s="331"/>
      <c r="Z33" s="331"/>
      <c r="AA33" s="331"/>
      <c r="AB33" s="331"/>
      <c r="AC33" s="331"/>
      <c r="AD33" s="331"/>
      <c r="AE33" s="331"/>
      <c r="AF33" s="331"/>
      <c r="AG33" s="331"/>
      <c r="AI33" s="331" t="s">
        <v>2162</v>
      </c>
    </row>
    <row r="34" spans="1:35" ht="39.950000000000003" customHeight="1">
      <c r="A34" s="331">
        <v>32</v>
      </c>
      <c r="B34" s="322">
        <v>45219</v>
      </c>
      <c r="C34" s="331"/>
      <c r="D34" s="216" t="s">
        <v>1176</v>
      </c>
      <c r="E34" s="346" t="s">
        <v>2212</v>
      </c>
      <c r="F34" s="331">
        <v>3</v>
      </c>
      <c r="G34" s="331" t="s">
        <v>21</v>
      </c>
      <c r="H34" s="322"/>
      <c r="I34" s="322"/>
      <c r="J34" s="322"/>
      <c r="K34" s="331"/>
      <c r="L34" s="216" t="s">
        <v>1177</v>
      </c>
      <c r="M34" s="216"/>
      <c r="N34" s="216" t="s">
        <v>2179</v>
      </c>
      <c r="O34" s="216" t="str">
        <f t="shared" ca="1" si="0"/>
        <v>LIMBO</v>
      </c>
      <c r="P34" s="216"/>
      <c r="Q34" s="216" t="s">
        <v>709</v>
      </c>
      <c r="R34" s="216"/>
      <c r="S34" s="216"/>
      <c r="T34" s="320"/>
      <c r="U34" s="320"/>
      <c r="V34" s="331"/>
      <c r="W34" s="331"/>
      <c r="X34" s="331"/>
      <c r="Y34" s="331"/>
      <c r="Z34" s="331"/>
      <c r="AA34" s="331"/>
      <c r="AB34" s="331"/>
      <c r="AC34" s="331"/>
      <c r="AD34" s="331"/>
      <c r="AE34" s="331"/>
      <c r="AF34" s="331"/>
      <c r="AG34" s="331"/>
      <c r="AI34" s="331" t="s">
        <v>2162</v>
      </c>
    </row>
    <row r="35" spans="1:35" ht="39.950000000000003" customHeight="1">
      <c r="A35" s="331">
        <v>33</v>
      </c>
      <c r="B35" s="322">
        <v>45219</v>
      </c>
      <c r="C35" s="331"/>
      <c r="D35" s="216" t="s">
        <v>991</v>
      </c>
      <c r="E35" s="346" t="s">
        <v>2213</v>
      </c>
      <c r="F35" s="331">
        <v>3</v>
      </c>
      <c r="G35" s="331" t="s">
        <v>1839</v>
      </c>
      <c r="H35" s="322"/>
      <c r="I35" s="322"/>
      <c r="J35" s="322"/>
      <c r="K35" s="331"/>
      <c r="L35" s="216" t="s">
        <v>598</v>
      </c>
      <c r="M35" s="216"/>
      <c r="N35" s="216" t="s">
        <v>2180</v>
      </c>
      <c r="O35" s="216" t="str">
        <f t="shared" ref="O35:O66" ca="1" si="3">IF($H35&lt;&gt;"",IF($H35&lt;=TODAY(),"SI","NO"),"LIMBO")</f>
        <v>LIMBO</v>
      </c>
      <c r="P35" s="216"/>
      <c r="Q35" s="216" t="s">
        <v>709</v>
      </c>
      <c r="R35" s="216"/>
      <c r="S35" s="216"/>
      <c r="T35" s="320"/>
      <c r="U35" s="320"/>
      <c r="V35" s="331"/>
      <c r="W35" s="331"/>
      <c r="X35" s="331"/>
      <c r="Y35" s="331"/>
      <c r="Z35" s="331"/>
      <c r="AA35" s="331"/>
      <c r="AB35" s="331"/>
      <c r="AC35" s="331"/>
      <c r="AD35" s="331"/>
      <c r="AE35" s="331"/>
      <c r="AF35" s="331"/>
      <c r="AG35" s="331"/>
      <c r="AI35" s="331" t="s">
        <v>2162</v>
      </c>
    </row>
    <row r="36" spans="1:35" ht="39.950000000000003" customHeight="1">
      <c r="A36" s="331">
        <v>34</v>
      </c>
      <c r="B36" s="322">
        <v>45222</v>
      </c>
      <c r="C36" s="216" t="s">
        <v>58</v>
      </c>
      <c r="D36" s="216" t="s">
        <v>2181</v>
      </c>
      <c r="E36" s="346" t="s">
        <v>2182</v>
      </c>
      <c r="F36" s="331">
        <v>1</v>
      </c>
      <c r="G36" s="216" t="s">
        <v>32</v>
      </c>
      <c r="H36" s="322"/>
      <c r="I36" s="322"/>
      <c r="J36" s="322"/>
      <c r="K36" s="331"/>
      <c r="L36" s="216" t="s">
        <v>284</v>
      </c>
      <c r="M36" s="216"/>
      <c r="N36" s="216" t="s">
        <v>2192</v>
      </c>
      <c r="O36" s="216" t="str">
        <f t="shared" ca="1" si="3"/>
        <v>LIMBO</v>
      </c>
      <c r="P36" s="216"/>
      <c r="Q36" s="216" t="s">
        <v>709</v>
      </c>
      <c r="R36" s="216"/>
      <c r="S36" s="216"/>
      <c r="T36" s="320"/>
      <c r="U36" s="320"/>
      <c r="V36" s="331"/>
      <c r="W36" s="331"/>
      <c r="X36" s="331"/>
      <c r="Y36" s="331"/>
      <c r="Z36" s="331"/>
      <c r="AA36" s="331"/>
      <c r="AB36" s="331"/>
      <c r="AC36" s="331"/>
      <c r="AD36" s="331"/>
      <c r="AE36" s="331"/>
      <c r="AF36" s="331"/>
      <c r="AG36" s="331"/>
      <c r="AI36" s="331" t="s">
        <v>2162</v>
      </c>
    </row>
    <row r="37" spans="1:35" ht="39.950000000000003" customHeight="1">
      <c r="A37" s="331">
        <v>35</v>
      </c>
      <c r="B37" s="322">
        <v>45222</v>
      </c>
      <c r="C37" s="216" t="s">
        <v>58</v>
      </c>
      <c r="D37" s="216" t="s">
        <v>2183</v>
      </c>
      <c r="E37" s="344" t="s">
        <v>2184</v>
      </c>
      <c r="F37" s="331">
        <v>3</v>
      </c>
      <c r="G37" s="331" t="s">
        <v>1841</v>
      </c>
      <c r="H37" s="322"/>
      <c r="I37" s="322"/>
      <c r="J37" s="322"/>
      <c r="K37" s="331"/>
      <c r="L37" s="216" t="s">
        <v>592</v>
      </c>
      <c r="M37" s="216" t="s">
        <v>794</v>
      </c>
      <c r="N37" s="349" t="s">
        <v>2266</v>
      </c>
      <c r="O37" s="216" t="str">
        <f t="shared" ca="1" si="3"/>
        <v>LIMBO</v>
      </c>
      <c r="P37" s="216"/>
      <c r="Q37" s="216" t="s">
        <v>709</v>
      </c>
      <c r="R37" s="216"/>
      <c r="S37" s="216"/>
      <c r="T37" s="320"/>
      <c r="U37" s="320"/>
      <c r="V37" s="331"/>
      <c r="W37" s="331"/>
      <c r="X37" s="331"/>
      <c r="Y37" s="331"/>
      <c r="Z37" s="331"/>
      <c r="AA37" s="331"/>
      <c r="AB37" s="331"/>
      <c r="AC37" s="331"/>
      <c r="AD37" s="331"/>
      <c r="AE37" s="331"/>
      <c r="AF37" s="331"/>
      <c r="AG37" s="331"/>
      <c r="AH37" s="331"/>
      <c r="AI37" s="331"/>
    </row>
    <row r="38" spans="1:35" ht="39.950000000000003" customHeight="1">
      <c r="A38" s="331">
        <v>36</v>
      </c>
      <c r="B38" s="322">
        <v>45219</v>
      </c>
      <c r="C38" s="216" t="s">
        <v>58</v>
      </c>
      <c r="D38" s="216" t="s">
        <v>2185</v>
      </c>
      <c r="E38" s="346" t="s">
        <v>2187</v>
      </c>
      <c r="F38" s="331">
        <v>1</v>
      </c>
      <c r="G38" s="331" t="s">
        <v>1839</v>
      </c>
      <c r="H38" s="322"/>
      <c r="I38" s="322"/>
      <c r="J38" s="322"/>
      <c r="K38" s="331"/>
      <c r="L38" s="216" t="s">
        <v>591</v>
      </c>
      <c r="M38" s="216" t="s">
        <v>2186</v>
      </c>
      <c r="N38" s="331"/>
      <c r="O38" s="216" t="str">
        <f t="shared" ca="1" si="3"/>
        <v>LIMBO</v>
      </c>
      <c r="P38" s="216"/>
      <c r="Q38" s="216" t="s">
        <v>709</v>
      </c>
      <c r="R38" s="216"/>
      <c r="S38" s="216"/>
      <c r="T38" s="320"/>
      <c r="U38" s="320"/>
      <c r="V38" s="331"/>
      <c r="W38" s="331"/>
      <c r="X38" s="331"/>
      <c r="Y38" s="331"/>
      <c r="Z38" s="331"/>
      <c r="AA38" s="331"/>
      <c r="AB38" s="331"/>
      <c r="AC38" s="331"/>
      <c r="AD38" s="331"/>
      <c r="AE38" s="331"/>
      <c r="AF38" s="331"/>
      <c r="AG38" s="331"/>
      <c r="AI38" s="331" t="s">
        <v>2162</v>
      </c>
    </row>
    <row r="39" spans="1:35" ht="39.950000000000003" customHeight="1">
      <c r="A39" s="331">
        <v>37</v>
      </c>
      <c r="B39" s="322">
        <v>45222</v>
      </c>
      <c r="C39" s="332">
        <v>0.5</v>
      </c>
      <c r="D39" s="216" t="s">
        <v>1227</v>
      </c>
      <c r="E39" s="346" t="s">
        <v>2215</v>
      </c>
      <c r="F39" s="331">
        <v>4</v>
      </c>
      <c r="G39" s="331" t="s">
        <v>32</v>
      </c>
      <c r="H39" s="322"/>
      <c r="I39" s="322"/>
      <c r="J39" s="322"/>
      <c r="K39" s="331"/>
      <c r="L39" s="216" t="s">
        <v>576</v>
      </c>
      <c r="M39" s="216" t="s">
        <v>2214</v>
      </c>
      <c r="N39" s="216" t="s">
        <v>2277</v>
      </c>
      <c r="O39" s="216" t="str">
        <f t="shared" ca="1" si="3"/>
        <v>LIMBO</v>
      </c>
      <c r="P39" s="216"/>
      <c r="Q39" s="216" t="s">
        <v>709</v>
      </c>
      <c r="R39" s="216"/>
      <c r="S39" s="216"/>
      <c r="T39" s="320"/>
      <c r="U39" s="320"/>
      <c r="V39" s="331"/>
      <c r="W39" s="331"/>
      <c r="X39" s="331"/>
      <c r="Y39" s="331"/>
      <c r="Z39" s="331"/>
      <c r="AA39" s="331"/>
      <c r="AB39" s="331"/>
      <c r="AC39" s="331"/>
      <c r="AD39" s="331"/>
      <c r="AE39" s="331"/>
      <c r="AF39" s="331"/>
      <c r="AG39" s="331"/>
      <c r="AH39" s="331"/>
      <c r="AI39" s="331" t="s">
        <v>2162</v>
      </c>
    </row>
    <row r="40" spans="1:35" ht="39.950000000000003" customHeight="1">
      <c r="A40" s="331">
        <v>38</v>
      </c>
      <c r="B40" s="322">
        <v>45222</v>
      </c>
      <c r="C40" s="332">
        <v>0.47222222222222227</v>
      </c>
      <c r="D40" s="216" t="s">
        <v>1702</v>
      </c>
      <c r="E40" s="346" t="s">
        <v>2252</v>
      </c>
      <c r="F40" s="331">
        <v>6</v>
      </c>
      <c r="G40" s="331" t="s">
        <v>21</v>
      </c>
      <c r="H40" s="322"/>
      <c r="I40" s="322"/>
      <c r="J40" s="322"/>
      <c r="K40" s="331"/>
      <c r="L40" s="216" t="s">
        <v>574</v>
      </c>
      <c r="M40" s="216" t="s">
        <v>1409</v>
      </c>
      <c r="N40" s="216" t="s">
        <v>2241</v>
      </c>
      <c r="O40" s="216" t="str">
        <f t="shared" ca="1" si="3"/>
        <v>LIMBO</v>
      </c>
      <c r="P40" s="216"/>
      <c r="Q40" s="216" t="s">
        <v>709</v>
      </c>
      <c r="R40" s="216"/>
      <c r="S40" s="216"/>
      <c r="T40" s="320"/>
      <c r="U40" s="320"/>
      <c r="V40" s="331"/>
      <c r="W40" s="331"/>
      <c r="X40" s="331"/>
      <c r="Y40" s="331"/>
      <c r="Z40" s="331"/>
      <c r="AA40" s="331"/>
      <c r="AB40" s="331"/>
      <c r="AC40" s="331"/>
      <c r="AD40" s="331"/>
      <c r="AE40" s="331"/>
      <c r="AF40" s="331"/>
      <c r="AG40" s="331"/>
      <c r="AH40" s="331"/>
      <c r="AI40" s="331" t="s">
        <v>2162</v>
      </c>
    </row>
    <row r="41" spans="1:35" ht="39.950000000000003" customHeight="1">
      <c r="A41" s="331">
        <v>39</v>
      </c>
      <c r="B41" s="322">
        <v>45222</v>
      </c>
      <c r="C41" s="332">
        <v>0.5</v>
      </c>
      <c r="D41" s="216" t="s">
        <v>1591</v>
      </c>
      <c r="E41" s="344" t="s">
        <v>2221</v>
      </c>
      <c r="F41" s="331">
        <v>7</v>
      </c>
      <c r="G41" s="331" t="s">
        <v>1841</v>
      </c>
      <c r="H41" s="322"/>
      <c r="I41" s="322"/>
      <c r="J41" s="322"/>
      <c r="K41" s="331"/>
      <c r="L41" s="216" t="s">
        <v>597</v>
      </c>
      <c r="M41" s="216" t="s">
        <v>538</v>
      </c>
      <c r="N41" s="216" t="s">
        <v>2222</v>
      </c>
      <c r="O41" s="216" t="str">
        <f t="shared" ca="1" si="3"/>
        <v>LIMBO</v>
      </c>
      <c r="P41" s="216"/>
      <c r="Q41" s="216" t="s">
        <v>709</v>
      </c>
      <c r="R41" s="216"/>
      <c r="S41" s="216"/>
      <c r="T41" s="320"/>
      <c r="U41" s="320"/>
      <c r="V41" s="331"/>
      <c r="W41" s="331"/>
      <c r="X41" s="331"/>
      <c r="Y41" s="331"/>
      <c r="Z41" s="331"/>
      <c r="AA41" s="331"/>
      <c r="AB41" s="331"/>
      <c r="AC41" s="331"/>
      <c r="AD41" s="331"/>
      <c r="AE41" s="331"/>
      <c r="AF41" s="331"/>
      <c r="AG41" s="331"/>
      <c r="AH41" s="331"/>
      <c r="AI41" s="331"/>
    </row>
    <row r="42" spans="1:35" ht="39.950000000000003" customHeight="1">
      <c r="A42" s="331">
        <v>40</v>
      </c>
      <c r="B42" s="322">
        <v>45222</v>
      </c>
      <c r="C42" s="332">
        <v>0.52638888888888891</v>
      </c>
      <c r="D42" s="216" t="s">
        <v>1837</v>
      </c>
      <c r="E42" s="346" t="s">
        <v>2240</v>
      </c>
      <c r="F42" s="331">
        <v>8</v>
      </c>
      <c r="G42" s="331" t="s">
        <v>21</v>
      </c>
      <c r="H42" s="322"/>
      <c r="I42" s="322"/>
      <c r="J42" s="322"/>
      <c r="K42" s="331"/>
      <c r="L42" s="216" t="s">
        <v>595</v>
      </c>
      <c r="M42" s="216" t="s">
        <v>657</v>
      </c>
      <c r="N42" s="216" t="s">
        <v>2223</v>
      </c>
      <c r="O42" s="216" t="str">
        <f t="shared" ca="1" si="3"/>
        <v>LIMBO</v>
      </c>
      <c r="P42" s="216"/>
      <c r="Q42" s="216" t="s">
        <v>709</v>
      </c>
      <c r="R42" s="216"/>
      <c r="S42" s="216"/>
      <c r="T42" s="320"/>
      <c r="U42" s="320"/>
      <c r="V42" s="331"/>
      <c r="W42" s="331"/>
      <c r="X42" s="331"/>
      <c r="Y42" s="331"/>
      <c r="Z42" s="331"/>
      <c r="AA42" s="331"/>
      <c r="AB42" s="331"/>
      <c r="AC42" s="331"/>
      <c r="AD42" s="331"/>
      <c r="AE42" s="331"/>
      <c r="AF42" s="331"/>
      <c r="AG42" s="331"/>
      <c r="AH42" s="331"/>
      <c r="AI42" s="331" t="s">
        <v>2162</v>
      </c>
    </row>
    <row r="43" spans="1:35" ht="39.950000000000003" customHeight="1">
      <c r="A43" s="331">
        <v>41</v>
      </c>
      <c r="B43" s="322">
        <v>45222</v>
      </c>
      <c r="C43" s="332">
        <v>0.53888888888888886</v>
      </c>
      <c r="D43" s="216" t="s">
        <v>1234</v>
      </c>
      <c r="E43" s="346" t="s">
        <v>2225</v>
      </c>
      <c r="F43" s="331">
        <v>4</v>
      </c>
      <c r="G43" s="331" t="s">
        <v>1839</v>
      </c>
      <c r="H43" s="322"/>
      <c r="I43" s="322"/>
      <c r="J43" s="322"/>
      <c r="K43" s="331"/>
      <c r="L43" s="216" t="s">
        <v>588</v>
      </c>
      <c r="M43" s="216" t="s">
        <v>1241</v>
      </c>
      <c r="N43" s="216" t="s">
        <v>2224</v>
      </c>
      <c r="O43" s="216" t="str">
        <f t="shared" ca="1" si="3"/>
        <v>LIMBO</v>
      </c>
      <c r="P43" s="216"/>
      <c r="Q43" s="216" t="s">
        <v>709</v>
      </c>
      <c r="R43" s="216"/>
      <c r="S43" s="216"/>
      <c r="T43" s="320"/>
      <c r="U43" s="320"/>
      <c r="V43" s="331"/>
      <c r="W43" s="331"/>
      <c r="X43" s="331"/>
      <c r="Y43" s="331"/>
      <c r="Z43" s="331"/>
      <c r="AA43" s="331"/>
      <c r="AB43" s="331"/>
      <c r="AC43" s="331"/>
      <c r="AD43" s="331"/>
      <c r="AE43" s="331"/>
      <c r="AF43" s="331"/>
      <c r="AG43" s="331"/>
      <c r="AH43" s="331"/>
      <c r="AI43" s="331" t="s">
        <v>2162</v>
      </c>
    </row>
    <row r="44" spans="1:35" ht="39.950000000000003" customHeight="1">
      <c r="A44" s="331">
        <v>42</v>
      </c>
      <c r="B44" s="322">
        <v>45222</v>
      </c>
      <c r="C44" s="332">
        <v>0.53819444444444442</v>
      </c>
      <c r="D44" s="216" t="s">
        <v>2250</v>
      </c>
      <c r="E44" s="346" t="s">
        <v>2237</v>
      </c>
      <c r="F44" s="331">
        <v>7</v>
      </c>
      <c r="G44" s="331" t="s">
        <v>32</v>
      </c>
      <c r="H44" s="322"/>
      <c r="I44" s="322"/>
      <c r="J44" s="322"/>
      <c r="K44" s="331"/>
      <c r="L44" s="216" t="s">
        <v>461</v>
      </c>
      <c r="M44" s="350" t="s">
        <v>1422</v>
      </c>
      <c r="N44" s="216" t="s">
        <v>2233</v>
      </c>
      <c r="O44" s="216" t="str">
        <f t="shared" ca="1" si="3"/>
        <v>LIMBO</v>
      </c>
      <c r="P44" s="216"/>
      <c r="Q44" s="216" t="s">
        <v>709</v>
      </c>
      <c r="R44" s="216"/>
      <c r="S44" s="216"/>
      <c r="T44" s="320"/>
      <c r="U44" s="320"/>
      <c r="V44" s="331"/>
      <c r="W44" s="331"/>
      <c r="X44" s="331"/>
      <c r="Y44" s="331"/>
      <c r="Z44" s="331"/>
      <c r="AA44" s="331"/>
      <c r="AB44" s="331"/>
      <c r="AC44" s="331"/>
      <c r="AD44" s="331"/>
      <c r="AE44" s="331"/>
      <c r="AF44" s="331"/>
      <c r="AG44" s="331"/>
      <c r="AH44" s="331"/>
      <c r="AI44" s="331" t="s">
        <v>2162</v>
      </c>
    </row>
    <row r="45" spans="1:35" ht="39.950000000000003" customHeight="1">
      <c r="A45" s="331">
        <v>43</v>
      </c>
      <c r="B45" s="322">
        <v>45222</v>
      </c>
      <c r="C45" s="332">
        <v>0.53611111111111109</v>
      </c>
      <c r="D45" s="216" t="s">
        <v>2234</v>
      </c>
      <c r="E45" s="346" t="s">
        <v>2238</v>
      </c>
      <c r="F45" s="331">
        <v>7</v>
      </c>
      <c r="G45" s="331" t="s">
        <v>1841</v>
      </c>
      <c r="H45" s="322"/>
      <c r="I45" s="322"/>
      <c r="J45" s="322"/>
      <c r="K45" s="331"/>
      <c r="L45" s="216" t="s">
        <v>599</v>
      </c>
      <c r="M45" s="216" t="s">
        <v>1476</v>
      </c>
      <c r="N45" s="216" t="s">
        <v>2235</v>
      </c>
      <c r="O45" s="216" t="str">
        <f t="shared" ca="1" si="3"/>
        <v>LIMBO</v>
      </c>
      <c r="P45" s="216"/>
      <c r="Q45" s="216" t="s">
        <v>709</v>
      </c>
      <c r="R45" s="216"/>
      <c r="S45" s="216"/>
      <c r="T45" s="320"/>
      <c r="U45" s="320"/>
      <c r="V45" s="331"/>
      <c r="W45" s="331"/>
      <c r="X45" s="331"/>
      <c r="Y45" s="331"/>
      <c r="Z45" s="331"/>
      <c r="AA45" s="331"/>
      <c r="AB45" s="331"/>
      <c r="AC45" s="331"/>
      <c r="AD45" s="331"/>
      <c r="AE45" s="331"/>
      <c r="AF45" s="331"/>
      <c r="AG45" s="331"/>
      <c r="AH45" s="331"/>
      <c r="AI45" s="331" t="s">
        <v>2162</v>
      </c>
    </row>
    <row r="46" spans="1:35" ht="39.950000000000003" customHeight="1">
      <c r="A46" s="331">
        <v>44</v>
      </c>
      <c r="B46" s="322">
        <v>45219</v>
      </c>
      <c r="C46" s="319" t="s">
        <v>2249</v>
      </c>
      <c r="D46" s="216" t="s">
        <v>1815</v>
      </c>
      <c r="E46" s="346" t="s">
        <v>2239</v>
      </c>
      <c r="F46" s="331">
        <v>8</v>
      </c>
      <c r="G46" s="331" t="s">
        <v>21</v>
      </c>
      <c r="H46" s="322"/>
      <c r="I46" s="322"/>
      <c r="J46" s="322"/>
      <c r="K46" s="331"/>
      <c r="L46" s="216" t="s">
        <v>574</v>
      </c>
      <c r="M46" s="216" t="s">
        <v>794</v>
      </c>
      <c r="N46" s="216" t="s">
        <v>2236</v>
      </c>
      <c r="O46" s="216" t="str">
        <f t="shared" ca="1" si="3"/>
        <v>LIMBO</v>
      </c>
      <c r="P46" s="216"/>
      <c r="Q46" s="216" t="s">
        <v>709</v>
      </c>
      <c r="R46" s="216"/>
      <c r="S46" s="216"/>
      <c r="T46" s="320"/>
      <c r="U46" s="320"/>
      <c r="V46" s="331"/>
      <c r="W46" s="331"/>
      <c r="X46" s="331"/>
      <c r="Y46" s="331"/>
      <c r="Z46" s="331"/>
      <c r="AA46" s="331"/>
      <c r="AB46" s="331"/>
      <c r="AC46" s="331"/>
      <c r="AD46" s="331"/>
      <c r="AE46" s="331"/>
      <c r="AF46" s="331"/>
      <c r="AG46" s="331"/>
      <c r="AH46" s="331"/>
      <c r="AI46" s="331" t="s">
        <v>2162</v>
      </c>
    </row>
    <row r="47" spans="1:35" ht="39.950000000000003" customHeight="1">
      <c r="A47" s="331">
        <v>45</v>
      </c>
      <c r="B47" s="322">
        <v>45224</v>
      </c>
      <c r="C47" s="332">
        <v>0.38611111111111113</v>
      </c>
      <c r="D47" s="216" t="s">
        <v>1897</v>
      </c>
      <c r="E47" s="346" t="s">
        <v>2282</v>
      </c>
      <c r="F47" s="331">
        <v>1</v>
      </c>
      <c r="G47" s="331" t="s">
        <v>1841</v>
      </c>
      <c r="H47" s="322"/>
      <c r="I47" s="322"/>
      <c r="J47" s="322"/>
      <c r="K47" s="331"/>
      <c r="L47" s="216" t="s">
        <v>596</v>
      </c>
      <c r="M47" s="371" t="s">
        <v>2105</v>
      </c>
      <c r="N47" s="349" t="s">
        <v>2266</v>
      </c>
      <c r="O47" s="216" t="str">
        <f t="shared" ca="1" si="3"/>
        <v>LIMBO</v>
      </c>
      <c r="P47" s="216"/>
      <c r="Q47" s="216" t="s">
        <v>709</v>
      </c>
      <c r="R47" s="216"/>
      <c r="S47" s="216"/>
      <c r="T47" s="320"/>
      <c r="U47" s="320"/>
      <c r="V47" s="331"/>
      <c r="W47" s="331"/>
      <c r="X47" s="331"/>
      <c r="Y47" s="331"/>
      <c r="Z47" s="331"/>
      <c r="AA47" s="331"/>
      <c r="AB47" s="331"/>
      <c r="AC47" s="331"/>
      <c r="AD47" s="331"/>
      <c r="AE47" s="331"/>
      <c r="AF47" s="331"/>
      <c r="AG47" s="331"/>
      <c r="AH47" s="331"/>
      <c r="AI47" s="331" t="s">
        <v>2162</v>
      </c>
    </row>
    <row r="48" spans="1:35" ht="39.950000000000003" customHeight="1">
      <c r="A48" s="331">
        <v>46</v>
      </c>
      <c r="B48" s="322">
        <v>45224</v>
      </c>
      <c r="C48" s="332">
        <v>0.49583333333333335</v>
      </c>
      <c r="D48" s="216" t="s">
        <v>1820</v>
      </c>
      <c r="E48" s="346" t="s">
        <v>2251</v>
      </c>
      <c r="F48" s="331">
        <v>2</v>
      </c>
      <c r="G48" s="331" t="s">
        <v>32</v>
      </c>
      <c r="H48" s="322"/>
      <c r="I48" s="322"/>
      <c r="J48" s="322"/>
      <c r="K48" s="331"/>
      <c r="L48" s="216" t="s">
        <v>588</v>
      </c>
      <c r="M48" s="372" t="s">
        <v>518</v>
      </c>
      <c r="N48" s="216" t="s">
        <v>2272</v>
      </c>
      <c r="O48" s="216" t="str">
        <f t="shared" ca="1" si="3"/>
        <v>LIMBO</v>
      </c>
      <c r="P48" s="216"/>
      <c r="Q48" s="216" t="s">
        <v>709</v>
      </c>
      <c r="R48" s="216"/>
      <c r="S48" s="216"/>
      <c r="T48" s="320"/>
      <c r="U48" s="320"/>
      <c r="V48" s="331"/>
      <c r="W48" s="331"/>
      <c r="X48" s="331"/>
      <c r="Y48" s="331"/>
      <c r="Z48" s="331"/>
      <c r="AA48" s="331"/>
      <c r="AB48" s="331"/>
      <c r="AC48" s="331"/>
      <c r="AD48" s="331"/>
      <c r="AE48" s="331"/>
      <c r="AF48" s="331"/>
      <c r="AG48" s="331"/>
      <c r="AH48" s="331"/>
      <c r="AI48" s="331" t="s">
        <v>2162</v>
      </c>
    </row>
    <row r="49" spans="1:36" ht="39.950000000000003" customHeight="1">
      <c r="A49" s="331">
        <v>47</v>
      </c>
      <c r="B49" s="288">
        <v>45225</v>
      </c>
      <c r="C49" s="332">
        <v>0.51111111111111118</v>
      </c>
      <c r="D49" s="216" t="s">
        <v>2256</v>
      </c>
      <c r="E49" s="346" t="s">
        <v>2264</v>
      </c>
      <c r="F49" s="331">
        <v>3</v>
      </c>
      <c r="G49" s="331"/>
      <c r="H49" s="322"/>
      <c r="I49" s="322"/>
      <c r="J49" s="322"/>
      <c r="K49" s="331"/>
      <c r="L49" s="216" t="s">
        <v>596</v>
      </c>
      <c r="M49" s="216" t="s">
        <v>512</v>
      </c>
      <c r="N49" s="331"/>
      <c r="O49" s="216" t="str">
        <f t="shared" ca="1" si="3"/>
        <v>LIMBO</v>
      </c>
      <c r="P49" s="216"/>
      <c r="Q49" s="216" t="s">
        <v>709</v>
      </c>
      <c r="R49" s="216"/>
      <c r="S49" s="216"/>
      <c r="T49" s="320"/>
      <c r="U49" s="320"/>
      <c r="V49" s="331"/>
      <c r="W49" s="331"/>
      <c r="X49" s="331"/>
      <c r="Y49" s="331"/>
      <c r="Z49" s="331"/>
      <c r="AA49" s="331"/>
      <c r="AB49" s="331"/>
      <c r="AC49" s="331"/>
      <c r="AD49" s="331"/>
      <c r="AE49" s="331"/>
      <c r="AF49" s="331"/>
      <c r="AG49" s="331"/>
      <c r="AH49" s="331"/>
      <c r="AI49" s="331" t="s">
        <v>2162</v>
      </c>
      <c r="AJ49" s="370"/>
    </row>
    <row r="50" spans="1:36" ht="39.950000000000003" customHeight="1">
      <c r="A50" s="331">
        <v>48</v>
      </c>
      <c r="B50" s="322">
        <v>45225</v>
      </c>
      <c r="C50" s="332">
        <v>0.4909722222222222</v>
      </c>
      <c r="D50" s="216" t="s">
        <v>1666</v>
      </c>
      <c r="E50" s="346" t="s">
        <v>2257</v>
      </c>
      <c r="F50" s="331">
        <v>2</v>
      </c>
      <c r="G50" s="331" t="s">
        <v>21</v>
      </c>
      <c r="H50" s="322"/>
      <c r="I50" s="322"/>
      <c r="J50" s="322"/>
      <c r="K50" s="331"/>
      <c r="L50" s="216" t="s">
        <v>469</v>
      </c>
      <c r="M50" s="371" t="s">
        <v>515</v>
      </c>
      <c r="N50" s="331"/>
      <c r="O50" s="216" t="str">
        <f t="shared" ca="1" si="3"/>
        <v>LIMBO</v>
      </c>
      <c r="P50" s="216"/>
      <c r="Q50" s="216" t="s">
        <v>709</v>
      </c>
      <c r="R50" s="216"/>
      <c r="S50" s="216"/>
      <c r="T50" s="320"/>
      <c r="U50" s="320"/>
      <c r="V50" s="331"/>
      <c r="W50" s="331"/>
      <c r="X50" s="331"/>
      <c r="Y50" s="331"/>
      <c r="Z50" s="331"/>
      <c r="AA50" s="331"/>
      <c r="AB50" s="331"/>
      <c r="AC50" s="331"/>
      <c r="AD50" s="331"/>
      <c r="AE50" s="331"/>
      <c r="AF50" s="331"/>
      <c r="AG50" s="331"/>
      <c r="AH50" s="331"/>
      <c r="AI50" s="331" t="s">
        <v>2162</v>
      </c>
      <c r="AJ50" s="370"/>
    </row>
    <row r="51" spans="1:36" ht="39.950000000000003" customHeight="1">
      <c r="A51" s="331">
        <v>49</v>
      </c>
      <c r="B51" s="322">
        <v>45225</v>
      </c>
      <c r="C51" s="332">
        <v>0.45416666666666666</v>
      </c>
      <c r="D51" s="216" t="s">
        <v>1266</v>
      </c>
      <c r="E51" s="346" t="s">
        <v>2258</v>
      </c>
      <c r="F51" s="331">
        <v>7</v>
      </c>
      <c r="G51" s="331" t="s">
        <v>32</v>
      </c>
      <c r="H51" s="322"/>
      <c r="I51" s="322"/>
      <c r="J51" s="322"/>
      <c r="K51" s="331"/>
      <c r="L51" s="216" t="s">
        <v>598</v>
      </c>
      <c r="M51" s="216" t="s">
        <v>1476</v>
      </c>
      <c r="N51" s="216"/>
      <c r="O51" s="216" t="str">
        <f t="shared" ca="1" si="3"/>
        <v>LIMBO</v>
      </c>
      <c r="P51" s="216"/>
      <c r="Q51" s="216" t="s">
        <v>709</v>
      </c>
      <c r="R51" s="216"/>
      <c r="S51" s="216"/>
      <c r="T51" s="320"/>
      <c r="U51" s="320"/>
      <c r="V51" s="331"/>
      <c r="W51" s="331"/>
      <c r="X51" s="331"/>
      <c r="Y51" s="331"/>
      <c r="Z51" s="331"/>
      <c r="AA51" s="331"/>
      <c r="AB51" s="331"/>
      <c r="AC51" s="331"/>
      <c r="AD51" s="331"/>
      <c r="AE51" s="331"/>
      <c r="AF51" s="331"/>
      <c r="AG51" s="331"/>
      <c r="AH51" s="331"/>
      <c r="AI51" s="331" t="s">
        <v>2162</v>
      </c>
      <c r="AJ51" s="370"/>
    </row>
    <row r="52" spans="1:36" ht="39.950000000000003" customHeight="1">
      <c r="A52" s="331">
        <v>50</v>
      </c>
      <c r="B52" s="322">
        <v>45225</v>
      </c>
      <c r="C52" s="332">
        <v>0.45277777777777778</v>
      </c>
      <c r="D52" s="216" t="s">
        <v>2259</v>
      </c>
      <c r="E52" s="344" t="s">
        <v>2260</v>
      </c>
      <c r="F52" s="331">
        <v>7</v>
      </c>
      <c r="G52" s="331" t="s">
        <v>1839</v>
      </c>
      <c r="H52" s="322"/>
      <c r="I52" s="322"/>
      <c r="J52" s="322"/>
      <c r="K52" s="331"/>
      <c r="L52" s="216" t="s">
        <v>578</v>
      </c>
      <c r="M52" s="216" t="s">
        <v>1322</v>
      </c>
      <c r="N52" s="331"/>
      <c r="O52" s="216" t="str">
        <f t="shared" ca="1" si="3"/>
        <v>LIMBO</v>
      </c>
      <c r="P52" s="216"/>
      <c r="Q52" s="216" t="s">
        <v>709</v>
      </c>
      <c r="R52" s="216"/>
      <c r="S52" s="216"/>
      <c r="T52" s="320"/>
      <c r="U52" s="320"/>
      <c r="V52" s="331"/>
      <c r="W52" s="331"/>
      <c r="X52" s="331"/>
      <c r="Y52" s="331"/>
      <c r="Z52" s="331"/>
      <c r="AA52" s="331"/>
      <c r="AB52" s="331"/>
      <c r="AC52" s="331"/>
      <c r="AD52" s="331"/>
      <c r="AE52" s="331"/>
      <c r="AF52" s="331"/>
      <c r="AG52" s="331"/>
      <c r="AH52" s="331"/>
      <c r="AI52" s="331" t="s">
        <v>2253</v>
      </c>
      <c r="AJ52" s="370"/>
    </row>
    <row r="53" spans="1:36" ht="39.950000000000003" customHeight="1">
      <c r="A53" s="331">
        <v>51</v>
      </c>
      <c r="B53" s="322">
        <v>45225</v>
      </c>
      <c r="C53" s="332">
        <v>0.45208333333333334</v>
      </c>
      <c r="D53" s="216" t="s">
        <v>1626</v>
      </c>
      <c r="E53" s="344" t="s">
        <v>2261</v>
      </c>
      <c r="F53" s="331">
        <v>7</v>
      </c>
      <c r="G53" s="331" t="s">
        <v>1841</v>
      </c>
      <c r="H53" s="322"/>
      <c r="I53" s="322"/>
      <c r="J53" s="322"/>
      <c r="K53" s="331"/>
      <c r="L53" s="216" t="s">
        <v>574</v>
      </c>
      <c r="M53" s="216" t="s">
        <v>513</v>
      </c>
      <c r="N53" s="331"/>
      <c r="O53" s="216" t="str">
        <f t="shared" ca="1" si="3"/>
        <v>LIMBO</v>
      </c>
      <c r="P53" s="216"/>
      <c r="Q53" s="216" t="s">
        <v>709</v>
      </c>
      <c r="R53" s="216"/>
      <c r="S53" s="216"/>
      <c r="T53" s="320"/>
      <c r="U53" s="320"/>
      <c r="V53" s="331"/>
      <c r="W53" s="331"/>
      <c r="X53" s="331"/>
      <c r="Y53" s="331"/>
      <c r="Z53" s="331"/>
      <c r="AA53" s="331"/>
      <c r="AB53" s="331"/>
      <c r="AC53" s="331"/>
      <c r="AD53" s="331"/>
      <c r="AE53" s="331"/>
      <c r="AF53" s="331"/>
      <c r="AG53" s="331"/>
      <c r="AH53" s="331"/>
      <c r="AI53" s="331" t="s">
        <v>2253</v>
      </c>
      <c r="AJ53" s="370"/>
    </row>
    <row r="54" spans="1:36" ht="39.950000000000003" customHeight="1">
      <c r="A54" s="331">
        <v>52</v>
      </c>
      <c r="B54" s="322">
        <v>45225</v>
      </c>
      <c r="C54" s="332">
        <v>0.4458333333333333</v>
      </c>
      <c r="D54" s="216" t="s">
        <v>2262</v>
      </c>
      <c r="E54" s="344" t="s">
        <v>2268</v>
      </c>
      <c r="F54" s="331">
        <v>3</v>
      </c>
      <c r="G54" s="331" t="s">
        <v>1839</v>
      </c>
      <c r="H54" s="322"/>
      <c r="I54" s="322"/>
      <c r="J54" s="322"/>
      <c r="K54" s="331"/>
      <c r="L54" s="216" t="s">
        <v>587</v>
      </c>
      <c r="M54" s="371" t="s">
        <v>757</v>
      </c>
      <c r="N54" s="331"/>
      <c r="O54" s="216" t="str">
        <f t="shared" ca="1" si="3"/>
        <v>LIMBO</v>
      </c>
      <c r="P54" s="216"/>
      <c r="Q54" s="216" t="s">
        <v>709</v>
      </c>
      <c r="R54" s="216"/>
      <c r="S54" s="216"/>
      <c r="T54" s="320"/>
      <c r="U54" s="320"/>
      <c r="V54" s="331"/>
      <c r="W54" s="331"/>
      <c r="X54" s="331"/>
      <c r="Y54" s="331"/>
      <c r="Z54" s="331"/>
      <c r="AA54" s="331"/>
      <c r="AB54" s="331"/>
      <c r="AC54" s="331"/>
      <c r="AD54" s="331"/>
      <c r="AE54" s="331"/>
      <c r="AF54" s="331"/>
      <c r="AG54" s="331"/>
      <c r="AH54" s="331"/>
      <c r="AI54" s="331" t="s">
        <v>2253</v>
      </c>
      <c r="AJ54" s="370"/>
    </row>
    <row r="55" spans="1:36" ht="39.950000000000003" customHeight="1">
      <c r="A55" s="331">
        <v>53</v>
      </c>
      <c r="B55" s="322">
        <v>45225</v>
      </c>
      <c r="C55" s="332">
        <v>0.44305555555555554</v>
      </c>
      <c r="D55" s="216" t="s">
        <v>1552</v>
      </c>
      <c r="E55" s="346" t="s">
        <v>2263</v>
      </c>
      <c r="F55" s="331">
        <v>6</v>
      </c>
      <c r="G55" s="331" t="s">
        <v>21</v>
      </c>
      <c r="H55" s="322"/>
      <c r="I55" s="322"/>
      <c r="J55" s="322"/>
      <c r="K55" s="331"/>
      <c r="L55" s="216" t="s">
        <v>597</v>
      </c>
      <c r="M55" s="216" t="s">
        <v>2274</v>
      </c>
      <c r="N55" s="216" t="s">
        <v>2275</v>
      </c>
      <c r="O55" s="216" t="str">
        <f t="shared" ca="1" si="3"/>
        <v>LIMBO</v>
      </c>
      <c r="P55" s="216"/>
      <c r="Q55" s="216" t="s">
        <v>709</v>
      </c>
      <c r="R55" s="216"/>
      <c r="S55" s="216"/>
      <c r="T55" s="320"/>
      <c r="U55" s="320"/>
      <c r="V55" s="331"/>
      <c r="W55" s="331"/>
      <c r="X55" s="331"/>
      <c r="Y55" s="331"/>
      <c r="Z55" s="331"/>
      <c r="AA55" s="331"/>
      <c r="AB55" s="331"/>
      <c r="AC55" s="331"/>
      <c r="AD55" s="331"/>
      <c r="AE55" s="331"/>
      <c r="AF55" s="331"/>
      <c r="AG55" s="331"/>
      <c r="AH55" s="331"/>
      <c r="AI55" s="331" t="s">
        <v>2162</v>
      </c>
      <c r="AJ55" s="370"/>
    </row>
    <row r="56" spans="1:36" ht="39.950000000000003" customHeight="1">
      <c r="A56" s="331">
        <v>54</v>
      </c>
      <c r="B56" s="322">
        <v>45226</v>
      </c>
      <c r="C56" s="332">
        <v>0.39374999999999999</v>
      </c>
      <c r="D56" s="216" t="s">
        <v>789</v>
      </c>
      <c r="E56" s="346" t="s">
        <v>2267</v>
      </c>
      <c r="F56" s="331">
        <v>2</v>
      </c>
      <c r="G56" s="331" t="s">
        <v>1839</v>
      </c>
      <c r="H56" s="322"/>
      <c r="I56" s="322"/>
      <c r="J56" s="322"/>
      <c r="K56" s="331"/>
      <c r="L56" s="216" t="s">
        <v>781</v>
      </c>
      <c r="M56" s="216" t="s">
        <v>529</v>
      </c>
      <c r="N56" s="216" t="s">
        <v>2281</v>
      </c>
      <c r="O56" s="216" t="str">
        <f t="shared" ca="1" si="3"/>
        <v>LIMBO</v>
      </c>
      <c r="P56" s="216"/>
      <c r="Q56" s="216" t="s">
        <v>709</v>
      </c>
      <c r="R56" s="216"/>
      <c r="S56" s="216"/>
      <c r="T56" s="320"/>
      <c r="U56" s="320"/>
      <c r="V56" s="331"/>
      <c r="W56" s="331"/>
      <c r="X56" s="331"/>
      <c r="Y56" s="331"/>
      <c r="Z56" s="331"/>
      <c r="AA56" s="331"/>
      <c r="AB56" s="331"/>
      <c r="AC56" s="331"/>
      <c r="AD56" s="331"/>
      <c r="AE56" s="331"/>
      <c r="AF56" s="331"/>
      <c r="AG56" s="331"/>
      <c r="AH56" s="331"/>
      <c r="AI56" s="331" t="s">
        <v>2162</v>
      </c>
      <c r="AJ56" s="370"/>
    </row>
    <row r="57" spans="1:36" ht="39.950000000000003" customHeight="1">
      <c r="A57" s="331">
        <v>55</v>
      </c>
      <c r="B57" s="322">
        <v>45225</v>
      </c>
      <c r="C57" s="332">
        <v>0.53125</v>
      </c>
      <c r="D57" s="216" t="s">
        <v>2269</v>
      </c>
      <c r="E57" s="346" t="s">
        <v>2271</v>
      </c>
      <c r="F57" s="331">
        <v>3</v>
      </c>
      <c r="G57" s="331" t="s">
        <v>32</v>
      </c>
      <c r="H57" s="322"/>
      <c r="I57" s="322"/>
      <c r="J57" s="322"/>
      <c r="K57" s="331"/>
      <c r="L57" s="216" t="s">
        <v>594</v>
      </c>
      <c r="M57" s="216" t="s">
        <v>513</v>
      </c>
      <c r="N57" s="216" t="s">
        <v>2270</v>
      </c>
      <c r="O57" s="216" t="str">
        <f t="shared" ca="1" si="3"/>
        <v>LIMBO</v>
      </c>
      <c r="P57" s="216"/>
      <c r="Q57" s="216" t="s">
        <v>709</v>
      </c>
      <c r="R57" s="216"/>
      <c r="S57" s="216"/>
      <c r="T57" s="320"/>
      <c r="U57" s="320"/>
      <c r="V57" s="331"/>
      <c r="W57" s="331"/>
      <c r="X57" s="331"/>
      <c r="Y57" s="331"/>
      <c r="Z57" s="331"/>
      <c r="AA57" s="331"/>
      <c r="AB57" s="331"/>
      <c r="AC57" s="331"/>
      <c r="AD57" s="331"/>
      <c r="AE57" s="331"/>
      <c r="AF57" s="331"/>
      <c r="AG57" s="331"/>
      <c r="AH57" s="331"/>
      <c r="AI57" s="331" t="s">
        <v>2162</v>
      </c>
      <c r="AJ57" s="370"/>
    </row>
    <row r="58" spans="1:36" ht="39.950000000000003" customHeight="1">
      <c r="A58" s="331">
        <v>56</v>
      </c>
      <c r="B58" s="322">
        <v>45224</v>
      </c>
      <c r="C58" s="332">
        <v>0.45833333333333331</v>
      </c>
      <c r="D58" s="216" t="s">
        <v>1768</v>
      </c>
      <c r="E58" s="346" t="s">
        <v>2273</v>
      </c>
      <c r="F58" s="331">
        <v>7</v>
      </c>
      <c r="G58" s="331" t="s">
        <v>1841</v>
      </c>
      <c r="H58" s="322"/>
      <c r="I58" s="322"/>
      <c r="J58" s="322"/>
      <c r="K58" s="331"/>
      <c r="L58" s="216" t="s">
        <v>596</v>
      </c>
      <c r="M58" s="373" t="s">
        <v>1494</v>
      </c>
      <c r="N58" s="331"/>
      <c r="O58" s="216" t="str">
        <f t="shared" ca="1" si="3"/>
        <v>LIMBO</v>
      </c>
      <c r="P58" s="216"/>
      <c r="Q58" s="216" t="s">
        <v>709</v>
      </c>
      <c r="R58" s="216"/>
      <c r="S58" s="216"/>
      <c r="T58" s="320"/>
      <c r="U58" s="320"/>
      <c r="V58" s="331"/>
      <c r="W58" s="331"/>
      <c r="X58" s="331"/>
      <c r="Y58" s="331"/>
      <c r="Z58" s="331"/>
      <c r="AA58" s="331"/>
      <c r="AB58" s="331"/>
      <c r="AC58" s="331"/>
      <c r="AD58" s="331"/>
      <c r="AE58" s="331"/>
      <c r="AF58" s="331"/>
      <c r="AG58" s="331"/>
      <c r="AH58" s="331"/>
      <c r="AI58" s="331" t="s">
        <v>2162</v>
      </c>
      <c r="AJ58" s="370"/>
    </row>
    <row r="59" spans="1:36" ht="39.950000000000003" customHeight="1">
      <c r="A59" s="331">
        <v>57</v>
      </c>
      <c r="B59" s="322">
        <v>45224</v>
      </c>
      <c r="C59" s="332">
        <v>0.45833333333333331</v>
      </c>
      <c r="D59" s="216" t="s">
        <v>1794</v>
      </c>
      <c r="E59" s="346" t="s">
        <v>2276</v>
      </c>
      <c r="F59" s="331">
        <v>7</v>
      </c>
      <c r="G59" s="331" t="s">
        <v>32</v>
      </c>
      <c r="H59" s="322"/>
      <c r="I59" s="322"/>
      <c r="J59" s="322"/>
      <c r="K59" s="331"/>
      <c r="L59" s="216" t="s">
        <v>284</v>
      </c>
      <c r="M59" s="374" t="s">
        <v>1522</v>
      </c>
      <c r="N59" s="349" t="s">
        <v>2266</v>
      </c>
      <c r="O59" s="216" t="str">
        <f t="shared" ca="1" si="3"/>
        <v>LIMBO</v>
      </c>
      <c r="P59" s="216"/>
      <c r="Q59" s="216" t="s">
        <v>709</v>
      </c>
      <c r="R59" s="216"/>
      <c r="S59" s="216"/>
      <c r="T59" s="320"/>
      <c r="U59" s="320"/>
      <c r="V59" s="331"/>
      <c r="W59" s="331"/>
      <c r="X59" s="331"/>
      <c r="Y59" s="331"/>
      <c r="Z59" s="331"/>
      <c r="AA59" s="331"/>
      <c r="AB59" s="331"/>
      <c r="AC59" s="331"/>
      <c r="AD59" s="331"/>
      <c r="AE59" s="331"/>
      <c r="AF59" s="331"/>
      <c r="AG59" s="331"/>
      <c r="AH59" s="331"/>
      <c r="AI59" s="331" t="s">
        <v>2162</v>
      </c>
      <c r="AJ59" s="370"/>
    </row>
    <row r="60" spans="1:36" ht="39.950000000000003" customHeight="1">
      <c r="A60" s="331">
        <v>58</v>
      </c>
      <c r="B60" s="322">
        <v>45224</v>
      </c>
      <c r="C60" s="332">
        <v>0.45833333333333331</v>
      </c>
      <c r="D60" s="216" t="s">
        <v>2278</v>
      </c>
      <c r="E60" s="344" t="s">
        <v>2279</v>
      </c>
      <c r="F60" s="331">
        <v>7</v>
      </c>
      <c r="G60" s="331" t="s">
        <v>32</v>
      </c>
      <c r="H60" s="322"/>
      <c r="I60" s="322"/>
      <c r="J60" s="322"/>
      <c r="K60" s="331"/>
      <c r="L60" s="216" t="s">
        <v>1384</v>
      </c>
      <c r="M60" s="374" t="s">
        <v>518</v>
      </c>
      <c r="N60" s="216" t="s">
        <v>2280</v>
      </c>
      <c r="O60" s="216" t="str">
        <f t="shared" ca="1" si="3"/>
        <v>LIMBO</v>
      </c>
      <c r="P60" s="216"/>
      <c r="Q60" s="216" t="s">
        <v>709</v>
      </c>
      <c r="R60" s="216"/>
      <c r="S60" s="216"/>
      <c r="T60" s="320"/>
      <c r="U60" s="320"/>
      <c r="V60" s="331"/>
      <c r="W60" s="331"/>
      <c r="X60" s="331"/>
      <c r="Y60" s="331"/>
      <c r="Z60" s="331"/>
      <c r="AA60" s="331"/>
      <c r="AB60" s="331"/>
      <c r="AC60" s="331"/>
      <c r="AD60" s="331"/>
      <c r="AE60" s="331"/>
      <c r="AF60" s="331"/>
      <c r="AG60" s="331"/>
      <c r="AH60" s="331"/>
      <c r="AI60" s="331" t="s">
        <v>2253</v>
      </c>
      <c r="AJ60" s="370"/>
    </row>
    <row r="61" spans="1:36" ht="39.950000000000003" customHeight="1">
      <c r="A61" s="331">
        <v>59</v>
      </c>
      <c r="B61" s="322">
        <v>45229</v>
      </c>
      <c r="C61" s="332">
        <v>0.39999999999999997</v>
      </c>
      <c r="D61" s="216" t="s">
        <v>2283</v>
      </c>
      <c r="E61" s="344" t="s">
        <v>2284</v>
      </c>
      <c r="F61" s="331">
        <v>5</v>
      </c>
      <c r="G61" s="331" t="s">
        <v>1841</v>
      </c>
      <c r="H61" s="322"/>
      <c r="I61" s="322"/>
      <c r="J61" s="322"/>
      <c r="K61" s="331"/>
      <c r="L61" s="216" t="s">
        <v>581</v>
      </c>
      <c r="M61" s="216" t="s">
        <v>1257</v>
      </c>
      <c r="N61" s="216" t="s">
        <v>2296</v>
      </c>
      <c r="O61" s="216" t="str">
        <f t="shared" ca="1" si="3"/>
        <v>LIMBO</v>
      </c>
      <c r="P61" s="216"/>
      <c r="Q61" s="216" t="s">
        <v>709</v>
      </c>
      <c r="R61" s="216"/>
      <c r="S61" s="216"/>
      <c r="T61" s="320"/>
      <c r="U61" s="320"/>
      <c r="V61" s="331"/>
      <c r="W61" s="331"/>
      <c r="X61" s="331"/>
      <c r="Y61" s="331"/>
      <c r="Z61" s="331"/>
      <c r="AA61" s="331"/>
      <c r="AB61" s="331"/>
      <c r="AC61" s="331"/>
      <c r="AD61" s="331"/>
      <c r="AE61" s="331"/>
      <c r="AF61" s="331"/>
      <c r="AG61" s="331"/>
      <c r="AH61" s="331"/>
      <c r="AI61" s="331" t="s">
        <v>2253</v>
      </c>
      <c r="AJ61" s="370"/>
    </row>
    <row r="62" spans="1:36" ht="39.950000000000003" customHeight="1">
      <c r="A62" s="331">
        <v>60</v>
      </c>
      <c r="B62" s="322">
        <v>45229</v>
      </c>
      <c r="C62" s="332">
        <v>0.3888888888888889</v>
      </c>
      <c r="D62" s="216" t="s">
        <v>2285</v>
      </c>
      <c r="E62" s="346" t="s">
        <v>2392</v>
      </c>
      <c r="F62" s="331">
        <v>1</v>
      </c>
      <c r="G62" s="331" t="s">
        <v>1839</v>
      </c>
      <c r="H62" s="322"/>
      <c r="I62" s="322"/>
      <c r="J62" s="322"/>
      <c r="K62" s="331"/>
      <c r="L62" s="216" t="s">
        <v>576</v>
      </c>
      <c r="M62" s="216" t="s">
        <v>794</v>
      </c>
      <c r="N62" s="331"/>
      <c r="O62" s="216" t="str">
        <f t="shared" ca="1" si="3"/>
        <v>LIMBO</v>
      </c>
      <c r="P62" s="216"/>
      <c r="Q62" s="216" t="s">
        <v>709</v>
      </c>
      <c r="R62" s="216"/>
      <c r="S62" s="216"/>
      <c r="T62" s="320"/>
      <c r="U62" s="320"/>
      <c r="V62" s="331"/>
      <c r="W62" s="331"/>
      <c r="X62" s="331"/>
      <c r="Y62" s="331"/>
      <c r="Z62" s="331"/>
      <c r="AA62" s="331"/>
      <c r="AB62" s="331"/>
      <c r="AC62" s="331"/>
      <c r="AD62" s="331"/>
      <c r="AE62" s="331"/>
      <c r="AF62" s="331"/>
      <c r="AG62" s="331"/>
      <c r="AH62" s="331"/>
      <c r="AI62" s="331" t="s">
        <v>2162</v>
      </c>
      <c r="AJ62" s="386"/>
    </row>
    <row r="63" spans="1:36" ht="39.950000000000003" customHeight="1">
      <c r="A63" s="331">
        <v>61</v>
      </c>
      <c r="B63" s="322">
        <v>45229</v>
      </c>
      <c r="C63" s="332">
        <v>0.41041666666666665</v>
      </c>
      <c r="D63" s="216" t="s">
        <v>2286</v>
      </c>
      <c r="E63" s="344" t="s">
        <v>2287</v>
      </c>
      <c r="F63" s="331">
        <v>2</v>
      </c>
      <c r="G63" s="331" t="s">
        <v>1839</v>
      </c>
      <c r="H63" s="322"/>
      <c r="I63" s="322"/>
      <c r="J63" s="322"/>
      <c r="K63" s="331"/>
      <c r="L63" s="216" t="s">
        <v>583</v>
      </c>
      <c r="M63" s="216" t="s">
        <v>794</v>
      </c>
      <c r="N63" s="331"/>
      <c r="O63" s="216" t="str">
        <f t="shared" ca="1" si="3"/>
        <v>LIMBO</v>
      </c>
      <c r="P63" s="216"/>
      <c r="Q63" s="216" t="s">
        <v>709</v>
      </c>
      <c r="R63" s="216"/>
      <c r="S63" s="216"/>
      <c r="T63" s="320"/>
      <c r="U63" s="320"/>
      <c r="V63" s="331"/>
      <c r="W63" s="331"/>
      <c r="X63" s="331"/>
      <c r="Y63" s="331"/>
      <c r="Z63" s="331"/>
      <c r="AA63" s="331"/>
      <c r="AB63" s="331"/>
      <c r="AC63" s="331"/>
      <c r="AD63" s="331"/>
      <c r="AE63" s="331"/>
      <c r="AF63" s="331"/>
      <c r="AG63" s="331"/>
      <c r="AH63" s="331"/>
      <c r="AI63" s="331" t="s">
        <v>2253</v>
      </c>
      <c r="AJ63" s="370"/>
    </row>
    <row r="64" spans="1:36" ht="39.950000000000003" customHeight="1">
      <c r="A64" s="331">
        <v>62</v>
      </c>
      <c r="B64" s="322">
        <v>45226</v>
      </c>
      <c r="C64" s="332">
        <v>0.45624999999999999</v>
      </c>
      <c r="D64" s="216" t="s">
        <v>2288</v>
      </c>
      <c r="E64" s="344" t="s">
        <v>2289</v>
      </c>
      <c r="F64" s="331">
        <v>6</v>
      </c>
      <c r="G64" s="331" t="s">
        <v>21</v>
      </c>
      <c r="H64" s="322"/>
      <c r="I64" s="322"/>
      <c r="J64" s="322"/>
      <c r="K64" s="331"/>
      <c r="L64" s="216" t="s">
        <v>1384</v>
      </c>
      <c r="M64" s="216" t="s">
        <v>1409</v>
      </c>
      <c r="N64" s="331"/>
      <c r="O64" s="216" t="str">
        <f t="shared" ca="1" si="3"/>
        <v>LIMBO</v>
      </c>
      <c r="P64" s="216"/>
      <c r="Q64" s="216" t="s">
        <v>709</v>
      </c>
      <c r="R64" s="216"/>
      <c r="S64" s="216"/>
      <c r="T64" s="320"/>
      <c r="U64" s="320"/>
      <c r="V64" s="331"/>
      <c r="W64" s="331"/>
      <c r="X64" s="331"/>
      <c r="Y64" s="331"/>
      <c r="Z64" s="331"/>
      <c r="AA64" s="331"/>
      <c r="AB64" s="331"/>
      <c r="AC64" s="331"/>
      <c r="AD64" s="331"/>
      <c r="AE64" s="331"/>
      <c r="AF64" s="331"/>
      <c r="AG64" s="331"/>
      <c r="AH64" s="331"/>
      <c r="AI64" s="331" t="s">
        <v>2253</v>
      </c>
      <c r="AJ64" s="386"/>
    </row>
    <row r="65" spans="1:36" ht="39.950000000000003" customHeight="1">
      <c r="A65" s="331">
        <v>63</v>
      </c>
      <c r="B65" s="322">
        <v>45226</v>
      </c>
      <c r="C65" s="332">
        <v>0.46527777777777773</v>
      </c>
      <c r="D65" s="216" t="s">
        <v>2290</v>
      </c>
      <c r="E65" s="344" t="s">
        <v>2291</v>
      </c>
      <c r="F65" s="331">
        <v>6</v>
      </c>
      <c r="G65" s="331"/>
      <c r="H65" s="322"/>
      <c r="I65" s="322"/>
      <c r="J65" s="322"/>
      <c r="K65" s="331"/>
      <c r="L65" s="216" t="s">
        <v>597</v>
      </c>
      <c r="M65" s="216" t="s">
        <v>1409</v>
      </c>
      <c r="N65" s="331"/>
      <c r="O65" s="216" t="str">
        <f t="shared" ca="1" si="3"/>
        <v>LIMBO</v>
      </c>
      <c r="P65" s="216"/>
      <c r="Q65" s="216" t="s">
        <v>709</v>
      </c>
      <c r="R65" s="216"/>
      <c r="S65" s="216"/>
      <c r="T65" s="320"/>
      <c r="U65" s="320"/>
      <c r="V65" s="331"/>
      <c r="W65" s="331"/>
      <c r="X65" s="331"/>
      <c r="Y65" s="331"/>
      <c r="Z65" s="331"/>
      <c r="AA65" s="331"/>
      <c r="AB65" s="331"/>
      <c r="AC65" s="331"/>
      <c r="AD65" s="331"/>
      <c r="AE65" s="331"/>
      <c r="AF65" s="331"/>
      <c r="AG65" s="331"/>
      <c r="AH65" s="331"/>
      <c r="AI65" s="331" t="s">
        <v>2253</v>
      </c>
      <c r="AJ65" s="386"/>
    </row>
    <row r="66" spans="1:36" ht="39.950000000000003" customHeight="1">
      <c r="A66" s="331">
        <v>64</v>
      </c>
      <c r="B66" s="322">
        <v>45226</v>
      </c>
      <c r="C66" s="332">
        <v>0.43194444444444446</v>
      </c>
      <c r="D66" s="216" t="s">
        <v>1644</v>
      </c>
      <c r="E66" s="344" t="s">
        <v>2292</v>
      </c>
      <c r="F66" s="331">
        <v>6</v>
      </c>
      <c r="G66" s="331" t="s">
        <v>1839</v>
      </c>
      <c r="H66" s="322"/>
      <c r="I66" s="322"/>
      <c r="J66" s="322"/>
      <c r="K66" s="331"/>
      <c r="L66" s="216" t="s">
        <v>583</v>
      </c>
      <c r="M66" s="216" t="s">
        <v>514</v>
      </c>
      <c r="N66" s="331"/>
      <c r="O66" s="216" t="str">
        <f t="shared" ca="1" si="3"/>
        <v>LIMBO</v>
      </c>
      <c r="P66" s="216"/>
      <c r="Q66" s="216" t="s">
        <v>709</v>
      </c>
      <c r="R66" s="216"/>
      <c r="S66" s="216"/>
      <c r="T66" s="320"/>
      <c r="U66" s="320"/>
      <c r="V66" s="331"/>
      <c r="W66" s="331"/>
      <c r="X66" s="331"/>
      <c r="Y66" s="331"/>
      <c r="Z66" s="331"/>
      <c r="AA66" s="331"/>
      <c r="AB66" s="331"/>
      <c r="AC66" s="331"/>
      <c r="AD66" s="331"/>
      <c r="AE66" s="331"/>
      <c r="AF66" s="331"/>
      <c r="AG66" s="331"/>
      <c r="AH66" s="331"/>
      <c r="AI66" s="331" t="s">
        <v>2253</v>
      </c>
      <c r="AJ66" s="370"/>
    </row>
    <row r="67" spans="1:36" ht="39.950000000000003" customHeight="1">
      <c r="A67" s="331">
        <v>65</v>
      </c>
      <c r="B67" s="322">
        <v>45229</v>
      </c>
      <c r="C67" s="332">
        <v>0.4680555555555555</v>
      </c>
      <c r="D67" s="331" t="s">
        <v>2293</v>
      </c>
      <c r="E67" s="380" t="s">
        <v>2294</v>
      </c>
      <c r="F67" s="331">
        <v>6</v>
      </c>
      <c r="G67" s="331" t="s">
        <v>21</v>
      </c>
      <c r="H67" s="322"/>
      <c r="I67" s="322"/>
      <c r="J67" s="322"/>
      <c r="K67" s="331"/>
      <c r="L67" s="216" t="s">
        <v>1386</v>
      </c>
      <c r="M67" s="216" t="s">
        <v>538</v>
      </c>
      <c r="N67" s="216" t="s">
        <v>2297</v>
      </c>
      <c r="O67" s="216" t="str">
        <f t="shared" ref="O67:O130" ca="1" si="4">IF($H67&lt;&gt;"",IF($H67&lt;=TODAY(),"SI","NO"),"LIMBO")</f>
        <v>LIMBO</v>
      </c>
      <c r="P67" s="216"/>
      <c r="Q67" s="216" t="s">
        <v>709</v>
      </c>
      <c r="R67" s="216"/>
      <c r="S67" s="216"/>
      <c r="T67" s="320"/>
      <c r="U67" s="320"/>
      <c r="V67" s="331"/>
      <c r="W67" s="331"/>
      <c r="X67" s="331"/>
      <c r="Y67" s="331"/>
      <c r="Z67" s="331"/>
      <c r="AA67" s="331"/>
      <c r="AB67" s="331"/>
      <c r="AC67" s="331"/>
      <c r="AD67" s="331"/>
      <c r="AE67" s="331"/>
      <c r="AF67" s="331"/>
      <c r="AG67" s="331"/>
      <c r="AH67" s="331"/>
      <c r="AI67" s="331" t="s">
        <v>2253</v>
      </c>
      <c r="AJ67" s="386"/>
    </row>
    <row r="68" spans="1:36" ht="39.950000000000003" customHeight="1">
      <c r="A68" s="331">
        <v>66</v>
      </c>
      <c r="B68" s="322">
        <v>45229</v>
      </c>
      <c r="C68" s="332">
        <v>0.53055555555555556</v>
      </c>
      <c r="D68" s="216" t="s">
        <v>2295</v>
      </c>
      <c r="E68" s="346" t="s">
        <v>2315</v>
      </c>
      <c r="F68" s="331">
        <v>2</v>
      </c>
      <c r="G68" s="331" t="s">
        <v>1841</v>
      </c>
      <c r="H68" s="322"/>
      <c r="I68" s="322"/>
      <c r="J68" s="322"/>
      <c r="K68" s="331"/>
      <c r="L68" s="216" t="s">
        <v>167</v>
      </c>
      <c r="M68" s="216" t="s">
        <v>512</v>
      </c>
      <c r="N68" s="216" t="s">
        <v>2316</v>
      </c>
      <c r="O68" s="216" t="str">
        <f t="shared" ca="1" si="4"/>
        <v>LIMBO</v>
      </c>
      <c r="P68" s="216"/>
      <c r="Q68" s="216" t="s">
        <v>709</v>
      </c>
      <c r="R68" s="216"/>
      <c r="S68" s="216"/>
      <c r="T68" s="320"/>
      <c r="U68" s="320"/>
      <c r="V68" s="331"/>
      <c r="W68" s="331"/>
      <c r="X68" s="331"/>
      <c r="Y68" s="331"/>
      <c r="Z68" s="331"/>
      <c r="AA68" s="331"/>
      <c r="AB68" s="331"/>
      <c r="AC68" s="331"/>
      <c r="AD68" s="331"/>
      <c r="AE68" s="331"/>
      <c r="AF68" s="331"/>
      <c r="AG68" s="331"/>
      <c r="AH68" s="331"/>
      <c r="AI68" s="331" t="s">
        <v>2162</v>
      </c>
      <c r="AJ68" s="370"/>
    </row>
    <row r="69" spans="1:36" ht="39.950000000000003" customHeight="1">
      <c r="A69" s="331">
        <v>67</v>
      </c>
      <c r="B69" s="322">
        <v>45229</v>
      </c>
      <c r="C69" s="332">
        <v>0.49305555555555558</v>
      </c>
      <c r="D69" s="216" t="s">
        <v>137</v>
      </c>
      <c r="E69" s="344" t="s">
        <v>2298</v>
      </c>
      <c r="F69" s="331">
        <v>3</v>
      </c>
      <c r="G69" s="331" t="s">
        <v>32</v>
      </c>
      <c r="H69" s="322"/>
      <c r="I69" s="322"/>
      <c r="J69" s="322"/>
      <c r="K69" s="331"/>
      <c r="L69" s="216" t="s">
        <v>578</v>
      </c>
      <c r="M69" s="216" t="s">
        <v>2299</v>
      </c>
      <c r="N69" s="216" t="s">
        <v>2300</v>
      </c>
      <c r="O69" s="216" t="str">
        <f t="shared" ca="1" si="4"/>
        <v>LIMBO</v>
      </c>
      <c r="P69" s="216"/>
      <c r="Q69" s="216" t="s">
        <v>709</v>
      </c>
      <c r="R69" s="216"/>
      <c r="S69" s="216"/>
      <c r="T69" s="320"/>
      <c r="U69" s="320"/>
      <c r="V69" s="331"/>
      <c r="W69" s="331"/>
      <c r="X69" s="331"/>
      <c r="Y69" s="331"/>
      <c r="Z69" s="331"/>
      <c r="AA69" s="331"/>
      <c r="AB69" s="331"/>
      <c r="AC69" s="331"/>
      <c r="AD69" s="331"/>
      <c r="AE69" s="331"/>
      <c r="AF69" s="331"/>
      <c r="AG69" s="331"/>
      <c r="AH69" s="331"/>
      <c r="AI69" s="331" t="s">
        <v>2253</v>
      </c>
      <c r="AJ69" s="370"/>
    </row>
    <row r="70" spans="1:36" ht="39.950000000000003" customHeight="1">
      <c r="A70" s="64">
        <v>68</v>
      </c>
      <c r="B70" s="66">
        <v>45230</v>
      </c>
      <c r="C70" s="381">
        <v>0.33333333333333331</v>
      </c>
      <c r="D70" s="67" t="s">
        <v>2301</v>
      </c>
      <c r="E70" s="382" t="s">
        <v>2302</v>
      </c>
      <c r="F70" s="64">
        <v>2</v>
      </c>
      <c r="G70" s="64" t="s">
        <v>1841</v>
      </c>
      <c r="H70" s="66"/>
      <c r="I70" s="66"/>
      <c r="J70" s="66"/>
      <c r="K70" s="64"/>
      <c r="L70" s="67" t="s">
        <v>585</v>
      </c>
      <c r="M70" s="67" t="s">
        <v>538</v>
      </c>
      <c r="N70" s="67" t="s">
        <v>2332</v>
      </c>
      <c r="O70" s="67" t="str">
        <f t="shared" ca="1" si="4"/>
        <v>LIMBO</v>
      </c>
      <c r="P70" s="67"/>
      <c r="Q70" s="67" t="s">
        <v>709</v>
      </c>
      <c r="R70" s="67"/>
      <c r="S70" s="67"/>
      <c r="T70" s="384"/>
      <c r="U70" s="384"/>
      <c r="V70" s="64"/>
      <c r="W70" s="64"/>
      <c r="X70" s="64"/>
      <c r="Y70" s="64"/>
      <c r="Z70" s="64"/>
      <c r="AA70" s="64"/>
      <c r="AB70" s="64"/>
      <c r="AC70" s="64"/>
      <c r="AD70" s="64"/>
      <c r="AE70" s="64"/>
      <c r="AF70" s="64"/>
      <c r="AG70" s="64"/>
      <c r="AH70" s="64"/>
      <c r="AI70" s="64" t="s">
        <v>2253</v>
      </c>
      <c r="AJ70" s="370"/>
    </row>
    <row r="71" spans="1:36" ht="39.950000000000003" customHeight="1">
      <c r="A71" s="331">
        <v>69</v>
      </c>
      <c r="B71" s="322">
        <v>45230</v>
      </c>
      <c r="C71" s="332">
        <v>0.33333333333333331</v>
      </c>
      <c r="D71" s="216" t="s">
        <v>2304</v>
      </c>
      <c r="E71" s="344" t="s">
        <v>2303</v>
      </c>
      <c r="F71" s="331">
        <v>2</v>
      </c>
      <c r="G71" s="331" t="s">
        <v>32</v>
      </c>
      <c r="H71" s="322"/>
      <c r="I71" s="322"/>
      <c r="J71" s="322"/>
      <c r="K71" s="331"/>
      <c r="L71" s="216" t="s">
        <v>599</v>
      </c>
      <c r="M71" s="216" t="s">
        <v>2320</v>
      </c>
      <c r="N71" s="349" t="s">
        <v>2333</v>
      </c>
      <c r="O71" s="216" t="str">
        <f t="shared" ca="1" si="4"/>
        <v>LIMBO</v>
      </c>
      <c r="P71" s="216"/>
      <c r="Q71" s="216" t="s">
        <v>709</v>
      </c>
      <c r="R71" s="216"/>
      <c r="S71" s="216"/>
      <c r="T71" s="320"/>
      <c r="U71" s="320"/>
      <c r="V71" s="331"/>
      <c r="W71" s="331"/>
      <c r="X71" s="331"/>
      <c r="Y71" s="331"/>
      <c r="Z71" s="331"/>
      <c r="AA71" s="331"/>
      <c r="AB71" s="331"/>
      <c r="AC71" s="331"/>
      <c r="AD71" s="331"/>
      <c r="AE71" s="331"/>
      <c r="AF71" s="331"/>
      <c r="AG71" s="331"/>
      <c r="AH71" s="331"/>
      <c r="AI71" s="331" t="s">
        <v>2253</v>
      </c>
      <c r="AJ71" s="386"/>
    </row>
    <row r="72" spans="1:36" ht="39.950000000000003" customHeight="1">
      <c r="A72" s="64">
        <v>70</v>
      </c>
      <c r="B72" s="66">
        <v>45230</v>
      </c>
      <c r="C72" s="381">
        <v>0.33333333333333331</v>
      </c>
      <c r="D72" s="67" t="s">
        <v>2305</v>
      </c>
      <c r="E72" s="382" t="s">
        <v>2306</v>
      </c>
      <c r="F72" s="64">
        <v>3</v>
      </c>
      <c r="G72" s="64" t="s">
        <v>1839</v>
      </c>
      <c r="H72" s="66"/>
      <c r="I72" s="66"/>
      <c r="J72" s="66"/>
      <c r="K72" s="64"/>
      <c r="L72" s="67" t="s">
        <v>585</v>
      </c>
      <c r="M72" s="67" t="s">
        <v>2319</v>
      </c>
      <c r="N72" s="383" t="s">
        <v>2334</v>
      </c>
      <c r="O72" s="67" t="str">
        <f t="shared" ca="1" si="4"/>
        <v>LIMBO</v>
      </c>
      <c r="P72" s="67"/>
      <c r="Q72" s="67" t="s">
        <v>709</v>
      </c>
      <c r="R72" s="67"/>
      <c r="S72" s="67"/>
      <c r="T72" s="384"/>
      <c r="U72" s="384"/>
      <c r="V72" s="64"/>
      <c r="W72" s="64"/>
      <c r="X72" s="64"/>
      <c r="Y72" s="64"/>
      <c r="Z72" s="64"/>
      <c r="AA72" s="64"/>
      <c r="AB72" s="64"/>
      <c r="AC72" s="64"/>
      <c r="AD72" s="64"/>
      <c r="AE72" s="64"/>
      <c r="AF72" s="64"/>
      <c r="AG72" s="64"/>
      <c r="AH72" s="64"/>
      <c r="AI72" s="64" t="s">
        <v>2253</v>
      </c>
      <c r="AJ72" s="370"/>
    </row>
    <row r="73" spans="1:36" ht="39.950000000000003" customHeight="1">
      <c r="A73" s="64">
        <v>71</v>
      </c>
      <c r="B73" s="66">
        <v>45230</v>
      </c>
      <c r="C73" s="381">
        <v>0.33333333333333331</v>
      </c>
      <c r="D73" s="67" t="s">
        <v>2307</v>
      </c>
      <c r="E73" s="382" t="s">
        <v>2308</v>
      </c>
      <c r="F73" s="64">
        <v>2</v>
      </c>
      <c r="G73" s="64" t="s">
        <v>1841</v>
      </c>
      <c r="H73" s="66"/>
      <c r="I73" s="66"/>
      <c r="J73" s="66"/>
      <c r="K73" s="64"/>
      <c r="L73" s="67" t="s">
        <v>781</v>
      </c>
      <c r="M73" s="67" t="s">
        <v>513</v>
      </c>
      <c r="N73" s="383" t="s">
        <v>2325</v>
      </c>
      <c r="O73" s="67" t="str">
        <f t="shared" ca="1" si="4"/>
        <v>LIMBO</v>
      </c>
      <c r="P73" s="67"/>
      <c r="Q73" s="67" t="s">
        <v>709</v>
      </c>
      <c r="R73" s="67"/>
      <c r="S73" s="67"/>
      <c r="T73" s="384"/>
      <c r="U73" s="384"/>
      <c r="V73" s="64"/>
      <c r="W73" s="64"/>
      <c r="X73" s="64"/>
      <c r="Y73" s="64"/>
      <c r="Z73" s="64"/>
      <c r="AA73" s="64"/>
      <c r="AB73" s="64"/>
      <c r="AC73" s="64"/>
      <c r="AD73" s="64"/>
      <c r="AE73" s="64"/>
      <c r="AF73" s="64"/>
      <c r="AG73" s="64"/>
      <c r="AH73" s="64"/>
      <c r="AI73" s="64" t="s">
        <v>2253</v>
      </c>
      <c r="AJ73" s="370"/>
    </row>
    <row r="74" spans="1:36" ht="39.950000000000003" customHeight="1">
      <c r="A74" s="375">
        <v>72</v>
      </c>
      <c r="B74" s="376">
        <v>45230</v>
      </c>
      <c r="C74" s="377">
        <v>0.33333333333333331</v>
      </c>
      <c r="D74" s="152" t="s">
        <v>2309</v>
      </c>
      <c r="E74" s="378" t="s">
        <v>2310</v>
      </c>
      <c r="F74" s="375">
        <v>2</v>
      </c>
      <c r="G74" s="375"/>
      <c r="H74" s="376"/>
      <c r="I74" s="376"/>
      <c r="J74" s="376"/>
      <c r="K74" s="375"/>
      <c r="L74" s="152" t="s">
        <v>592</v>
      </c>
      <c r="M74" s="152"/>
      <c r="N74" s="375"/>
      <c r="O74" s="152" t="str">
        <f t="shared" ca="1" si="4"/>
        <v>LIMBO</v>
      </c>
      <c r="P74" s="152"/>
      <c r="Q74" s="152" t="s">
        <v>709</v>
      </c>
      <c r="R74" s="152"/>
      <c r="S74" s="152"/>
      <c r="T74" s="379"/>
      <c r="U74" s="379"/>
      <c r="V74" s="375"/>
      <c r="W74" s="375"/>
      <c r="X74" s="375"/>
      <c r="Y74" s="375"/>
      <c r="Z74" s="375"/>
      <c r="AA74" s="375"/>
      <c r="AB74" s="375"/>
      <c r="AC74" s="375"/>
      <c r="AD74" s="375"/>
      <c r="AE74" s="375"/>
      <c r="AF74" s="375"/>
      <c r="AG74" s="375"/>
      <c r="AH74" s="375"/>
      <c r="AI74" s="375" t="s">
        <v>2253</v>
      </c>
      <c r="AJ74" s="370"/>
    </row>
    <row r="75" spans="1:36" ht="39.950000000000003" customHeight="1">
      <c r="A75" s="331">
        <v>73</v>
      </c>
      <c r="B75" s="322">
        <v>45230</v>
      </c>
      <c r="C75" s="332">
        <v>0.33333333333333331</v>
      </c>
      <c r="D75" s="216" t="s">
        <v>2311</v>
      </c>
      <c r="E75" s="344" t="s">
        <v>2312</v>
      </c>
      <c r="F75" s="331">
        <v>7</v>
      </c>
      <c r="G75" s="331" t="s">
        <v>21</v>
      </c>
      <c r="H75" s="322"/>
      <c r="I75" s="322"/>
      <c r="J75" s="322"/>
      <c r="K75" s="331"/>
      <c r="L75" s="216" t="s">
        <v>598</v>
      </c>
      <c r="M75" s="216" t="s">
        <v>530</v>
      </c>
      <c r="N75" s="216" t="s">
        <v>2330</v>
      </c>
      <c r="O75" s="216" t="str">
        <f t="shared" ca="1" si="4"/>
        <v>LIMBO</v>
      </c>
      <c r="P75" s="216"/>
      <c r="Q75" s="216" t="s">
        <v>709</v>
      </c>
      <c r="R75" s="216"/>
      <c r="S75" s="216"/>
      <c r="T75" s="320"/>
      <c r="U75" s="320"/>
      <c r="V75" s="331"/>
      <c r="W75" s="331"/>
      <c r="X75" s="331"/>
      <c r="Y75" s="331"/>
      <c r="Z75" s="331"/>
      <c r="AA75" s="331"/>
      <c r="AB75" s="331"/>
      <c r="AC75" s="331"/>
      <c r="AD75" s="331"/>
      <c r="AE75" s="331"/>
      <c r="AF75" s="331"/>
      <c r="AG75" s="331"/>
      <c r="AH75" s="331"/>
      <c r="AI75" s="331" t="s">
        <v>2253</v>
      </c>
      <c r="AJ75" s="386"/>
    </row>
    <row r="76" spans="1:36" ht="39.950000000000003" customHeight="1">
      <c r="A76" s="331">
        <v>74</v>
      </c>
      <c r="B76" s="322">
        <v>45230</v>
      </c>
      <c r="C76" s="332">
        <v>0.33333333333333331</v>
      </c>
      <c r="D76" s="216" t="s">
        <v>2313</v>
      </c>
      <c r="E76" s="344" t="s">
        <v>2314</v>
      </c>
      <c r="F76" s="331">
        <v>3</v>
      </c>
      <c r="G76" s="331"/>
      <c r="H76" s="322"/>
      <c r="I76" s="322"/>
      <c r="J76" s="322"/>
      <c r="K76" s="331"/>
      <c r="L76" s="216" t="s">
        <v>595</v>
      </c>
      <c r="M76" s="216" t="s">
        <v>554</v>
      </c>
      <c r="N76" s="331"/>
      <c r="O76" s="216" t="str">
        <f t="shared" ca="1" si="4"/>
        <v>LIMBO</v>
      </c>
      <c r="P76" s="216"/>
      <c r="Q76" s="216" t="s">
        <v>709</v>
      </c>
      <c r="R76" s="216"/>
      <c r="S76" s="216"/>
      <c r="T76" s="320"/>
      <c r="U76" s="320"/>
      <c r="V76" s="331"/>
      <c r="W76" s="331"/>
      <c r="X76" s="331"/>
      <c r="Y76" s="331"/>
      <c r="Z76" s="331"/>
      <c r="AA76" s="331"/>
      <c r="AB76" s="331"/>
      <c r="AC76" s="331"/>
      <c r="AD76" s="331"/>
      <c r="AE76" s="331"/>
      <c r="AF76" s="331"/>
      <c r="AG76" s="331"/>
      <c r="AH76" s="331"/>
      <c r="AI76" s="331" t="s">
        <v>2253</v>
      </c>
      <c r="AJ76" s="370"/>
    </row>
    <row r="77" spans="1:36" ht="39.950000000000003" customHeight="1">
      <c r="A77" s="331">
        <v>75</v>
      </c>
      <c r="B77" s="322">
        <v>45230</v>
      </c>
      <c r="C77" s="332">
        <v>0.54166666666666663</v>
      </c>
      <c r="D77" s="216" t="s">
        <v>2317</v>
      </c>
      <c r="E77" s="344" t="s">
        <v>2318</v>
      </c>
      <c r="F77" s="331">
        <v>2</v>
      </c>
      <c r="G77" s="331" t="s">
        <v>1839</v>
      </c>
      <c r="H77" s="322"/>
      <c r="I77" s="322"/>
      <c r="J77" s="322"/>
      <c r="K77" s="331"/>
      <c r="L77" s="216" t="s">
        <v>583</v>
      </c>
      <c r="M77" s="216" t="s">
        <v>510</v>
      </c>
      <c r="N77" s="331"/>
      <c r="O77" s="216" t="str">
        <f t="shared" ca="1" si="4"/>
        <v>LIMBO</v>
      </c>
      <c r="P77" s="216"/>
      <c r="Q77" s="216" t="s">
        <v>709</v>
      </c>
      <c r="R77" s="216"/>
      <c r="S77" s="216"/>
      <c r="T77" s="320"/>
      <c r="U77" s="320"/>
      <c r="V77" s="331"/>
      <c r="W77" s="331"/>
      <c r="X77" s="331"/>
      <c r="Y77" s="331"/>
      <c r="Z77" s="331"/>
      <c r="AA77" s="331"/>
      <c r="AB77" s="331"/>
      <c r="AC77" s="331"/>
      <c r="AD77" s="331"/>
      <c r="AE77" s="331"/>
      <c r="AF77" s="331"/>
      <c r="AG77" s="331"/>
      <c r="AH77" s="331"/>
      <c r="AI77" s="331" t="s">
        <v>2253</v>
      </c>
      <c r="AJ77" s="386"/>
    </row>
    <row r="78" spans="1:36" ht="39.950000000000003" customHeight="1">
      <c r="A78" s="64">
        <v>76</v>
      </c>
      <c r="B78" s="66">
        <v>45230</v>
      </c>
      <c r="C78" s="381">
        <v>0.54166666666666663</v>
      </c>
      <c r="D78" s="67" t="s">
        <v>2321</v>
      </c>
      <c r="E78" s="385" t="s">
        <v>2328</v>
      </c>
      <c r="F78" s="64">
        <v>2</v>
      </c>
      <c r="G78" s="64" t="s">
        <v>1839</v>
      </c>
      <c r="H78" s="66"/>
      <c r="I78" s="66"/>
      <c r="J78" s="66"/>
      <c r="K78" s="64"/>
      <c r="L78" s="67" t="s">
        <v>574</v>
      </c>
      <c r="M78" s="67" t="s">
        <v>2323</v>
      </c>
      <c r="N78" s="67" t="s">
        <v>2329</v>
      </c>
      <c r="O78" s="67" t="str">
        <f t="shared" ca="1" si="4"/>
        <v>LIMBO</v>
      </c>
      <c r="P78" s="67"/>
      <c r="Q78" s="67" t="s">
        <v>709</v>
      </c>
      <c r="R78" s="67"/>
      <c r="S78" s="67"/>
      <c r="T78" s="384"/>
      <c r="U78" s="384"/>
      <c r="V78" s="64"/>
      <c r="W78" s="64"/>
      <c r="X78" s="64"/>
      <c r="Y78" s="64"/>
      <c r="Z78" s="64"/>
      <c r="AA78" s="64"/>
      <c r="AB78" s="64"/>
      <c r="AC78" s="64"/>
      <c r="AD78" s="64"/>
      <c r="AE78" s="64"/>
      <c r="AF78" s="64"/>
      <c r="AG78" s="64"/>
      <c r="AH78" s="64"/>
      <c r="AI78" s="64" t="s">
        <v>2162</v>
      </c>
      <c r="AJ78" s="370"/>
    </row>
    <row r="79" spans="1:36" ht="39.950000000000003" customHeight="1">
      <c r="A79" s="375">
        <v>77</v>
      </c>
      <c r="B79" s="376">
        <v>45230</v>
      </c>
      <c r="C79" s="377">
        <v>0.45833333333333331</v>
      </c>
      <c r="D79" s="152" t="s">
        <v>2055</v>
      </c>
      <c r="E79" s="387" t="s">
        <v>2326</v>
      </c>
      <c r="F79" s="375">
        <v>2</v>
      </c>
      <c r="G79" s="375" t="s">
        <v>32</v>
      </c>
      <c r="H79" s="376"/>
      <c r="I79" s="376"/>
      <c r="J79" s="376"/>
      <c r="K79" s="375"/>
      <c r="L79" s="152" t="s">
        <v>1386</v>
      </c>
      <c r="M79" s="152" t="s">
        <v>2324</v>
      </c>
      <c r="N79" s="152" t="s">
        <v>2327</v>
      </c>
      <c r="O79" s="152" t="str">
        <f t="shared" ca="1" si="4"/>
        <v>LIMBO</v>
      </c>
      <c r="P79" s="152"/>
      <c r="Q79" s="152" t="s">
        <v>709</v>
      </c>
      <c r="R79" s="152"/>
      <c r="S79" s="152"/>
      <c r="T79" s="379"/>
      <c r="U79" s="379"/>
      <c r="V79" s="375"/>
      <c r="W79" s="375"/>
      <c r="X79" s="375"/>
      <c r="Y79" s="375"/>
      <c r="Z79" s="375"/>
      <c r="AA79" s="375"/>
      <c r="AB79" s="375"/>
      <c r="AC79" s="375"/>
      <c r="AD79" s="375"/>
      <c r="AE79" s="375"/>
      <c r="AF79" s="375"/>
      <c r="AG79" s="375"/>
      <c r="AH79" s="375"/>
      <c r="AI79" s="375" t="s">
        <v>2162</v>
      </c>
      <c r="AJ79" s="388"/>
    </row>
    <row r="80" spans="1:36" ht="39.950000000000003" customHeight="1">
      <c r="A80" s="331">
        <v>78</v>
      </c>
      <c r="B80" s="322">
        <v>45231</v>
      </c>
      <c r="C80" s="332">
        <v>0.33333333333333331</v>
      </c>
      <c r="D80" s="216" t="s">
        <v>2335</v>
      </c>
      <c r="E80" s="344" t="s">
        <v>2336</v>
      </c>
      <c r="F80" s="331">
        <v>2</v>
      </c>
      <c r="G80" s="331" t="s">
        <v>1839</v>
      </c>
      <c r="H80" s="322"/>
      <c r="I80" s="322"/>
      <c r="J80" s="322"/>
      <c r="K80" s="331"/>
      <c r="L80" s="216" t="s">
        <v>1386</v>
      </c>
      <c r="M80" s="216" t="s">
        <v>538</v>
      </c>
      <c r="N80" s="331"/>
      <c r="O80" s="216" t="str">
        <f t="shared" ca="1" si="4"/>
        <v>LIMBO</v>
      </c>
      <c r="P80" s="216"/>
      <c r="Q80" s="216" t="s">
        <v>709</v>
      </c>
      <c r="R80" s="216"/>
      <c r="S80" s="216"/>
      <c r="T80" s="320"/>
      <c r="U80" s="320"/>
      <c r="V80" s="331"/>
      <c r="W80" s="331"/>
      <c r="X80" s="331"/>
      <c r="Y80" s="331"/>
      <c r="Z80" s="331"/>
      <c r="AA80" s="331"/>
      <c r="AB80" s="331"/>
      <c r="AC80" s="331"/>
      <c r="AD80" s="331"/>
      <c r="AE80" s="331"/>
      <c r="AF80" s="331"/>
      <c r="AG80" s="331"/>
      <c r="AH80" s="331"/>
      <c r="AI80" s="331" t="s">
        <v>2253</v>
      </c>
      <c r="AJ80" s="386"/>
    </row>
    <row r="81" spans="1:36" ht="39.950000000000003" customHeight="1">
      <c r="A81" s="331">
        <v>79</v>
      </c>
      <c r="B81" s="322">
        <v>45231</v>
      </c>
      <c r="C81" s="332">
        <v>0.33333333333333331</v>
      </c>
      <c r="D81" s="216" t="s">
        <v>2337</v>
      </c>
      <c r="E81" s="344" t="s">
        <v>2338</v>
      </c>
      <c r="F81" s="331">
        <v>2</v>
      </c>
      <c r="G81" s="331" t="s">
        <v>1839</v>
      </c>
      <c r="H81" s="322"/>
      <c r="I81" s="322"/>
      <c r="J81" s="322"/>
      <c r="K81" s="331"/>
      <c r="L81" s="216" t="s">
        <v>588</v>
      </c>
      <c r="M81" s="216" t="s">
        <v>2397</v>
      </c>
      <c r="N81" s="331"/>
      <c r="O81" s="216" t="str">
        <f t="shared" ca="1" si="4"/>
        <v>LIMBO</v>
      </c>
      <c r="P81" s="216"/>
      <c r="Q81" s="216" t="s">
        <v>709</v>
      </c>
      <c r="R81" s="216"/>
      <c r="S81" s="216"/>
      <c r="T81" s="320"/>
      <c r="U81" s="320"/>
      <c r="V81" s="331"/>
      <c r="W81" s="331"/>
      <c r="X81" s="331"/>
      <c r="Y81" s="331"/>
      <c r="Z81" s="331"/>
      <c r="AA81" s="331"/>
      <c r="AB81" s="331"/>
      <c r="AC81" s="331"/>
      <c r="AD81" s="331"/>
      <c r="AE81" s="331"/>
      <c r="AF81" s="331"/>
      <c r="AG81" s="331"/>
      <c r="AH81" s="331"/>
      <c r="AI81" s="331" t="s">
        <v>2253</v>
      </c>
      <c r="AJ81" s="331"/>
    </row>
    <row r="82" spans="1:36" ht="39.950000000000003" customHeight="1">
      <c r="A82" s="375">
        <v>80</v>
      </c>
      <c r="B82" s="376">
        <v>45231</v>
      </c>
      <c r="C82" s="377">
        <v>0.42777777777777781</v>
      </c>
      <c r="D82" s="152" t="s">
        <v>2339</v>
      </c>
      <c r="E82" s="378" t="s">
        <v>2340</v>
      </c>
      <c r="F82" s="375">
        <v>6</v>
      </c>
      <c r="G82" s="375"/>
      <c r="H82" s="376"/>
      <c r="I82" s="376"/>
      <c r="J82" s="376"/>
      <c r="K82" s="375"/>
      <c r="L82" s="152" t="s">
        <v>585</v>
      </c>
      <c r="M82" s="152"/>
      <c r="N82" s="375"/>
      <c r="O82" s="152" t="str">
        <f t="shared" ca="1" si="4"/>
        <v>LIMBO</v>
      </c>
      <c r="P82" s="152"/>
      <c r="Q82" s="152" t="s">
        <v>709</v>
      </c>
      <c r="R82" s="152"/>
      <c r="S82" s="152"/>
      <c r="T82" s="379"/>
      <c r="U82" s="379"/>
      <c r="V82" s="375"/>
      <c r="W82" s="375"/>
      <c r="X82" s="375"/>
      <c r="Y82" s="375"/>
      <c r="Z82" s="375"/>
      <c r="AA82" s="375"/>
      <c r="AB82" s="375"/>
      <c r="AC82" s="375"/>
      <c r="AD82" s="375"/>
      <c r="AE82" s="375"/>
      <c r="AF82" s="375"/>
      <c r="AG82" s="375"/>
      <c r="AH82" s="375"/>
      <c r="AI82" s="375" t="s">
        <v>2253</v>
      </c>
      <c r="AJ82" s="375"/>
    </row>
    <row r="83" spans="1:36" ht="39.950000000000003" customHeight="1">
      <c r="A83" s="375">
        <v>81</v>
      </c>
      <c r="B83" s="376">
        <v>45231</v>
      </c>
      <c r="C83" s="377">
        <v>0.43472222222222223</v>
      </c>
      <c r="D83" s="152" t="s">
        <v>2341</v>
      </c>
      <c r="E83" s="378" t="s">
        <v>2342</v>
      </c>
      <c r="F83" s="375">
        <v>6</v>
      </c>
      <c r="G83" s="375"/>
      <c r="H83" s="376"/>
      <c r="I83" s="376"/>
      <c r="J83" s="376"/>
      <c r="K83" s="375"/>
      <c r="L83" s="152" t="s">
        <v>576</v>
      </c>
      <c r="M83" s="152"/>
      <c r="N83" s="375"/>
      <c r="O83" s="152" t="str">
        <f t="shared" ca="1" si="4"/>
        <v>LIMBO</v>
      </c>
      <c r="P83" s="152"/>
      <c r="Q83" s="152" t="s">
        <v>709</v>
      </c>
      <c r="R83" s="152"/>
      <c r="S83" s="152"/>
      <c r="T83" s="379"/>
      <c r="U83" s="379"/>
      <c r="V83" s="375"/>
      <c r="W83" s="375"/>
      <c r="X83" s="375"/>
      <c r="Y83" s="375"/>
      <c r="Z83" s="375"/>
      <c r="AA83" s="375"/>
      <c r="AB83" s="375"/>
      <c r="AC83" s="375"/>
      <c r="AD83" s="375"/>
      <c r="AE83" s="375"/>
      <c r="AF83" s="375"/>
      <c r="AG83" s="375"/>
      <c r="AH83" s="375"/>
      <c r="AI83" s="375" t="s">
        <v>2253</v>
      </c>
      <c r="AJ83" s="375"/>
    </row>
    <row r="84" spans="1:36" ht="39.950000000000003" customHeight="1">
      <c r="A84" s="375">
        <v>82</v>
      </c>
      <c r="B84" s="376">
        <v>45231</v>
      </c>
      <c r="C84" s="377">
        <v>0.43055555555555558</v>
      </c>
      <c r="D84" s="152" t="s">
        <v>2343</v>
      </c>
      <c r="E84" s="378" t="s">
        <v>2344</v>
      </c>
      <c r="F84" s="375">
        <v>6</v>
      </c>
      <c r="G84" s="375"/>
      <c r="H84" s="376"/>
      <c r="I84" s="376"/>
      <c r="J84" s="376"/>
      <c r="K84" s="375"/>
      <c r="L84" s="152" t="s">
        <v>586</v>
      </c>
      <c r="M84" s="152"/>
      <c r="N84" s="375"/>
      <c r="O84" s="152" t="str">
        <f t="shared" ca="1" si="4"/>
        <v>LIMBO</v>
      </c>
      <c r="P84" s="152"/>
      <c r="Q84" s="152" t="s">
        <v>709</v>
      </c>
      <c r="R84" s="152"/>
      <c r="S84" s="152"/>
      <c r="T84" s="379"/>
      <c r="U84" s="379"/>
      <c r="V84" s="375"/>
      <c r="W84" s="375"/>
      <c r="X84" s="375"/>
      <c r="Y84" s="375"/>
      <c r="Z84" s="375"/>
      <c r="AA84" s="375"/>
      <c r="AB84" s="375"/>
      <c r="AC84" s="375"/>
      <c r="AD84" s="375"/>
      <c r="AE84" s="375"/>
      <c r="AF84" s="375"/>
      <c r="AG84" s="375"/>
      <c r="AH84" s="375"/>
      <c r="AI84" s="375" t="s">
        <v>2253</v>
      </c>
      <c r="AJ84" s="375"/>
    </row>
    <row r="85" spans="1:36" ht="39.950000000000003" customHeight="1">
      <c r="A85" s="375">
        <v>83</v>
      </c>
      <c r="B85" s="376">
        <v>45231</v>
      </c>
      <c r="C85" s="377">
        <v>0.4381944444444445</v>
      </c>
      <c r="D85" s="152" t="s">
        <v>2345</v>
      </c>
      <c r="E85" s="378" t="s">
        <v>2346</v>
      </c>
      <c r="F85" s="375">
        <v>6</v>
      </c>
      <c r="G85" s="375"/>
      <c r="H85" s="376"/>
      <c r="I85" s="376"/>
      <c r="J85" s="376"/>
      <c r="K85" s="375"/>
      <c r="L85" s="152" t="s">
        <v>573</v>
      </c>
      <c r="M85" s="152"/>
      <c r="N85" s="375"/>
      <c r="O85" s="152" t="str">
        <f t="shared" ca="1" si="4"/>
        <v>LIMBO</v>
      </c>
      <c r="P85" s="152"/>
      <c r="Q85" s="152" t="s">
        <v>709</v>
      </c>
      <c r="R85" s="152"/>
      <c r="S85" s="152"/>
      <c r="T85" s="379"/>
      <c r="U85" s="379"/>
      <c r="V85" s="375"/>
      <c r="W85" s="375"/>
      <c r="X85" s="375"/>
      <c r="Y85" s="375"/>
      <c r="Z85" s="375"/>
      <c r="AA85" s="375"/>
      <c r="AB85" s="375"/>
      <c r="AC85" s="375"/>
      <c r="AD85" s="375"/>
      <c r="AE85" s="375"/>
      <c r="AF85" s="375"/>
      <c r="AG85" s="375"/>
      <c r="AH85" s="375"/>
      <c r="AI85" s="375" t="s">
        <v>2253</v>
      </c>
      <c r="AJ85" s="375"/>
    </row>
    <row r="86" spans="1:36" ht="39.950000000000003" customHeight="1">
      <c r="A86" s="375">
        <v>84</v>
      </c>
      <c r="B86" s="376">
        <v>45231</v>
      </c>
      <c r="C86" s="377">
        <v>0.44236111111111115</v>
      </c>
      <c r="D86" s="152" t="s">
        <v>2347</v>
      </c>
      <c r="E86" s="378" t="s">
        <v>2348</v>
      </c>
      <c r="F86" s="375">
        <v>6</v>
      </c>
      <c r="G86" s="375"/>
      <c r="H86" s="376"/>
      <c r="I86" s="376"/>
      <c r="J86" s="376"/>
      <c r="K86" s="375"/>
      <c r="L86" s="152" t="s">
        <v>1386</v>
      </c>
      <c r="M86" s="152"/>
      <c r="N86" s="375"/>
      <c r="O86" s="152" t="str">
        <f t="shared" ca="1" si="4"/>
        <v>LIMBO</v>
      </c>
      <c r="P86" s="152"/>
      <c r="Q86" s="152" t="s">
        <v>709</v>
      </c>
      <c r="R86" s="152"/>
      <c r="S86" s="152"/>
      <c r="T86" s="379"/>
      <c r="U86" s="379"/>
      <c r="V86" s="375"/>
      <c r="W86" s="375"/>
      <c r="X86" s="375"/>
      <c r="Y86" s="375"/>
      <c r="Z86" s="375"/>
      <c r="AA86" s="375"/>
      <c r="AB86" s="375"/>
      <c r="AC86" s="375"/>
      <c r="AD86" s="375"/>
      <c r="AE86" s="375"/>
      <c r="AF86" s="375"/>
      <c r="AG86" s="375"/>
      <c r="AH86" s="375"/>
      <c r="AI86" s="375" t="s">
        <v>2253</v>
      </c>
      <c r="AJ86" s="375"/>
    </row>
    <row r="87" spans="1:36" ht="39.950000000000003" customHeight="1">
      <c r="A87" s="375">
        <v>85</v>
      </c>
      <c r="B87" s="376">
        <v>45231</v>
      </c>
      <c r="C87" s="377">
        <v>0.46736111111111112</v>
      </c>
      <c r="D87" s="152" t="s">
        <v>2349</v>
      </c>
      <c r="E87" s="378" t="s">
        <v>2350</v>
      </c>
      <c r="F87" s="375">
        <v>7</v>
      </c>
      <c r="G87" s="375"/>
      <c r="H87" s="376"/>
      <c r="I87" s="376"/>
      <c r="J87" s="376"/>
      <c r="K87" s="375"/>
      <c r="L87" s="152" t="s">
        <v>610</v>
      </c>
      <c r="M87" s="152"/>
      <c r="N87" s="375"/>
      <c r="O87" s="152" t="str">
        <f t="shared" ca="1" si="4"/>
        <v>LIMBO</v>
      </c>
      <c r="P87" s="152"/>
      <c r="Q87" s="152" t="s">
        <v>709</v>
      </c>
      <c r="R87" s="152"/>
      <c r="S87" s="152"/>
      <c r="T87" s="379"/>
      <c r="U87" s="379"/>
      <c r="V87" s="375"/>
      <c r="W87" s="375"/>
      <c r="X87" s="375"/>
      <c r="Y87" s="375"/>
      <c r="Z87" s="375"/>
      <c r="AA87" s="375"/>
      <c r="AB87" s="375"/>
      <c r="AC87" s="375"/>
      <c r="AD87" s="375"/>
      <c r="AE87" s="375"/>
      <c r="AF87" s="375"/>
      <c r="AG87" s="375"/>
      <c r="AH87" s="375"/>
      <c r="AI87" s="375" t="s">
        <v>2253</v>
      </c>
      <c r="AJ87" s="375"/>
    </row>
    <row r="88" spans="1:36" ht="39.950000000000003" customHeight="1">
      <c r="A88" s="375">
        <v>86</v>
      </c>
      <c r="B88" s="376">
        <v>45231</v>
      </c>
      <c r="C88" s="377">
        <v>0.48680555555555555</v>
      </c>
      <c r="D88" s="152" t="s">
        <v>2351</v>
      </c>
      <c r="E88" s="378" t="s">
        <v>2352</v>
      </c>
      <c r="F88" s="375">
        <v>3</v>
      </c>
      <c r="G88" s="375"/>
      <c r="H88" s="376"/>
      <c r="I88" s="376"/>
      <c r="J88" s="376"/>
      <c r="K88" s="375"/>
      <c r="L88" s="152" t="s">
        <v>585</v>
      </c>
      <c r="M88" s="152"/>
      <c r="N88" s="375"/>
      <c r="O88" s="152" t="str">
        <f t="shared" ca="1" si="4"/>
        <v>LIMBO</v>
      </c>
      <c r="P88" s="152"/>
      <c r="Q88" s="152" t="s">
        <v>709</v>
      </c>
      <c r="R88" s="152"/>
      <c r="S88" s="152"/>
      <c r="T88" s="379"/>
      <c r="U88" s="379"/>
      <c r="V88" s="375"/>
      <c r="W88" s="375"/>
      <c r="X88" s="375"/>
      <c r="Y88" s="375"/>
      <c r="Z88" s="375"/>
      <c r="AA88" s="375"/>
      <c r="AB88" s="375"/>
      <c r="AC88" s="375"/>
      <c r="AD88" s="375"/>
      <c r="AE88" s="375"/>
      <c r="AF88" s="375"/>
      <c r="AG88" s="375"/>
      <c r="AH88" s="375"/>
      <c r="AI88" s="375" t="s">
        <v>2253</v>
      </c>
      <c r="AJ88" s="375"/>
    </row>
    <row r="89" spans="1:36" ht="39.950000000000003" customHeight="1">
      <c r="A89" s="375">
        <v>87</v>
      </c>
      <c r="B89" s="376">
        <v>45231</v>
      </c>
      <c r="C89" s="377">
        <v>0.49791666666666662</v>
      </c>
      <c r="D89" s="152" t="s">
        <v>2353</v>
      </c>
      <c r="E89" s="378" t="s">
        <v>2354</v>
      </c>
      <c r="F89" s="375">
        <v>6</v>
      </c>
      <c r="G89" s="375"/>
      <c r="H89" s="376"/>
      <c r="I89" s="376"/>
      <c r="J89" s="376"/>
      <c r="K89" s="375"/>
      <c r="L89" s="152" t="s">
        <v>599</v>
      </c>
      <c r="M89" s="152"/>
      <c r="N89" s="375"/>
      <c r="O89" s="152" t="str">
        <f t="shared" ca="1" si="4"/>
        <v>LIMBO</v>
      </c>
      <c r="P89" s="152"/>
      <c r="Q89" s="152" t="s">
        <v>709</v>
      </c>
      <c r="R89" s="152"/>
      <c r="S89" s="152"/>
      <c r="T89" s="379"/>
      <c r="U89" s="379"/>
      <c r="V89" s="375"/>
      <c r="W89" s="375"/>
      <c r="X89" s="375"/>
      <c r="Y89" s="375"/>
      <c r="Z89" s="375"/>
      <c r="AA89" s="375"/>
      <c r="AB89" s="375"/>
      <c r="AC89" s="375"/>
      <c r="AD89" s="375"/>
      <c r="AE89" s="375"/>
      <c r="AF89" s="375"/>
      <c r="AG89" s="375"/>
      <c r="AH89" s="375"/>
      <c r="AI89" s="375" t="s">
        <v>2253</v>
      </c>
      <c r="AJ89" s="375"/>
    </row>
    <row r="90" spans="1:36" ht="39.950000000000003" customHeight="1">
      <c r="A90" s="375">
        <v>88</v>
      </c>
      <c r="B90" s="376">
        <v>45231</v>
      </c>
      <c r="C90" s="377">
        <v>0.4916666666666667</v>
      </c>
      <c r="D90" s="152" t="s">
        <v>2355</v>
      </c>
      <c r="E90" s="378" t="s">
        <v>2356</v>
      </c>
      <c r="F90" s="375">
        <v>3</v>
      </c>
      <c r="G90" s="375"/>
      <c r="H90" s="376"/>
      <c r="I90" s="376"/>
      <c r="J90" s="376"/>
      <c r="K90" s="375"/>
      <c r="L90" s="152" t="s">
        <v>583</v>
      </c>
      <c r="M90" s="152"/>
      <c r="N90" s="375"/>
      <c r="O90" s="152" t="str">
        <f t="shared" ca="1" si="4"/>
        <v>LIMBO</v>
      </c>
      <c r="P90" s="152"/>
      <c r="Q90" s="152" t="s">
        <v>709</v>
      </c>
      <c r="R90" s="152"/>
      <c r="S90" s="152"/>
      <c r="T90" s="379"/>
      <c r="U90" s="379"/>
      <c r="V90" s="375"/>
      <c r="W90" s="375"/>
      <c r="X90" s="375"/>
      <c r="Y90" s="375"/>
      <c r="Z90" s="375"/>
      <c r="AA90" s="375"/>
      <c r="AB90" s="375"/>
      <c r="AC90" s="375"/>
      <c r="AD90" s="375"/>
      <c r="AE90" s="375"/>
      <c r="AF90" s="375"/>
      <c r="AG90" s="375"/>
      <c r="AH90" s="375"/>
      <c r="AI90" s="375" t="s">
        <v>2253</v>
      </c>
      <c r="AJ90" s="375"/>
    </row>
    <row r="91" spans="1:36" ht="39.950000000000003" customHeight="1">
      <c r="A91" s="331">
        <v>89</v>
      </c>
      <c r="B91" s="322">
        <v>45232</v>
      </c>
      <c r="C91" s="332">
        <v>0.33333333333333331</v>
      </c>
      <c r="D91" s="216" t="s">
        <v>2391</v>
      </c>
      <c r="E91" s="344" t="s">
        <v>2357</v>
      </c>
      <c r="F91" s="331">
        <v>4</v>
      </c>
      <c r="G91" s="331"/>
      <c r="H91" s="322"/>
      <c r="I91" s="322"/>
      <c r="J91" s="322"/>
      <c r="K91" s="331"/>
      <c r="L91" s="216" t="s">
        <v>585</v>
      </c>
      <c r="M91" s="216"/>
      <c r="N91" s="331"/>
      <c r="O91" s="216" t="str">
        <f t="shared" ca="1" si="4"/>
        <v>LIMBO</v>
      </c>
      <c r="P91" s="216"/>
      <c r="Q91" s="216" t="s">
        <v>709</v>
      </c>
      <c r="R91" s="216"/>
      <c r="S91" s="216"/>
      <c r="T91" s="320"/>
      <c r="U91" s="320"/>
      <c r="V91" s="331"/>
      <c r="W91" s="331"/>
      <c r="X91" s="331"/>
      <c r="Y91" s="331"/>
      <c r="Z91" s="331"/>
      <c r="AA91" s="331"/>
      <c r="AB91" s="331"/>
      <c r="AC91" s="331"/>
      <c r="AD91" s="331"/>
      <c r="AE91" s="331"/>
      <c r="AF91" s="331"/>
      <c r="AG91" s="331"/>
      <c r="AH91" s="331"/>
      <c r="AI91" s="331" t="s">
        <v>2253</v>
      </c>
      <c r="AJ91" s="331"/>
    </row>
    <row r="92" spans="1:36" ht="39.950000000000003" customHeight="1">
      <c r="A92" s="331">
        <v>90</v>
      </c>
      <c r="B92" s="322">
        <v>45232</v>
      </c>
      <c r="C92" s="332">
        <v>0.33611111111111108</v>
      </c>
      <c r="D92" s="216" t="s">
        <v>2358</v>
      </c>
      <c r="E92" s="344" t="s">
        <v>2359</v>
      </c>
      <c r="F92" s="331">
        <v>4</v>
      </c>
      <c r="G92" s="331"/>
      <c r="H92" s="322"/>
      <c r="I92" s="322"/>
      <c r="J92" s="322"/>
      <c r="K92" s="331"/>
      <c r="L92" s="216" t="s">
        <v>781</v>
      </c>
      <c r="M92" s="216"/>
      <c r="N92" s="331"/>
      <c r="O92" s="216" t="str">
        <f t="shared" ca="1" si="4"/>
        <v>LIMBO</v>
      </c>
      <c r="P92" s="216"/>
      <c r="Q92" s="216" t="s">
        <v>709</v>
      </c>
      <c r="R92" s="216"/>
      <c r="S92" s="216"/>
      <c r="T92" s="320"/>
      <c r="U92" s="320"/>
      <c r="V92" s="331"/>
      <c r="W92" s="331"/>
      <c r="X92" s="331"/>
      <c r="Y92" s="331"/>
      <c r="Z92" s="331"/>
      <c r="AA92" s="331"/>
      <c r="AB92" s="331"/>
      <c r="AC92" s="331"/>
      <c r="AD92" s="331"/>
      <c r="AE92" s="331"/>
      <c r="AF92" s="331"/>
      <c r="AG92" s="331"/>
      <c r="AH92" s="331"/>
      <c r="AI92" s="331" t="s">
        <v>2253</v>
      </c>
      <c r="AJ92" s="331"/>
    </row>
    <row r="93" spans="1:36" ht="39.950000000000003" customHeight="1">
      <c r="A93" s="331">
        <v>91</v>
      </c>
      <c r="B93" s="322">
        <v>45232</v>
      </c>
      <c r="C93" s="332">
        <v>0.33333333333333331</v>
      </c>
      <c r="D93" s="216" t="s">
        <v>2360</v>
      </c>
      <c r="E93" s="344" t="s">
        <v>2361</v>
      </c>
      <c r="F93" s="331">
        <v>4</v>
      </c>
      <c r="G93" s="331"/>
      <c r="H93" s="322"/>
      <c r="I93" s="322"/>
      <c r="J93" s="322"/>
      <c r="K93" s="331"/>
      <c r="L93" s="216" t="s">
        <v>592</v>
      </c>
      <c r="M93" s="216"/>
      <c r="N93" s="331"/>
      <c r="O93" s="216" t="str">
        <f t="shared" ca="1" si="4"/>
        <v>LIMBO</v>
      </c>
      <c r="P93" s="216"/>
      <c r="Q93" s="216" t="s">
        <v>709</v>
      </c>
      <c r="R93" s="216"/>
      <c r="S93" s="216"/>
      <c r="T93" s="320"/>
      <c r="U93" s="320"/>
      <c r="V93" s="331"/>
      <c r="W93" s="331"/>
      <c r="X93" s="331"/>
      <c r="Y93" s="331"/>
      <c r="Z93" s="331"/>
      <c r="AA93" s="331"/>
      <c r="AB93" s="331"/>
      <c r="AC93" s="331"/>
      <c r="AD93" s="331"/>
      <c r="AE93" s="331"/>
      <c r="AF93" s="331"/>
      <c r="AG93" s="331"/>
      <c r="AH93" s="331"/>
      <c r="AI93" s="331" t="s">
        <v>2253</v>
      </c>
      <c r="AJ93" s="331"/>
    </row>
    <row r="94" spans="1:36" ht="39.950000000000003" customHeight="1">
      <c r="A94" s="331">
        <v>92</v>
      </c>
      <c r="B94" s="322">
        <v>45232</v>
      </c>
      <c r="C94" s="332">
        <v>0.33333333333333331</v>
      </c>
      <c r="D94" s="216" t="s">
        <v>2366</v>
      </c>
      <c r="E94" s="344" t="s">
        <v>2362</v>
      </c>
      <c r="F94" s="331">
        <v>4</v>
      </c>
      <c r="G94" s="331"/>
      <c r="H94" s="322"/>
      <c r="I94" s="322"/>
      <c r="J94" s="322"/>
      <c r="K94" s="331"/>
      <c r="L94" s="216" t="s">
        <v>583</v>
      </c>
      <c r="M94" s="216"/>
      <c r="N94" s="331"/>
      <c r="O94" s="216" t="str">
        <f t="shared" ca="1" si="4"/>
        <v>LIMBO</v>
      </c>
      <c r="P94" s="216"/>
      <c r="Q94" s="216" t="s">
        <v>709</v>
      </c>
      <c r="R94" s="216"/>
      <c r="S94" s="216"/>
      <c r="T94" s="320"/>
      <c r="U94" s="320"/>
      <c r="V94" s="331"/>
      <c r="W94" s="331"/>
      <c r="X94" s="331"/>
      <c r="Y94" s="331"/>
      <c r="Z94" s="331"/>
      <c r="AA94" s="331"/>
      <c r="AB94" s="331"/>
      <c r="AC94" s="331"/>
      <c r="AD94" s="331"/>
      <c r="AE94" s="331"/>
      <c r="AF94" s="331"/>
      <c r="AG94" s="331"/>
      <c r="AH94" s="331"/>
      <c r="AI94" s="331" t="s">
        <v>2253</v>
      </c>
      <c r="AJ94" s="331"/>
    </row>
    <row r="95" spans="1:36" ht="39.950000000000003" customHeight="1">
      <c r="A95" s="331">
        <v>93</v>
      </c>
      <c r="B95" s="322">
        <v>45232</v>
      </c>
      <c r="C95" s="332">
        <v>0.33333333333333331</v>
      </c>
      <c r="D95" s="216" t="s">
        <v>2363</v>
      </c>
      <c r="E95" s="344" t="s">
        <v>2364</v>
      </c>
      <c r="F95" s="331">
        <v>4</v>
      </c>
      <c r="G95" s="331"/>
      <c r="H95" s="322"/>
      <c r="I95" s="322"/>
      <c r="J95" s="322"/>
      <c r="K95" s="331"/>
      <c r="L95" s="216" t="s">
        <v>1386</v>
      </c>
      <c r="M95" s="216"/>
      <c r="N95" s="331"/>
      <c r="O95" s="216" t="str">
        <f t="shared" ca="1" si="4"/>
        <v>LIMBO</v>
      </c>
      <c r="P95" s="216"/>
      <c r="Q95" s="216" t="s">
        <v>709</v>
      </c>
      <c r="R95" s="216"/>
      <c r="S95" s="216"/>
      <c r="T95" s="320"/>
      <c r="U95" s="320"/>
      <c r="V95" s="331"/>
      <c r="W95" s="331"/>
      <c r="X95" s="331"/>
      <c r="Y95" s="331"/>
      <c r="Z95" s="331"/>
      <c r="AA95" s="331"/>
      <c r="AB95" s="331"/>
      <c r="AC95" s="331"/>
      <c r="AD95" s="331"/>
      <c r="AE95" s="331"/>
      <c r="AF95" s="331"/>
      <c r="AG95" s="331"/>
      <c r="AH95" s="331"/>
      <c r="AI95" s="331" t="s">
        <v>2253</v>
      </c>
      <c r="AJ95" s="331"/>
    </row>
    <row r="96" spans="1:36" ht="39.950000000000003" customHeight="1">
      <c r="A96" s="331">
        <v>94</v>
      </c>
      <c r="B96" s="322">
        <v>45232</v>
      </c>
      <c r="C96" s="332">
        <v>0.33333333333333331</v>
      </c>
      <c r="D96" s="216" t="s">
        <v>2365</v>
      </c>
      <c r="E96" s="344" t="s">
        <v>2367</v>
      </c>
      <c r="F96" s="331">
        <v>4</v>
      </c>
      <c r="G96" s="331"/>
      <c r="H96" s="322"/>
      <c r="I96" s="322"/>
      <c r="J96" s="322"/>
      <c r="K96" s="331"/>
      <c r="L96" s="216" t="s">
        <v>576</v>
      </c>
      <c r="M96" s="216"/>
      <c r="N96" s="331"/>
      <c r="O96" s="216" t="str">
        <f t="shared" ca="1" si="4"/>
        <v>LIMBO</v>
      </c>
      <c r="P96" s="216"/>
      <c r="Q96" s="216" t="s">
        <v>709</v>
      </c>
      <c r="R96" s="216"/>
      <c r="S96" s="216"/>
      <c r="T96" s="320"/>
      <c r="U96" s="320"/>
      <c r="V96" s="331"/>
      <c r="W96" s="331"/>
      <c r="X96" s="331"/>
      <c r="Y96" s="331"/>
      <c r="Z96" s="331"/>
      <c r="AA96" s="331"/>
      <c r="AB96" s="331"/>
      <c r="AC96" s="331"/>
      <c r="AD96" s="331"/>
      <c r="AE96" s="331"/>
      <c r="AF96" s="331"/>
      <c r="AG96" s="331"/>
      <c r="AH96" s="331"/>
      <c r="AI96" s="331" t="s">
        <v>2253</v>
      </c>
      <c r="AJ96" s="331"/>
    </row>
    <row r="97" spans="1:36" ht="39.950000000000003" customHeight="1">
      <c r="A97" s="375">
        <v>95</v>
      </c>
      <c r="B97" s="376">
        <v>45232</v>
      </c>
      <c r="C97" s="377">
        <v>0.33333333333333331</v>
      </c>
      <c r="D97" s="152" t="s">
        <v>2369</v>
      </c>
      <c r="E97" s="378" t="s">
        <v>2368</v>
      </c>
      <c r="F97" s="375">
        <v>4</v>
      </c>
      <c r="G97" s="375"/>
      <c r="H97" s="376"/>
      <c r="I97" s="376"/>
      <c r="J97" s="376"/>
      <c r="K97" s="375"/>
      <c r="L97" s="152" t="s">
        <v>576</v>
      </c>
      <c r="M97" s="152"/>
      <c r="N97" s="375"/>
      <c r="O97" s="152" t="str">
        <f t="shared" ca="1" si="4"/>
        <v>LIMBO</v>
      </c>
      <c r="P97" s="152"/>
      <c r="Q97" s="152" t="s">
        <v>709</v>
      </c>
      <c r="R97" s="152"/>
      <c r="S97" s="152"/>
      <c r="T97" s="379"/>
      <c r="U97" s="379"/>
      <c r="V97" s="375"/>
      <c r="W97" s="375"/>
      <c r="X97" s="375"/>
      <c r="Y97" s="375"/>
      <c r="Z97" s="375"/>
      <c r="AA97" s="375"/>
      <c r="AB97" s="375"/>
      <c r="AC97" s="375"/>
      <c r="AD97" s="375"/>
      <c r="AE97" s="375"/>
      <c r="AF97" s="375"/>
      <c r="AG97" s="375"/>
      <c r="AH97" s="375"/>
      <c r="AI97" s="375" t="s">
        <v>2253</v>
      </c>
      <c r="AJ97" s="375"/>
    </row>
    <row r="98" spans="1:36" ht="39.950000000000003" customHeight="1">
      <c r="A98" s="331">
        <v>96</v>
      </c>
      <c r="B98" s="322">
        <v>45232</v>
      </c>
      <c r="C98" s="332">
        <v>0.33333333333333331</v>
      </c>
      <c r="D98" s="216" t="s">
        <v>2370</v>
      </c>
      <c r="E98" s="344" t="s">
        <v>2371</v>
      </c>
      <c r="F98" s="331">
        <v>4</v>
      </c>
      <c r="G98" s="331"/>
      <c r="H98" s="322"/>
      <c r="I98" s="322"/>
      <c r="J98" s="322"/>
      <c r="K98" s="331"/>
      <c r="L98" s="216" t="s">
        <v>1177</v>
      </c>
      <c r="M98" s="216"/>
      <c r="N98" s="331"/>
      <c r="O98" s="216" t="str">
        <f t="shared" ca="1" si="4"/>
        <v>LIMBO</v>
      </c>
      <c r="P98" s="216"/>
      <c r="Q98" s="216" t="s">
        <v>709</v>
      </c>
      <c r="R98" s="216"/>
      <c r="S98" s="216"/>
      <c r="T98" s="320"/>
      <c r="U98" s="320"/>
      <c r="V98" s="331"/>
      <c r="W98" s="331"/>
      <c r="X98" s="331"/>
      <c r="Y98" s="331"/>
      <c r="Z98" s="331"/>
      <c r="AA98" s="331"/>
      <c r="AB98" s="331"/>
      <c r="AC98" s="331"/>
      <c r="AD98" s="331"/>
      <c r="AE98" s="331"/>
      <c r="AF98" s="331"/>
      <c r="AG98" s="331"/>
      <c r="AH98" s="331"/>
      <c r="AI98" s="331" t="s">
        <v>2253</v>
      </c>
      <c r="AJ98" s="331"/>
    </row>
    <row r="99" spans="1:36" ht="39.950000000000003" customHeight="1">
      <c r="A99" s="331">
        <v>97</v>
      </c>
      <c r="B99" s="322">
        <v>45232</v>
      </c>
      <c r="C99" s="332">
        <v>0.33333333333333331</v>
      </c>
      <c r="D99" s="216" t="s">
        <v>2372</v>
      </c>
      <c r="E99" s="344" t="s">
        <v>2373</v>
      </c>
      <c r="F99" s="331">
        <v>4</v>
      </c>
      <c r="G99" s="331"/>
      <c r="H99" s="322"/>
      <c r="I99" s="322"/>
      <c r="J99" s="322"/>
      <c r="K99" s="331"/>
      <c r="L99" s="216" t="s">
        <v>574</v>
      </c>
      <c r="M99" s="216"/>
      <c r="N99" s="331"/>
      <c r="O99" s="216" t="str">
        <f t="shared" ca="1" si="4"/>
        <v>LIMBO</v>
      </c>
      <c r="P99" s="216"/>
      <c r="Q99" s="216" t="s">
        <v>709</v>
      </c>
      <c r="R99" s="216"/>
      <c r="S99" s="216"/>
      <c r="T99" s="320"/>
      <c r="U99" s="320"/>
      <c r="V99" s="331"/>
      <c r="W99" s="331"/>
      <c r="X99" s="331"/>
      <c r="Y99" s="331"/>
      <c r="Z99" s="331"/>
      <c r="AA99" s="331"/>
      <c r="AB99" s="331"/>
      <c r="AC99" s="331"/>
      <c r="AD99" s="331"/>
      <c r="AE99" s="331"/>
      <c r="AF99" s="331"/>
      <c r="AG99" s="331"/>
      <c r="AH99" s="331"/>
      <c r="AI99" s="331" t="s">
        <v>2253</v>
      </c>
      <c r="AJ99" s="331"/>
    </row>
    <row r="100" spans="1:36" ht="39.950000000000003" customHeight="1">
      <c r="A100" s="331">
        <v>98</v>
      </c>
      <c r="B100" s="322">
        <v>45232</v>
      </c>
      <c r="C100" s="332">
        <v>0.33333333333333331</v>
      </c>
      <c r="D100" s="216" t="s">
        <v>433</v>
      </c>
      <c r="E100" s="344" t="s">
        <v>2374</v>
      </c>
      <c r="F100" s="331">
        <v>4</v>
      </c>
      <c r="G100" s="331"/>
      <c r="H100" s="322"/>
      <c r="I100" s="322"/>
      <c r="J100" s="322"/>
      <c r="K100" s="331"/>
      <c r="L100" s="216" t="s">
        <v>1386</v>
      </c>
      <c r="M100" s="216"/>
      <c r="N100" s="331"/>
      <c r="O100" s="216" t="str">
        <f t="shared" ca="1" si="4"/>
        <v>LIMBO</v>
      </c>
      <c r="P100" s="216"/>
      <c r="Q100" s="216" t="s">
        <v>709</v>
      </c>
      <c r="R100" s="216"/>
      <c r="S100" s="216"/>
      <c r="T100" s="320"/>
      <c r="U100" s="320"/>
      <c r="V100" s="331"/>
      <c r="W100" s="331"/>
      <c r="X100" s="331"/>
      <c r="Y100" s="331"/>
      <c r="Z100" s="331"/>
      <c r="AA100" s="331"/>
      <c r="AB100" s="331"/>
      <c r="AC100" s="331"/>
      <c r="AD100" s="331"/>
      <c r="AE100" s="331"/>
      <c r="AF100" s="331"/>
      <c r="AG100" s="331"/>
      <c r="AH100" s="331"/>
      <c r="AI100" s="331" t="s">
        <v>2253</v>
      </c>
      <c r="AJ100" s="331"/>
    </row>
    <row r="101" spans="1:36" ht="39.950000000000003" customHeight="1">
      <c r="A101" s="331">
        <v>99</v>
      </c>
      <c r="B101" s="322">
        <v>45232</v>
      </c>
      <c r="C101" s="332">
        <v>0.33333333333333331</v>
      </c>
      <c r="D101" s="216" t="s">
        <v>2375</v>
      </c>
      <c r="E101" s="344" t="s">
        <v>2376</v>
      </c>
      <c r="F101" s="331">
        <v>4</v>
      </c>
      <c r="G101" s="331"/>
      <c r="H101" s="322"/>
      <c r="I101" s="322"/>
      <c r="J101" s="322"/>
      <c r="K101" s="331"/>
      <c r="L101" s="216" t="s">
        <v>1386</v>
      </c>
      <c r="M101" s="216"/>
      <c r="N101" s="331"/>
      <c r="O101" s="216" t="str">
        <f t="shared" ca="1" si="4"/>
        <v>LIMBO</v>
      </c>
      <c r="P101" s="216"/>
      <c r="Q101" s="216" t="s">
        <v>709</v>
      </c>
      <c r="R101" s="216"/>
      <c r="S101" s="216"/>
      <c r="T101" s="320"/>
      <c r="U101" s="320"/>
      <c r="V101" s="331"/>
      <c r="W101" s="331"/>
      <c r="X101" s="331"/>
      <c r="Y101" s="331"/>
      <c r="Z101" s="331"/>
      <c r="AA101" s="331"/>
      <c r="AB101" s="331"/>
      <c r="AC101" s="331"/>
      <c r="AD101" s="331"/>
      <c r="AE101" s="331"/>
      <c r="AF101" s="331"/>
      <c r="AG101" s="331"/>
      <c r="AH101" s="331"/>
      <c r="AI101" s="331" t="s">
        <v>2253</v>
      </c>
      <c r="AJ101" s="331"/>
    </row>
    <row r="102" spans="1:36" ht="39.950000000000003" customHeight="1">
      <c r="A102" s="375">
        <v>100</v>
      </c>
      <c r="B102" s="376">
        <v>45232</v>
      </c>
      <c r="C102" s="377">
        <v>0.33333333333333331</v>
      </c>
      <c r="D102" s="152" t="s">
        <v>2377</v>
      </c>
      <c r="E102" s="378" t="s">
        <v>2378</v>
      </c>
      <c r="F102" s="375">
        <v>6</v>
      </c>
      <c r="G102" s="375"/>
      <c r="H102" s="376"/>
      <c r="I102" s="376"/>
      <c r="J102" s="376"/>
      <c r="K102" s="375"/>
      <c r="L102" s="152" t="s">
        <v>597</v>
      </c>
      <c r="M102" s="152"/>
      <c r="N102" s="375"/>
      <c r="O102" s="152" t="str">
        <f t="shared" ca="1" si="4"/>
        <v>LIMBO</v>
      </c>
      <c r="P102" s="152"/>
      <c r="Q102" s="152" t="s">
        <v>709</v>
      </c>
      <c r="R102" s="152"/>
      <c r="S102" s="152"/>
      <c r="T102" s="379"/>
      <c r="U102" s="379"/>
      <c r="V102" s="375"/>
      <c r="W102" s="375"/>
      <c r="X102" s="375"/>
      <c r="Y102" s="375"/>
      <c r="Z102" s="375"/>
      <c r="AA102" s="375"/>
      <c r="AB102" s="375"/>
      <c r="AC102" s="375"/>
      <c r="AD102" s="375"/>
      <c r="AE102" s="375"/>
      <c r="AF102" s="375"/>
      <c r="AG102" s="375"/>
      <c r="AH102" s="375"/>
      <c r="AI102" s="375" t="s">
        <v>2253</v>
      </c>
      <c r="AJ102" s="375"/>
    </row>
    <row r="103" spans="1:36" ht="39.950000000000003" customHeight="1">
      <c r="A103" s="375">
        <v>101</v>
      </c>
      <c r="B103" s="376">
        <v>45232</v>
      </c>
      <c r="C103" s="377">
        <v>0.33333333333333331</v>
      </c>
      <c r="D103" s="152" t="s">
        <v>2379</v>
      </c>
      <c r="E103" s="378" t="s">
        <v>2380</v>
      </c>
      <c r="F103" s="375">
        <v>6</v>
      </c>
      <c r="G103" s="375"/>
      <c r="H103" s="376"/>
      <c r="I103" s="376"/>
      <c r="J103" s="376"/>
      <c r="K103" s="375"/>
      <c r="L103" s="152" t="s">
        <v>506</v>
      </c>
      <c r="M103" s="152"/>
      <c r="N103" s="375"/>
      <c r="O103" s="152" t="str">
        <f t="shared" ca="1" si="4"/>
        <v>LIMBO</v>
      </c>
      <c r="P103" s="152"/>
      <c r="Q103" s="152" t="s">
        <v>709</v>
      </c>
      <c r="R103" s="152"/>
      <c r="S103" s="152"/>
      <c r="T103" s="379"/>
      <c r="U103" s="379"/>
      <c r="V103" s="375"/>
      <c r="W103" s="375"/>
      <c r="X103" s="375"/>
      <c r="Y103" s="375"/>
      <c r="Z103" s="375"/>
      <c r="AA103" s="375"/>
      <c r="AB103" s="375"/>
      <c r="AC103" s="375"/>
      <c r="AD103" s="375"/>
      <c r="AE103" s="375"/>
      <c r="AF103" s="375"/>
      <c r="AG103" s="375"/>
      <c r="AH103" s="375"/>
      <c r="AI103" s="375" t="s">
        <v>2253</v>
      </c>
      <c r="AJ103" s="375"/>
    </row>
    <row r="104" spans="1:36" ht="39.950000000000003" customHeight="1">
      <c r="A104" s="375">
        <v>102</v>
      </c>
      <c r="B104" s="376">
        <v>45231</v>
      </c>
      <c r="C104" s="377">
        <v>0.52986111111111112</v>
      </c>
      <c r="D104" s="152" t="s">
        <v>2381</v>
      </c>
      <c r="E104" s="378" t="s">
        <v>2382</v>
      </c>
      <c r="F104" s="375">
        <v>6</v>
      </c>
      <c r="G104" s="375"/>
      <c r="H104" s="376"/>
      <c r="I104" s="376"/>
      <c r="J104" s="376"/>
      <c r="K104" s="375"/>
      <c r="L104" s="152" t="s">
        <v>598</v>
      </c>
      <c r="M104" s="152"/>
      <c r="N104" s="375"/>
      <c r="O104" s="152" t="str">
        <f t="shared" ca="1" si="4"/>
        <v>LIMBO</v>
      </c>
      <c r="P104" s="152"/>
      <c r="Q104" s="152" t="s">
        <v>709</v>
      </c>
      <c r="R104" s="152"/>
      <c r="S104" s="152"/>
      <c r="T104" s="379"/>
      <c r="U104" s="379"/>
      <c r="V104" s="375"/>
      <c r="W104" s="375"/>
      <c r="X104" s="375"/>
      <c r="Y104" s="375"/>
      <c r="Z104" s="375"/>
      <c r="AA104" s="375"/>
      <c r="AB104" s="375"/>
      <c r="AC104" s="375"/>
      <c r="AD104" s="375"/>
      <c r="AE104" s="375"/>
      <c r="AF104" s="375"/>
      <c r="AG104" s="375"/>
      <c r="AH104" s="375"/>
      <c r="AI104" s="375" t="s">
        <v>2253</v>
      </c>
      <c r="AJ104" s="375"/>
    </row>
    <row r="105" spans="1:36" ht="39.950000000000003" customHeight="1">
      <c r="A105" s="375">
        <v>103</v>
      </c>
      <c r="B105" s="376">
        <v>45232</v>
      </c>
      <c r="C105" s="377">
        <v>0.4284722222222222</v>
      </c>
      <c r="D105" s="152" t="s">
        <v>2383</v>
      </c>
      <c r="E105" s="378" t="s">
        <v>2384</v>
      </c>
      <c r="F105" s="375">
        <v>6</v>
      </c>
      <c r="G105" s="375"/>
      <c r="H105" s="376"/>
      <c r="I105" s="376"/>
      <c r="J105" s="376"/>
      <c r="K105" s="375"/>
      <c r="L105" s="152" t="s">
        <v>598</v>
      </c>
      <c r="M105" s="152"/>
      <c r="N105" s="375"/>
      <c r="O105" s="152" t="str">
        <f t="shared" ca="1" si="4"/>
        <v>LIMBO</v>
      </c>
      <c r="P105" s="152"/>
      <c r="Q105" s="152" t="s">
        <v>709</v>
      </c>
      <c r="R105" s="152"/>
      <c r="S105" s="152"/>
      <c r="T105" s="379"/>
      <c r="U105" s="379"/>
      <c r="V105" s="375"/>
      <c r="W105" s="375"/>
      <c r="X105" s="375"/>
      <c r="Y105" s="375"/>
      <c r="Z105" s="375"/>
      <c r="AA105" s="375"/>
      <c r="AB105" s="375"/>
      <c r="AC105" s="375"/>
      <c r="AD105" s="375"/>
      <c r="AE105" s="375"/>
      <c r="AF105" s="375"/>
      <c r="AG105" s="375"/>
      <c r="AH105" s="375"/>
      <c r="AI105" s="375" t="s">
        <v>2253</v>
      </c>
      <c r="AJ105" s="375"/>
    </row>
    <row r="106" spans="1:36" ht="39.950000000000003" customHeight="1">
      <c r="A106" s="375">
        <v>104</v>
      </c>
      <c r="B106" s="376">
        <v>45232</v>
      </c>
      <c r="C106" s="377">
        <v>0.42777777777777781</v>
      </c>
      <c r="D106" s="152" t="s">
        <v>2385</v>
      </c>
      <c r="E106" s="378" t="s">
        <v>2386</v>
      </c>
      <c r="F106" s="375">
        <v>6</v>
      </c>
      <c r="G106" s="375"/>
      <c r="H106" s="376"/>
      <c r="I106" s="376"/>
      <c r="J106" s="376"/>
      <c r="K106" s="375"/>
      <c r="L106" s="152" t="s">
        <v>592</v>
      </c>
      <c r="M106" s="152"/>
      <c r="N106" s="375"/>
      <c r="O106" s="152" t="str">
        <f t="shared" ca="1" si="4"/>
        <v>LIMBO</v>
      </c>
      <c r="P106" s="152"/>
      <c r="Q106" s="152" t="s">
        <v>709</v>
      </c>
      <c r="R106" s="152"/>
      <c r="S106" s="152"/>
      <c r="T106" s="379"/>
      <c r="U106" s="379"/>
      <c r="V106" s="375"/>
      <c r="W106" s="375"/>
      <c r="X106" s="375"/>
      <c r="Y106" s="375"/>
      <c r="Z106" s="375"/>
      <c r="AA106" s="375"/>
      <c r="AB106" s="375"/>
      <c r="AC106" s="375"/>
      <c r="AD106" s="375"/>
      <c r="AE106" s="375"/>
      <c r="AF106" s="375"/>
      <c r="AG106" s="375"/>
      <c r="AH106" s="375"/>
      <c r="AI106" s="375" t="s">
        <v>2253</v>
      </c>
      <c r="AJ106" s="375"/>
    </row>
    <row r="107" spans="1:36" ht="39.950000000000003" customHeight="1">
      <c r="A107" s="375">
        <v>105</v>
      </c>
      <c r="B107" s="376">
        <v>45232</v>
      </c>
      <c r="C107" s="377">
        <v>0.43263888888888885</v>
      </c>
      <c r="D107" s="152" t="s">
        <v>2387</v>
      </c>
      <c r="E107" s="378" t="s">
        <v>2388</v>
      </c>
      <c r="F107" s="375">
        <v>6</v>
      </c>
      <c r="G107" s="375"/>
      <c r="H107" s="376"/>
      <c r="I107" s="376"/>
      <c r="J107" s="376"/>
      <c r="K107" s="375"/>
      <c r="L107" s="152" t="s">
        <v>583</v>
      </c>
      <c r="M107" s="152"/>
      <c r="N107" s="375"/>
      <c r="O107" s="152" t="str">
        <f t="shared" ca="1" si="4"/>
        <v>LIMBO</v>
      </c>
      <c r="P107" s="152"/>
      <c r="Q107" s="152" t="s">
        <v>709</v>
      </c>
      <c r="R107" s="152"/>
      <c r="S107" s="152"/>
      <c r="T107" s="379"/>
      <c r="U107" s="379"/>
      <c r="V107" s="375"/>
      <c r="W107" s="375"/>
      <c r="X107" s="375"/>
      <c r="Y107" s="375"/>
      <c r="Z107" s="375"/>
      <c r="AA107" s="375"/>
      <c r="AB107" s="375"/>
      <c r="AC107" s="375"/>
      <c r="AD107" s="375"/>
      <c r="AE107" s="375"/>
      <c r="AF107" s="375"/>
      <c r="AG107" s="375"/>
      <c r="AH107" s="375"/>
      <c r="AI107" s="375" t="s">
        <v>2253</v>
      </c>
      <c r="AJ107" s="375"/>
    </row>
    <row r="108" spans="1:36" ht="39.950000000000003" customHeight="1">
      <c r="A108" s="375">
        <v>106</v>
      </c>
      <c r="B108" s="376">
        <v>45232</v>
      </c>
      <c r="C108" s="377">
        <v>0.4381944444444445</v>
      </c>
      <c r="D108" s="152" t="s">
        <v>2389</v>
      </c>
      <c r="E108" s="378" t="s">
        <v>2390</v>
      </c>
      <c r="F108" s="375">
        <v>2</v>
      </c>
      <c r="G108" s="375"/>
      <c r="H108" s="376"/>
      <c r="I108" s="376"/>
      <c r="J108" s="376"/>
      <c r="K108" s="375"/>
      <c r="L108" s="152" t="s">
        <v>599</v>
      </c>
      <c r="M108" s="152"/>
      <c r="N108" s="375"/>
      <c r="O108" s="152" t="str">
        <f t="shared" ca="1" si="4"/>
        <v>LIMBO</v>
      </c>
      <c r="P108" s="152"/>
      <c r="Q108" s="152" t="s">
        <v>709</v>
      </c>
      <c r="R108" s="152"/>
      <c r="S108" s="152"/>
      <c r="T108" s="379"/>
      <c r="U108" s="379"/>
      <c r="V108" s="375"/>
      <c r="W108" s="375"/>
      <c r="X108" s="375"/>
      <c r="Y108" s="375"/>
      <c r="Z108" s="375"/>
      <c r="AA108" s="375"/>
      <c r="AB108" s="375"/>
      <c r="AC108" s="375"/>
      <c r="AD108" s="375"/>
      <c r="AE108" s="375"/>
      <c r="AF108" s="375"/>
      <c r="AG108" s="375"/>
      <c r="AH108" s="375"/>
      <c r="AI108" s="375" t="s">
        <v>2253</v>
      </c>
      <c r="AJ108" s="375"/>
    </row>
    <row r="109" spans="1:36" ht="39.950000000000003" customHeight="1">
      <c r="A109" s="331">
        <v>107</v>
      </c>
      <c r="B109" s="322">
        <v>45232</v>
      </c>
      <c r="C109" s="332">
        <v>0.45069444444444445</v>
      </c>
      <c r="D109" s="216" t="s">
        <v>1783</v>
      </c>
      <c r="E109" s="346" t="s">
        <v>2396</v>
      </c>
      <c r="F109" s="331">
        <v>6</v>
      </c>
      <c r="G109" s="331" t="s">
        <v>1839</v>
      </c>
      <c r="H109" s="322"/>
      <c r="I109" s="322"/>
      <c r="J109" s="322"/>
      <c r="K109" s="331"/>
      <c r="L109" s="216" t="s">
        <v>575</v>
      </c>
      <c r="M109" s="216" t="s">
        <v>2395</v>
      </c>
      <c r="N109" s="331"/>
      <c r="O109" s="216" t="str">
        <f t="shared" ca="1" si="4"/>
        <v>LIMBO</v>
      </c>
      <c r="P109" s="216"/>
      <c r="Q109" s="216" t="s">
        <v>709</v>
      </c>
      <c r="R109" s="216"/>
      <c r="S109" s="216"/>
      <c r="T109" s="320"/>
      <c r="U109" s="320"/>
      <c r="V109" s="331"/>
      <c r="W109" s="331"/>
      <c r="X109" s="331"/>
      <c r="Y109" s="331"/>
      <c r="Z109" s="331"/>
      <c r="AA109" s="331"/>
      <c r="AB109" s="331"/>
      <c r="AC109" s="331"/>
      <c r="AD109" s="331"/>
      <c r="AE109" s="331"/>
      <c r="AF109" s="331"/>
      <c r="AG109" s="331"/>
      <c r="AH109" s="331"/>
      <c r="AI109" s="331" t="s">
        <v>2162</v>
      </c>
      <c r="AJ109" s="331"/>
    </row>
    <row r="110" spans="1:36" ht="39.950000000000003" customHeight="1">
      <c r="A110" s="331">
        <v>108</v>
      </c>
      <c r="B110" s="322"/>
      <c r="C110" s="331"/>
      <c r="D110" s="331">
        <v>177483</v>
      </c>
      <c r="E110" s="344" t="s">
        <v>2394</v>
      </c>
      <c r="F110" s="331"/>
      <c r="G110" s="331"/>
      <c r="H110" s="322"/>
      <c r="I110" s="322"/>
      <c r="J110" s="322"/>
      <c r="K110" s="331"/>
      <c r="L110" s="216"/>
      <c r="M110" s="216"/>
      <c r="N110" s="331"/>
      <c r="O110" s="216" t="str">
        <f t="shared" ca="1" si="4"/>
        <v>LIMBO</v>
      </c>
      <c r="P110" s="216"/>
      <c r="Q110" s="216" t="s">
        <v>709</v>
      </c>
      <c r="R110" s="216"/>
      <c r="S110" s="216"/>
      <c r="T110" s="320"/>
      <c r="U110" s="320"/>
      <c r="V110" s="331"/>
      <c r="W110" s="331"/>
      <c r="X110" s="331"/>
      <c r="Y110" s="331"/>
      <c r="Z110" s="331"/>
      <c r="AA110" s="331"/>
      <c r="AB110" s="331"/>
      <c r="AC110" s="331"/>
      <c r="AD110" s="331"/>
      <c r="AE110" s="331"/>
      <c r="AF110" s="331"/>
      <c r="AG110" s="331"/>
      <c r="AH110" s="331"/>
      <c r="AI110" s="331" t="s">
        <v>2253</v>
      </c>
      <c r="AJ110" s="331"/>
    </row>
    <row r="111" spans="1:36" ht="39.950000000000003" customHeight="1">
      <c r="A111" s="331">
        <v>109</v>
      </c>
      <c r="B111" s="322"/>
      <c r="C111" s="331"/>
      <c r="D111" s="216" t="s">
        <v>2393</v>
      </c>
      <c r="E111" s="344" t="s">
        <v>2394</v>
      </c>
      <c r="F111" s="331"/>
      <c r="G111" s="331"/>
      <c r="H111" s="322"/>
      <c r="I111" s="322"/>
      <c r="J111" s="322"/>
      <c r="K111" s="331"/>
      <c r="L111" s="216"/>
      <c r="M111" s="216"/>
      <c r="N111" s="331"/>
      <c r="O111" s="216" t="str">
        <f t="shared" ca="1" si="4"/>
        <v>LIMBO</v>
      </c>
      <c r="P111" s="216"/>
      <c r="Q111" s="216" t="s">
        <v>709</v>
      </c>
      <c r="R111" s="216"/>
      <c r="S111" s="216"/>
      <c r="T111" s="320"/>
      <c r="U111" s="320"/>
      <c r="V111" s="331"/>
      <c r="W111" s="331"/>
      <c r="X111" s="331"/>
      <c r="Y111" s="331"/>
      <c r="Z111" s="331"/>
      <c r="AA111" s="331"/>
      <c r="AB111" s="331"/>
      <c r="AC111" s="331"/>
      <c r="AD111" s="331"/>
      <c r="AE111" s="331"/>
      <c r="AF111" s="331"/>
      <c r="AG111" s="331"/>
      <c r="AH111" s="331"/>
      <c r="AI111" s="331" t="s">
        <v>2253</v>
      </c>
      <c r="AJ111" s="331"/>
    </row>
    <row r="112" spans="1:36" ht="39.950000000000003" customHeight="1">
      <c r="A112" s="331">
        <v>110</v>
      </c>
      <c r="B112" s="322">
        <v>45231</v>
      </c>
      <c r="C112" s="332">
        <v>0.375</v>
      </c>
      <c r="D112" s="216" t="s">
        <v>1643</v>
      </c>
      <c r="E112" s="344" t="s">
        <v>2398</v>
      </c>
      <c r="F112" s="331">
        <v>4</v>
      </c>
      <c r="G112" s="331" t="s">
        <v>32</v>
      </c>
      <c r="H112" s="322"/>
      <c r="I112" s="322"/>
      <c r="J112" s="322"/>
      <c r="K112" s="331"/>
      <c r="L112" s="216" t="s">
        <v>469</v>
      </c>
      <c r="M112" s="216"/>
      <c r="N112" s="216" t="s">
        <v>2399</v>
      </c>
      <c r="O112" s="216" t="str">
        <f t="shared" ca="1" si="4"/>
        <v>LIMBO</v>
      </c>
      <c r="P112" s="216"/>
      <c r="Q112" s="216" t="s">
        <v>709</v>
      </c>
      <c r="R112" s="216"/>
      <c r="S112" s="216"/>
      <c r="T112" s="320"/>
      <c r="U112" s="320"/>
      <c r="V112" s="331"/>
      <c r="W112" s="331"/>
      <c r="X112" s="331"/>
      <c r="Y112" s="331"/>
      <c r="Z112" s="331"/>
      <c r="AA112" s="331"/>
      <c r="AB112" s="331"/>
      <c r="AC112" s="331"/>
      <c r="AD112" s="331"/>
      <c r="AE112" s="331"/>
      <c r="AF112" s="331"/>
      <c r="AG112" s="331"/>
      <c r="AH112" s="331"/>
      <c r="AI112" s="331" t="s">
        <v>2253</v>
      </c>
      <c r="AJ112" s="331"/>
    </row>
    <row r="113" spans="1:36" ht="39.950000000000003" customHeight="1">
      <c r="A113" s="375">
        <v>111</v>
      </c>
      <c r="B113" s="376">
        <v>45232</v>
      </c>
      <c r="C113" s="377">
        <v>0.48194444444444445</v>
      </c>
      <c r="D113" s="152" t="s">
        <v>2400</v>
      </c>
      <c r="E113" s="378" t="s">
        <v>2401</v>
      </c>
      <c r="F113" s="375">
        <v>1</v>
      </c>
      <c r="G113" s="375"/>
      <c r="H113" s="376"/>
      <c r="I113" s="376"/>
      <c r="J113" s="376"/>
      <c r="K113" s="375"/>
      <c r="L113" s="152" t="s">
        <v>597</v>
      </c>
      <c r="M113" s="152"/>
      <c r="N113" s="375"/>
      <c r="O113" s="152" t="str">
        <f t="shared" ca="1" si="4"/>
        <v>LIMBO</v>
      </c>
      <c r="P113" s="152"/>
      <c r="Q113" s="152" t="s">
        <v>709</v>
      </c>
      <c r="R113" s="152"/>
      <c r="S113" s="152"/>
      <c r="T113" s="379"/>
      <c r="U113" s="379"/>
      <c r="V113" s="375"/>
      <c r="W113" s="375"/>
      <c r="X113" s="375"/>
      <c r="Y113" s="375"/>
      <c r="Z113" s="375"/>
      <c r="AA113" s="375"/>
      <c r="AB113" s="375"/>
      <c r="AC113" s="375"/>
      <c r="AD113" s="375"/>
      <c r="AE113" s="375"/>
      <c r="AF113" s="375"/>
      <c r="AG113" s="375"/>
      <c r="AH113" s="375"/>
      <c r="AI113" s="375" t="s">
        <v>2253</v>
      </c>
      <c r="AJ113" s="375"/>
    </row>
    <row r="114" spans="1:36" ht="39.950000000000003" customHeight="1">
      <c r="A114" s="375">
        <v>112</v>
      </c>
      <c r="B114" s="376">
        <v>45232</v>
      </c>
      <c r="C114" s="377">
        <v>0.4777777777777778</v>
      </c>
      <c r="D114" s="152" t="s">
        <v>2402</v>
      </c>
      <c r="E114" s="378" t="s">
        <v>2403</v>
      </c>
      <c r="F114" s="375">
        <v>1</v>
      </c>
      <c r="G114" s="375"/>
      <c r="H114" s="376"/>
      <c r="I114" s="376"/>
      <c r="J114" s="376"/>
      <c r="K114" s="375"/>
      <c r="L114" s="152" t="s">
        <v>574</v>
      </c>
      <c r="M114" s="152"/>
      <c r="N114" s="375"/>
      <c r="O114" s="152" t="str">
        <f t="shared" ca="1" si="4"/>
        <v>LIMBO</v>
      </c>
      <c r="P114" s="152"/>
      <c r="Q114" s="152" t="s">
        <v>709</v>
      </c>
      <c r="R114" s="152"/>
      <c r="S114" s="152"/>
      <c r="T114" s="379"/>
      <c r="U114" s="379"/>
      <c r="V114" s="375"/>
      <c r="W114" s="375"/>
      <c r="X114" s="375"/>
      <c r="Y114" s="375"/>
      <c r="Z114" s="375"/>
      <c r="AA114" s="375"/>
      <c r="AB114" s="375"/>
      <c r="AC114" s="375"/>
      <c r="AD114" s="375"/>
      <c r="AE114" s="375"/>
      <c r="AF114" s="375"/>
      <c r="AG114" s="375"/>
      <c r="AH114" s="375"/>
      <c r="AI114" s="375" t="s">
        <v>2253</v>
      </c>
      <c r="AJ114" s="375"/>
    </row>
    <row r="115" spans="1:36" ht="39.950000000000003" customHeight="1">
      <c r="A115" s="375">
        <v>113</v>
      </c>
      <c r="B115" s="376">
        <v>45233</v>
      </c>
      <c r="C115" s="377">
        <v>0.39513888888888887</v>
      </c>
      <c r="D115" s="152" t="s">
        <v>2404</v>
      </c>
      <c r="E115" s="378" t="s">
        <v>2405</v>
      </c>
      <c r="F115" s="375">
        <v>2</v>
      </c>
      <c r="G115" s="375"/>
      <c r="H115" s="376"/>
      <c r="I115" s="376"/>
      <c r="J115" s="376"/>
      <c r="K115" s="375"/>
      <c r="L115" s="152" t="s">
        <v>591</v>
      </c>
      <c r="M115" s="152"/>
      <c r="N115" s="375"/>
      <c r="O115" s="152" t="str">
        <f t="shared" ca="1" si="4"/>
        <v>LIMBO</v>
      </c>
      <c r="P115" s="152"/>
      <c r="Q115" s="152" t="s">
        <v>709</v>
      </c>
      <c r="R115" s="152"/>
      <c r="S115" s="152"/>
      <c r="T115" s="379"/>
      <c r="U115" s="379"/>
      <c r="V115" s="375"/>
      <c r="W115" s="375"/>
      <c r="X115" s="375"/>
      <c r="Y115" s="375"/>
      <c r="Z115" s="375"/>
      <c r="AA115" s="375"/>
      <c r="AB115" s="375"/>
      <c r="AC115" s="375"/>
      <c r="AD115" s="375"/>
      <c r="AE115" s="375"/>
      <c r="AF115" s="375"/>
      <c r="AG115" s="375"/>
      <c r="AH115" s="375"/>
      <c r="AI115" s="375" t="s">
        <v>2253</v>
      </c>
      <c r="AJ115" s="375"/>
    </row>
    <row r="116" spans="1:36" ht="39.950000000000003" customHeight="1">
      <c r="A116" s="375">
        <v>114</v>
      </c>
      <c r="B116" s="376">
        <v>45233</v>
      </c>
      <c r="C116" s="377">
        <v>0.3840277777777778</v>
      </c>
      <c r="D116" s="152" t="s">
        <v>2406</v>
      </c>
      <c r="E116" s="378" t="s">
        <v>2407</v>
      </c>
      <c r="F116" s="375">
        <v>2</v>
      </c>
      <c r="G116" s="375"/>
      <c r="H116" s="376"/>
      <c r="I116" s="376"/>
      <c r="J116" s="376"/>
      <c r="K116" s="375"/>
      <c r="L116" s="152" t="s">
        <v>586</v>
      </c>
      <c r="M116" s="152"/>
      <c r="N116" s="375"/>
      <c r="O116" s="152" t="str">
        <f t="shared" ca="1" si="4"/>
        <v>LIMBO</v>
      </c>
      <c r="P116" s="152"/>
      <c r="Q116" s="152" t="s">
        <v>709</v>
      </c>
      <c r="R116" s="152"/>
      <c r="S116" s="152"/>
      <c r="T116" s="379"/>
      <c r="U116" s="379"/>
      <c r="V116" s="375"/>
      <c r="W116" s="375"/>
      <c r="X116" s="375"/>
      <c r="Y116" s="375"/>
      <c r="Z116" s="375"/>
      <c r="AA116" s="375"/>
      <c r="AB116" s="375"/>
      <c r="AC116" s="375"/>
      <c r="AD116" s="375"/>
      <c r="AE116" s="375"/>
      <c r="AF116" s="375"/>
      <c r="AG116" s="375"/>
      <c r="AH116" s="375"/>
      <c r="AI116" s="375" t="s">
        <v>2253</v>
      </c>
      <c r="AJ116" s="375"/>
    </row>
    <row r="117" spans="1:36" ht="39.950000000000003" customHeight="1">
      <c r="A117" s="375">
        <v>115</v>
      </c>
      <c r="B117" s="376">
        <v>45233</v>
      </c>
      <c r="C117" s="377">
        <v>0.375</v>
      </c>
      <c r="D117" s="152" t="s">
        <v>2408</v>
      </c>
      <c r="E117" s="378" t="s">
        <v>2409</v>
      </c>
      <c r="F117" s="375">
        <v>2</v>
      </c>
      <c r="G117" s="375"/>
      <c r="H117" s="376"/>
      <c r="I117" s="376"/>
      <c r="J117" s="376"/>
      <c r="K117" s="375"/>
      <c r="L117" s="152" t="s">
        <v>1386</v>
      </c>
      <c r="M117" s="152"/>
      <c r="N117" s="375"/>
      <c r="O117" s="152" t="str">
        <f t="shared" ca="1" si="4"/>
        <v>LIMBO</v>
      </c>
      <c r="P117" s="152"/>
      <c r="Q117" s="152" t="s">
        <v>709</v>
      </c>
      <c r="R117" s="152"/>
      <c r="S117" s="152"/>
      <c r="T117" s="379"/>
      <c r="U117" s="379"/>
      <c r="V117" s="375"/>
      <c r="W117" s="375"/>
      <c r="X117" s="375"/>
      <c r="Y117" s="375"/>
      <c r="Z117" s="375"/>
      <c r="AA117" s="375"/>
      <c r="AB117" s="375"/>
      <c r="AC117" s="375"/>
      <c r="AD117" s="375"/>
      <c r="AE117" s="375"/>
      <c r="AF117" s="375"/>
      <c r="AG117" s="375"/>
      <c r="AH117" s="375"/>
      <c r="AI117" s="375" t="s">
        <v>2253</v>
      </c>
      <c r="AJ117" s="375"/>
    </row>
    <row r="118" spans="1:36" ht="39.950000000000003" customHeight="1">
      <c r="A118" s="375">
        <v>116</v>
      </c>
      <c r="B118" s="376">
        <v>45233</v>
      </c>
      <c r="C118" s="377">
        <v>0.3743055555555555</v>
      </c>
      <c r="D118" s="152" t="s">
        <v>2410</v>
      </c>
      <c r="E118" s="378" t="s">
        <v>2411</v>
      </c>
      <c r="F118" s="375">
        <v>2</v>
      </c>
      <c r="G118" s="375"/>
      <c r="H118" s="376"/>
      <c r="I118" s="376"/>
      <c r="J118" s="376"/>
      <c r="K118" s="375"/>
      <c r="L118" s="152" t="s">
        <v>586</v>
      </c>
      <c r="M118" s="152"/>
      <c r="N118" s="375"/>
      <c r="O118" s="152" t="str">
        <f t="shared" ca="1" si="4"/>
        <v>LIMBO</v>
      </c>
      <c r="P118" s="152"/>
      <c r="Q118" s="152" t="s">
        <v>709</v>
      </c>
      <c r="R118" s="152"/>
      <c r="S118" s="152"/>
      <c r="T118" s="379"/>
      <c r="U118" s="379"/>
      <c r="V118" s="375"/>
      <c r="W118" s="375"/>
      <c r="X118" s="375"/>
      <c r="Y118" s="375"/>
      <c r="Z118" s="375"/>
      <c r="AA118" s="375"/>
      <c r="AB118" s="375"/>
      <c r="AC118" s="375"/>
      <c r="AD118" s="375"/>
      <c r="AE118" s="375"/>
      <c r="AF118" s="375"/>
      <c r="AG118" s="375"/>
      <c r="AH118" s="375"/>
      <c r="AI118" s="375" t="s">
        <v>2253</v>
      </c>
      <c r="AJ118" s="375"/>
    </row>
    <row r="119" spans="1:36" ht="39.950000000000003" customHeight="1">
      <c r="A119" s="375">
        <v>117</v>
      </c>
      <c r="B119" s="376">
        <v>45233</v>
      </c>
      <c r="C119" s="377">
        <v>0.37013888888888885</v>
      </c>
      <c r="D119" s="152" t="s">
        <v>1878</v>
      </c>
      <c r="E119" s="378" t="s">
        <v>2412</v>
      </c>
      <c r="F119" s="375">
        <v>7</v>
      </c>
      <c r="G119" s="375"/>
      <c r="H119" s="376"/>
      <c r="I119" s="376"/>
      <c r="J119" s="376"/>
      <c r="K119" s="375"/>
      <c r="L119" s="152" t="s">
        <v>585</v>
      </c>
      <c r="M119" s="152"/>
      <c r="N119" s="375"/>
      <c r="O119" s="152" t="str">
        <f t="shared" ca="1" si="4"/>
        <v>LIMBO</v>
      </c>
      <c r="P119" s="152"/>
      <c r="Q119" s="152" t="s">
        <v>709</v>
      </c>
      <c r="R119" s="152"/>
      <c r="S119" s="152"/>
      <c r="T119" s="379"/>
      <c r="U119" s="379"/>
      <c r="V119" s="375"/>
      <c r="W119" s="375"/>
      <c r="X119" s="375"/>
      <c r="Y119" s="375"/>
      <c r="Z119" s="375"/>
      <c r="AA119" s="375"/>
      <c r="AB119" s="375"/>
      <c r="AC119" s="375"/>
      <c r="AD119" s="375"/>
      <c r="AE119" s="375"/>
      <c r="AF119" s="375"/>
      <c r="AG119" s="375"/>
      <c r="AH119" s="375"/>
      <c r="AI119" s="375" t="s">
        <v>2253</v>
      </c>
      <c r="AJ119" s="375"/>
    </row>
    <row r="120" spans="1:36" ht="39.950000000000003" customHeight="1">
      <c r="A120" s="375">
        <v>118</v>
      </c>
      <c r="B120" s="376">
        <v>45233</v>
      </c>
      <c r="C120" s="377">
        <v>0.34930555555555554</v>
      </c>
      <c r="D120" s="152" t="s">
        <v>2413</v>
      </c>
      <c r="E120" s="378" t="s">
        <v>2414</v>
      </c>
      <c r="F120" s="375">
        <v>2</v>
      </c>
      <c r="G120" s="375"/>
      <c r="H120" s="376"/>
      <c r="I120" s="376"/>
      <c r="J120" s="376"/>
      <c r="K120" s="375"/>
      <c r="L120" s="152" t="s">
        <v>167</v>
      </c>
      <c r="M120" s="152"/>
      <c r="N120" s="375"/>
      <c r="O120" s="152" t="str">
        <f t="shared" ca="1" si="4"/>
        <v>LIMBO</v>
      </c>
      <c r="P120" s="152"/>
      <c r="Q120" s="152" t="s">
        <v>709</v>
      </c>
      <c r="R120" s="152"/>
      <c r="S120" s="152"/>
      <c r="T120" s="379"/>
      <c r="U120" s="379"/>
      <c r="V120" s="375"/>
      <c r="W120" s="375"/>
      <c r="X120" s="375"/>
      <c r="Y120" s="375"/>
      <c r="Z120" s="375"/>
      <c r="AA120" s="375"/>
      <c r="AB120" s="375"/>
      <c r="AC120" s="375"/>
      <c r="AD120" s="375"/>
      <c r="AE120" s="375"/>
      <c r="AF120" s="375"/>
      <c r="AG120" s="375"/>
      <c r="AH120" s="375"/>
      <c r="AI120" s="375" t="s">
        <v>2253</v>
      </c>
      <c r="AJ120" s="375"/>
    </row>
    <row r="121" spans="1:36" ht="39.950000000000003" customHeight="1">
      <c r="A121" s="375">
        <v>119</v>
      </c>
      <c r="B121" s="376">
        <v>45233</v>
      </c>
      <c r="C121" s="377">
        <v>0.3347222222222222</v>
      </c>
      <c r="D121" s="152" t="s">
        <v>2415</v>
      </c>
      <c r="E121" s="378" t="s">
        <v>2416</v>
      </c>
      <c r="F121" s="375">
        <v>8</v>
      </c>
      <c r="G121" s="375"/>
      <c r="H121" s="376"/>
      <c r="I121" s="376"/>
      <c r="J121" s="376"/>
      <c r="K121" s="375"/>
      <c r="L121" s="152" t="s">
        <v>585</v>
      </c>
      <c r="M121" s="152"/>
      <c r="N121" s="375"/>
      <c r="O121" s="152" t="str">
        <f t="shared" ca="1" si="4"/>
        <v>LIMBO</v>
      </c>
      <c r="P121" s="152"/>
      <c r="Q121" s="152" t="s">
        <v>709</v>
      </c>
      <c r="R121" s="152"/>
      <c r="S121" s="152"/>
      <c r="T121" s="379"/>
      <c r="U121" s="379"/>
      <c r="V121" s="375"/>
      <c r="W121" s="375"/>
      <c r="X121" s="375"/>
      <c r="Y121" s="375"/>
      <c r="Z121" s="375"/>
      <c r="AA121" s="375"/>
      <c r="AB121" s="375"/>
      <c r="AC121" s="375"/>
      <c r="AD121" s="375"/>
      <c r="AE121" s="375"/>
      <c r="AF121" s="375"/>
      <c r="AG121" s="375"/>
      <c r="AH121" s="375"/>
      <c r="AI121" s="375" t="s">
        <v>2253</v>
      </c>
      <c r="AJ121" s="375"/>
    </row>
    <row r="122" spans="1:36" ht="39.950000000000003" customHeight="1">
      <c r="A122" s="375">
        <v>120</v>
      </c>
      <c r="B122" s="376">
        <v>45233</v>
      </c>
      <c r="C122" s="377">
        <v>0.33333333333333331</v>
      </c>
      <c r="D122" s="152" t="s">
        <v>2417</v>
      </c>
      <c r="E122" s="378" t="s">
        <v>2418</v>
      </c>
      <c r="F122" s="375">
        <v>3</v>
      </c>
      <c r="G122" s="375"/>
      <c r="H122" s="376"/>
      <c r="I122" s="376"/>
      <c r="J122" s="376"/>
      <c r="K122" s="375"/>
      <c r="L122" s="152" t="s">
        <v>576</v>
      </c>
      <c r="M122" s="152"/>
      <c r="N122" s="375"/>
      <c r="O122" s="152" t="str">
        <f t="shared" ca="1" si="4"/>
        <v>LIMBO</v>
      </c>
      <c r="P122" s="152"/>
      <c r="Q122" s="152" t="s">
        <v>709</v>
      </c>
      <c r="R122" s="152"/>
      <c r="S122" s="152"/>
      <c r="T122" s="379"/>
      <c r="U122" s="379"/>
      <c r="V122" s="375"/>
      <c r="W122" s="375"/>
      <c r="X122" s="375"/>
      <c r="Y122" s="375"/>
      <c r="Z122" s="375"/>
      <c r="AA122" s="375"/>
      <c r="AB122" s="375"/>
      <c r="AC122" s="375"/>
      <c r="AD122" s="375"/>
      <c r="AE122" s="375"/>
      <c r="AF122" s="375"/>
      <c r="AG122" s="375"/>
      <c r="AH122" s="375"/>
      <c r="AI122" s="375" t="s">
        <v>2253</v>
      </c>
      <c r="AJ122" s="375"/>
    </row>
    <row r="123" spans="1:36" ht="39.950000000000003" customHeight="1">
      <c r="A123" s="375">
        <v>121</v>
      </c>
      <c r="B123" s="376">
        <v>45233</v>
      </c>
      <c r="C123" s="377">
        <v>0.33333333333333331</v>
      </c>
      <c r="D123" s="152" t="s">
        <v>2419</v>
      </c>
      <c r="E123" s="378" t="s">
        <v>2420</v>
      </c>
      <c r="F123" s="375">
        <v>3</v>
      </c>
      <c r="G123" s="375"/>
      <c r="H123" s="376"/>
      <c r="I123" s="376"/>
      <c r="J123" s="376"/>
      <c r="K123" s="375"/>
      <c r="L123" s="152" t="s">
        <v>597</v>
      </c>
      <c r="M123" s="152"/>
      <c r="N123" s="375"/>
      <c r="O123" s="152" t="str">
        <f t="shared" ca="1" si="4"/>
        <v>LIMBO</v>
      </c>
      <c r="P123" s="152"/>
      <c r="Q123" s="152" t="s">
        <v>709</v>
      </c>
      <c r="R123" s="152"/>
      <c r="S123" s="152"/>
      <c r="T123" s="379"/>
      <c r="U123" s="379"/>
      <c r="V123" s="375"/>
      <c r="W123" s="375"/>
      <c r="X123" s="375"/>
      <c r="Y123" s="375"/>
      <c r="Z123" s="375"/>
      <c r="AA123" s="375"/>
      <c r="AB123" s="375"/>
      <c r="AC123" s="375"/>
      <c r="AD123" s="375"/>
      <c r="AE123" s="375"/>
      <c r="AF123" s="375"/>
      <c r="AG123" s="375"/>
      <c r="AH123" s="375"/>
      <c r="AI123" s="375" t="s">
        <v>2253</v>
      </c>
      <c r="AJ123" s="375"/>
    </row>
    <row r="124" spans="1:36" ht="39.950000000000003" customHeight="1">
      <c r="A124" s="375">
        <v>122</v>
      </c>
      <c r="B124" s="376">
        <v>45233</v>
      </c>
      <c r="C124" s="377">
        <v>0.40347222222222223</v>
      </c>
      <c r="D124" s="152" t="s">
        <v>2421</v>
      </c>
      <c r="E124" s="378" t="s">
        <v>2422</v>
      </c>
      <c r="F124" s="375">
        <v>2</v>
      </c>
      <c r="G124" s="375"/>
      <c r="H124" s="376"/>
      <c r="I124" s="376"/>
      <c r="J124" s="376"/>
      <c r="K124" s="375"/>
      <c r="L124" s="152" t="s">
        <v>574</v>
      </c>
      <c r="M124" s="152"/>
      <c r="N124" s="375"/>
      <c r="O124" s="152" t="str">
        <f t="shared" ca="1" si="4"/>
        <v>LIMBO</v>
      </c>
      <c r="P124" s="152"/>
      <c r="Q124" s="152" t="s">
        <v>709</v>
      </c>
      <c r="R124" s="152"/>
      <c r="S124" s="152"/>
      <c r="T124" s="379"/>
      <c r="U124" s="379"/>
      <c r="V124" s="375"/>
      <c r="W124" s="375"/>
      <c r="X124" s="375"/>
      <c r="Y124" s="375"/>
      <c r="Z124" s="375"/>
      <c r="AA124" s="375"/>
      <c r="AB124" s="375"/>
      <c r="AC124" s="375"/>
      <c r="AD124" s="375"/>
      <c r="AE124" s="375"/>
      <c r="AF124" s="375"/>
      <c r="AG124" s="375"/>
      <c r="AH124" s="375"/>
      <c r="AI124" s="375" t="s">
        <v>2253</v>
      </c>
      <c r="AJ124" s="375"/>
    </row>
    <row r="125" spans="1:36" ht="39.950000000000003" customHeight="1">
      <c r="A125" s="375">
        <v>123</v>
      </c>
      <c r="B125" s="376">
        <v>45233</v>
      </c>
      <c r="C125" s="377">
        <v>0.4680555555555555</v>
      </c>
      <c r="D125" s="152" t="s">
        <v>2423</v>
      </c>
      <c r="E125" s="378" t="s">
        <v>2424</v>
      </c>
      <c r="F125" s="375">
        <v>7</v>
      </c>
      <c r="G125" s="375"/>
      <c r="H125" s="376"/>
      <c r="I125" s="376"/>
      <c r="J125" s="376"/>
      <c r="K125" s="375"/>
      <c r="L125" s="152" t="s">
        <v>585</v>
      </c>
      <c r="M125" s="152"/>
      <c r="N125" s="375"/>
      <c r="O125" s="152" t="str">
        <f t="shared" ca="1" si="4"/>
        <v>LIMBO</v>
      </c>
      <c r="P125" s="152"/>
      <c r="Q125" s="152" t="s">
        <v>709</v>
      </c>
      <c r="R125" s="152"/>
      <c r="S125" s="152"/>
      <c r="T125" s="379"/>
      <c r="U125" s="379"/>
      <c r="V125" s="375"/>
      <c r="W125" s="375"/>
      <c r="X125" s="375"/>
      <c r="Y125" s="375"/>
      <c r="Z125" s="375"/>
      <c r="AA125" s="375"/>
      <c r="AB125" s="375"/>
      <c r="AC125" s="375"/>
      <c r="AD125" s="375"/>
      <c r="AE125" s="375"/>
      <c r="AF125" s="375"/>
      <c r="AG125" s="375"/>
      <c r="AH125" s="375"/>
      <c r="AI125" s="375" t="s">
        <v>2253</v>
      </c>
      <c r="AJ125" s="375"/>
    </row>
    <row r="126" spans="1:36" ht="39.950000000000003" customHeight="1">
      <c r="A126" s="375">
        <v>124</v>
      </c>
      <c r="B126" s="376">
        <v>45233</v>
      </c>
      <c r="C126" s="377">
        <v>0.4694444444444445</v>
      </c>
      <c r="D126" s="152" t="s">
        <v>2425</v>
      </c>
      <c r="E126" s="378" t="s">
        <v>2426</v>
      </c>
      <c r="F126" s="375">
        <v>2</v>
      </c>
      <c r="G126" s="375"/>
      <c r="H126" s="376"/>
      <c r="I126" s="376"/>
      <c r="J126" s="376"/>
      <c r="K126" s="375"/>
      <c r="L126" s="152" t="s">
        <v>1386</v>
      </c>
      <c r="M126" s="152"/>
      <c r="N126" s="375"/>
      <c r="O126" s="152" t="str">
        <f t="shared" ca="1" si="4"/>
        <v>LIMBO</v>
      </c>
      <c r="P126" s="152"/>
      <c r="Q126" s="152" t="s">
        <v>709</v>
      </c>
      <c r="R126" s="152"/>
      <c r="S126" s="152"/>
      <c r="T126" s="379"/>
      <c r="U126" s="379"/>
      <c r="V126" s="375"/>
      <c r="W126" s="375"/>
      <c r="X126" s="375"/>
      <c r="Y126" s="375"/>
      <c r="Z126" s="375"/>
      <c r="AA126" s="375"/>
      <c r="AB126" s="375"/>
      <c r="AC126" s="375"/>
      <c r="AD126" s="375"/>
      <c r="AE126" s="375"/>
      <c r="AF126" s="375"/>
      <c r="AG126" s="375"/>
      <c r="AH126" s="375"/>
      <c r="AI126" s="375" t="s">
        <v>2253</v>
      </c>
      <c r="AJ126" s="375"/>
    </row>
    <row r="127" spans="1:36" ht="39.950000000000003" customHeight="1">
      <c r="A127" s="375">
        <v>125</v>
      </c>
      <c r="B127" s="376">
        <v>45233</v>
      </c>
      <c r="C127" s="377">
        <v>0.46527777777777773</v>
      </c>
      <c r="D127" s="152" t="s">
        <v>2427</v>
      </c>
      <c r="E127" s="378" t="s">
        <v>2428</v>
      </c>
      <c r="F127" s="375">
        <v>2</v>
      </c>
      <c r="G127" s="375"/>
      <c r="H127" s="376"/>
      <c r="I127" s="376"/>
      <c r="J127" s="376"/>
      <c r="K127" s="375"/>
      <c r="L127" s="152" t="s">
        <v>167</v>
      </c>
      <c r="M127" s="152"/>
      <c r="N127" s="375"/>
      <c r="O127" s="152" t="str">
        <f t="shared" ca="1" si="4"/>
        <v>LIMBO</v>
      </c>
      <c r="P127" s="152"/>
      <c r="Q127" s="152" t="s">
        <v>709</v>
      </c>
      <c r="R127" s="152"/>
      <c r="S127" s="152"/>
      <c r="T127" s="379"/>
      <c r="U127" s="379"/>
      <c r="V127" s="375"/>
      <c r="W127" s="375"/>
      <c r="X127" s="375"/>
      <c r="Y127" s="375"/>
      <c r="Z127" s="375"/>
      <c r="AA127" s="375"/>
      <c r="AB127" s="375"/>
      <c r="AC127" s="375"/>
      <c r="AD127" s="375"/>
      <c r="AE127" s="375"/>
      <c r="AF127" s="375"/>
      <c r="AG127" s="375"/>
      <c r="AH127" s="375"/>
      <c r="AI127" s="375" t="s">
        <v>2253</v>
      </c>
      <c r="AJ127" s="375"/>
    </row>
    <row r="128" spans="1:36" ht="39.950000000000003" customHeight="1">
      <c r="A128" s="375">
        <v>126</v>
      </c>
      <c r="B128" s="376">
        <v>45233</v>
      </c>
      <c r="C128" s="377">
        <v>0.4861111111111111</v>
      </c>
      <c r="D128" s="152" t="s">
        <v>2429</v>
      </c>
      <c r="E128" s="378" t="s">
        <v>2430</v>
      </c>
      <c r="F128" s="375">
        <v>2</v>
      </c>
      <c r="G128" s="375"/>
      <c r="H128" s="376"/>
      <c r="I128" s="376"/>
      <c r="J128" s="376"/>
      <c r="K128" s="375"/>
      <c r="L128" s="152" t="s">
        <v>575</v>
      </c>
      <c r="M128" s="152"/>
      <c r="N128" s="375"/>
      <c r="O128" s="152" t="str">
        <f t="shared" ca="1" si="4"/>
        <v>LIMBO</v>
      </c>
      <c r="P128" s="152"/>
      <c r="Q128" s="152" t="s">
        <v>709</v>
      </c>
      <c r="R128" s="152"/>
      <c r="S128" s="152"/>
      <c r="T128" s="379"/>
      <c r="U128" s="379"/>
      <c r="V128" s="375"/>
      <c r="W128" s="375"/>
      <c r="X128" s="375"/>
      <c r="Y128" s="375"/>
      <c r="Z128" s="375"/>
      <c r="AA128" s="375"/>
      <c r="AB128" s="375"/>
      <c r="AC128" s="375"/>
      <c r="AD128" s="375"/>
      <c r="AE128" s="375"/>
      <c r="AF128" s="375"/>
      <c r="AG128" s="375"/>
      <c r="AH128" s="375"/>
      <c r="AI128" s="375" t="s">
        <v>2253</v>
      </c>
      <c r="AJ128" s="375"/>
    </row>
    <row r="129" spans="1:36" ht="39.950000000000003" customHeight="1">
      <c r="A129" s="375">
        <v>127</v>
      </c>
      <c r="B129" s="376">
        <v>45233</v>
      </c>
      <c r="C129" s="377">
        <v>0.48819444444444443</v>
      </c>
      <c r="D129" s="152" t="s">
        <v>2431</v>
      </c>
      <c r="E129" s="378" t="s">
        <v>2432</v>
      </c>
      <c r="F129" s="375">
        <v>3</v>
      </c>
      <c r="G129" s="375"/>
      <c r="H129" s="376"/>
      <c r="I129" s="376"/>
      <c r="J129" s="376"/>
      <c r="K129" s="375"/>
      <c r="L129" s="152" t="s">
        <v>583</v>
      </c>
      <c r="M129" s="152"/>
      <c r="N129" s="375"/>
      <c r="O129" s="152" t="str">
        <f t="shared" ca="1" si="4"/>
        <v>LIMBO</v>
      </c>
      <c r="P129" s="152"/>
      <c r="Q129" s="152" t="s">
        <v>709</v>
      </c>
      <c r="R129" s="152"/>
      <c r="S129" s="152"/>
      <c r="T129" s="379"/>
      <c r="U129" s="379"/>
      <c r="V129" s="375"/>
      <c r="W129" s="375"/>
      <c r="X129" s="375"/>
      <c r="Y129" s="375"/>
      <c r="Z129" s="375"/>
      <c r="AA129" s="375"/>
      <c r="AB129" s="375"/>
      <c r="AC129" s="375"/>
      <c r="AD129" s="375"/>
      <c r="AE129" s="375"/>
      <c r="AF129" s="375"/>
      <c r="AG129" s="375"/>
      <c r="AH129" s="375"/>
      <c r="AI129" s="375" t="s">
        <v>2253</v>
      </c>
      <c r="AJ129" s="375"/>
    </row>
    <row r="130" spans="1:36" ht="39.950000000000003" customHeight="1">
      <c r="A130" s="400">
        <v>128</v>
      </c>
      <c r="B130" s="330">
        <v>45233</v>
      </c>
      <c r="C130" s="401">
        <v>0.49236111111111108</v>
      </c>
      <c r="D130" s="327" t="s">
        <v>2433</v>
      </c>
      <c r="E130" s="345" t="s">
        <v>2434</v>
      </c>
      <c r="F130" s="400">
        <v>2</v>
      </c>
      <c r="G130" s="400"/>
      <c r="H130" s="330"/>
      <c r="I130" s="330"/>
      <c r="J130" s="330"/>
      <c r="K130" s="400"/>
      <c r="L130" s="327" t="s">
        <v>592</v>
      </c>
      <c r="M130" s="327"/>
      <c r="N130" s="400"/>
      <c r="O130" s="327" t="str">
        <f t="shared" ca="1" si="4"/>
        <v>LIMBO</v>
      </c>
      <c r="P130" s="327"/>
      <c r="Q130" s="327" t="s">
        <v>709</v>
      </c>
      <c r="R130" s="327"/>
      <c r="S130" s="327"/>
      <c r="T130" s="328"/>
      <c r="U130" s="328"/>
      <c r="V130" s="400"/>
      <c r="W130" s="400"/>
      <c r="X130" s="400"/>
      <c r="Y130" s="400"/>
      <c r="Z130" s="400"/>
      <c r="AA130" s="400"/>
      <c r="AB130" s="400"/>
      <c r="AC130" s="400"/>
      <c r="AD130" s="400"/>
      <c r="AE130" s="400"/>
      <c r="AF130" s="400"/>
      <c r="AG130" s="400"/>
      <c r="AH130" s="400"/>
      <c r="AI130" s="400" t="s">
        <v>2253</v>
      </c>
      <c r="AJ130" s="400"/>
    </row>
  </sheetData>
  <sortState ref="A3:AJ90">
    <sortCondition ref="H3:H90"/>
    <sortCondition ref="I3:I90"/>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6">
    <cfRule type="expression" dxfId="499" priority="103">
      <formula>MAX($AC3,$AD3)&lt;1</formula>
    </cfRule>
  </conditionalFormatting>
  <conditionalFormatting sqref="AF7:AF10">
    <cfRule type="expression" dxfId="498" priority="102">
      <formula>MAX($AC7,$AD7)&lt;1</formula>
    </cfRule>
  </conditionalFormatting>
  <conditionalFormatting sqref="AF11:AF13">
    <cfRule type="expression" dxfId="497" priority="101">
      <formula>MAX($AC11,$AD11)&lt;1</formula>
    </cfRule>
  </conditionalFormatting>
  <conditionalFormatting sqref="AF14:AF17">
    <cfRule type="expression" dxfId="496" priority="100">
      <formula>MAX($AC14,$AD14)&lt;1</formula>
    </cfRule>
  </conditionalFormatting>
  <conditionalFormatting sqref="AF4">
    <cfRule type="expression" dxfId="495" priority="98">
      <formula>MAX($AC4,$AD4)&lt;1</formula>
    </cfRule>
  </conditionalFormatting>
  <conditionalFormatting sqref="AF5">
    <cfRule type="expression" dxfId="494" priority="97">
      <formula>MAX($AC5,$AD5)&lt;1</formula>
    </cfRule>
  </conditionalFormatting>
  <conditionalFormatting sqref="AF4">
    <cfRule type="expression" dxfId="493" priority="96">
      <formula>MAX($AC4,$AD4)&lt;1</formula>
    </cfRule>
  </conditionalFormatting>
  <conditionalFormatting sqref="D3:D47">
    <cfRule type="duplicateValues" dxfId="492" priority="94"/>
    <cfRule type="duplicateValues" dxfId="491" priority="95"/>
  </conditionalFormatting>
  <conditionalFormatting sqref="D39:D47">
    <cfRule type="duplicateValues" dxfId="490" priority="106"/>
  </conditionalFormatting>
  <conditionalFormatting sqref="D3:D7">
    <cfRule type="duplicateValues" dxfId="489" priority="92"/>
  </conditionalFormatting>
  <conditionalFormatting sqref="D3:D47">
    <cfRule type="duplicateValues" dxfId="488" priority="111"/>
  </conditionalFormatting>
  <conditionalFormatting sqref="D3:D47">
    <cfRule type="duplicateValues" dxfId="487" priority="86"/>
    <cfRule type="duplicateValues" dxfId="486" priority="87"/>
  </conditionalFormatting>
  <conditionalFormatting sqref="D3:D48">
    <cfRule type="duplicateValues" dxfId="485" priority="85"/>
  </conditionalFormatting>
  <conditionalFormatting sqref="D3:D49">
    <cfRule type="duplicateValues" dxfId="484" priority="83"/>
  </conditionalFormatting>
  <conditionalFormatting sqref="D3:D50">
    <cfRule type="duplicateValues" dxfId="483" priority="82"/>
  </conditionalFormatting>
  <conditionalFormatting sqref="D3:D51">
    <cfRule type="duplicateValues" dxfId="482" priority="81"/>
  </conditionalFormatting>
  <conditionalFormatting sqref="D3:D52">
    <cfRule type="duplicateValues" dxfId="481" priority="80"/>
  </conditionalFormatting>
  <conditionalFormatting sqref="D3:D53">
    <cfRule type="duplicateValues" dxfId="480" priority="79"/>
  </conditionalFormatting>
  <conditionalFormatting sqref="D3:D54">
    <cfRule type="duplicateValues" dxfId="479" priority="78"/>
  </conditionalFormatting>
  <conditionalFormatting sqref="D3:D55">
    <cfRule type="duplicateValues" dxfId="478" priority="77"/>
  </conditionalFormatting>
  <conditionalFormatting sqref="D3:D56">
    <cfRule type="duplicateValues" dxfId="477" priority="76"/>
  </conditionalFormatting>
  <conditionalFormatting sqref="D3:D57">
    <cfRule type="duplicateValues" dxfId="476" priority="75"/>
  </conditionalFormatting>
  <conditionalFormatting sqref="D3:D58">
    <cfRule type="duplicateValues" dxfId="475" priority="74"/>
  </conditionalFormatting>
  <conditionalFormatting sqref="D3:D59">
    <cfRule type="duplicateValues" dxfId="474" priority="73"/>
  </conditionalFormatting>
  <conditionalFormatting sqref="D3:D60">
    <cfRule type="duplicateValues" dxfId="473" priority="72"/>
  </conditionalFormatting>
  <conditionalFormatting sqref="D3:D61">
    <cfRule type="duplicateValues" dxfId="472" priority="71"/>
  </conditionalFormatting>
  <conditionalFormatting sqref="D3:D62">
    <cfRule type="duplicateValues" dxfId="471" priority="70"/>
  </conditionalFormatting>
  <conditionalFormatting sqref="D3:D63">
    <cfRule type="duplicateValues" dxfId="470" priority="69"/>
  </conditionalFormatting>
  <conditionalFormatting sqref="D3:D64">
    <cfRule type="duplicateValues" dxfId="469" priority="68"/>
  </conditionalFormatting>
  <conditionalFormatting sqref="D3:D65">
    <cfRule type="duplicateValues" dxfId="468" priority="67"/>
  </conditionalFormatting>
  <conditionalFormatting sqref="D3:D66">
    <cfRule type="duplicateValues" dxfId="467" priority="66"/>
  </conditionalFormatting>
  <conditionalFormatting sqref="D3:D67">
    <cfRule type="duplicateValues" dxfId="466" priority="65"/>
  </conditionalFormatting>
  <conditionalFormatting sqref="D3:D68">
    <cfRule type="duplicateValues" dxfId="465" priority="64"/>
  </conditionalFormatting>
  <conditionalFormatting sqref="D3:D69">
    <cfRule type="duplicateValues" dxfId="464" priority="63"/>
  </conditionalFormatting>
  <conditionalFormatting sqref="D3:D70">
    <cfRule type="duplicateValues" dxfId="463" priority="62"/>
  </conditionalFormatting>
  <conditionalFormatting sqref="D3:D71">
    <cfRule type="duplicateValues" dxfId="462" priority="61"/>
  </conditionalFormatting>
  <conditionalFormatting sqref="D3:D72">
    <cfRule type="duplicateValues" dxfId="461" priority="60"/>
  </conditionalFormatting>
  <conditionalFormatting sqref="D3:D73">
    <cfRule type="duplicateValues" dxfId="460" priority="59"/>
  </conditionalFormatting>
  <conditionalFormatting sqref="D3:D74">
    <cfRule type="duplicateValues" dxfId="459" priority="58"/>
  </conditionalFormatting>
  <conditionalFormatting sqref="D3:D75">
    <cfRule type="duplicateValues" dxfId="458" priority="57"/>
  </conditionalFormatting>
  <conditionalFormatting sqref="D3:D76">
    <cfRule type="duplicateValues" dxfId="457" priority="56"/>
  </conditionalFormatting>
  <conditionalFormatting sqref="D3:D77">
    <cfRule type="duplicateValues" dxfId="456" priority="55"/>
  </conditionalFormatting>
  <conditionalFormatting sqref="D3:D78">
    <cfRule type="duplicateValues" dxfId="455" priority="54"/>
  </conditionalFormatting>
  <conditionalFormatting sqref="D3:D79">
    <cfRule type="duplicateValues" dxfId="454" priority="53"/>
  </conditionalFormatting>
  <conditionalFormatting sqref="D3:D80">
    <cfRule type="duplicateValues" dxfId="453" priority="52"/>
  </conditionalFormatting>
  <conditionalFormatting sqref="D3:D81">
    <cfRule type="duplicateValues" dxfId="452" priority="51"/>
  </conditionalFormatting>
  <conditionalFormatting sqref="D3:D82">
    <cfRule type="duplicateValues" dxfId="451" priority="49"/>
  </conditionalFormatting>
  <conditionalFormatting sqref="D3:D83">
    <cfRule type="duplicateValues" dxfId="450" priority="48"/>
  </conditionalFormatting>
  <conditionalFormatting sqref="D3:D84">
    <cfRule type="duplicateValues" dxfId="449" priority="47"/>
  </conditionalFormatting>
  <conditionalFormatting sqref="D3:D85">
    <cfRule type="duplicateValues" dxfId="448" priority="46"/>
  </conditionalFormatting>
  <conditionalFormatting sqref="D3:D86">
    <cfRule type="duplicateValues" dxfId="447" priority="45"/>
  </conditionalFormatting>
  <conditionalFormatting sqref="D3:D87">
    <cfRule type="duplicateValues" dxfId="446" priority="44"/>
  </conditionalFormatting>
  <conditionalFormatting sqref="D3:D88">
    <cfRule type="duplicateValues" dxfId="445" priority="43"/>
  </conditionalFormatting>
  <conditionalFormatting sqref="D3:D89">
    <cfRule type="duplicateValues" dxfId="444" priority="42"/>
  </conditionalFormatting>
  <conditionalFormatting sqref="D3:D90">
    <cfRule type="duplicateValues" dxfId="443" priority="41"/>
  </conditionalFormatting>
  <conditionalFormatting sqref="D3:D91">
    <cfRule type="duplicateValues" dxfId="442" priority="40"/>
  </conditionalFormatting>
  <conditionalFormatting sqref="D3:D92">
    <cfRule type="duplicateValues" dxfId="441" priority="39"/>
  </conditionalFormatting>
  <conditionalFormatting sqref="D3:D93">
    <cfRule type="duplicateValues" dxfId="440" priority="38"/>
  </conditionalFormatting>
  <conditionalFormatting sqref="D3:D94">
    <cfRule type="duplicateValues" dxfId="439" priority="37"/>
  </conditionalFormatting>
  <conditionalFormatting sqref="D3:D95">
    <cfRule type="duplicateValues" dxfId="438" priority="36"/>
  </conditionalFormatting>
  <conditionalFormatting sqref="D3:D96">
    <cfRule type="duplicateValues" dxfId="437" priority="35"/>
  </conditionalFormatting>
  <conditionalFormatting sqref="D3:D97">
    <cfRule type="duplicateValues" dxfId="436" priority="34"/>
  </conditionalFormatting>
  <conditionalFormatting sqref="D3:D98">
    <cfRule type="duplicateValues" dxfId="435" priority="33"/>
  </conditionalFormatting>
  <conditionalFormatting sqref="D3:D99">
    <cfRule type="duplicateValues" dxfId="434" priority="32"/>
  </conditionalFormatting>
  <conditionalFormatting sqref="D3:D100">
    <cfRule type="duplicateValues" dxfId="433" priority="31"/>
  </conditionalFormatting>
  <conditionalFormatting sqref="D3:D101">
    <cfRule type="duplicateValues" dxfId="432" priority="30"/>
  </conditionalFormatting>
  <conditionalFormatting sqref="D3:D102">
    <cfRule type="duplicateValues" dxfId="431" priority="29"/>
  </conditionalFormatting>
  <conditionalFormatting sqref="D3:D103">
    <cfRule type="duplicateValues" dxfId="430" priority="28"/>
  </conditionalFormatting>
  <conditionalFormatting sqref="D3:D104">
    <cfRule type="duplicateValues" dxfId="429" priority="27"/>
  </conditionalFormatting>
  <conditionalFormatting sqref="D3:D105">
    <cfRule type="duplicateValues" dxfId="428" priority="26"/>
  </conditionalFormatting>
  <conditionalFormatting sqref="D3:D106">
    <cfRule type="duplicateValues" dxfId="427" priority="25"/>
  </conditionalFormatting>
  <conditionalFormatting sqref="D3:D107">
    <cfRule type="duplicateValues" dxfId="426" priority="24"/>
  </conditionalFormatting>
  <conditionalFormatting sqref="D3:D108">
    <cfRule type="duplicateValues" dxfId="425" priority="23"/>
  </conditionalFormatting>
  <conditionalFormatting sqref="D3:D109">
    <cfRule type="duplicateValues" dxfId="424" priority="22"/>
  </conditionalFormatting>
  <conditionalFormatting sqref="D3:D110">
    <cfRule type="duplicateValues" dxfId="423" priority="21"/>
  </conditionalFormatting>
  <conditionalFormatting sqref="D3:D111">
    <cfRule type="duplicateValues" dxfId="422" priority="20"/>
  </conditionalFormatting>
  <conditionalFormatting sqref="D3:D112">
    <cfRule type="duplicateValues" dxfId="18" priority="19"/>
  </conditionalFormatting>
  <conditionalFormatting sqref="D3:D113">
    <cfRule type="duplicateValues" dxfId="17" priority="18"/>
  </conditionalFormatting>
  <conditionalFormatting sqref="D3:D114">
    <cfRule type="duplicateValues" dxfId="16" priority="17"/>
  </conditionalFormatting>
  <conditionalFormatting sqref="D3:D115">
    <cfRule type="duplicateValues" dxfId="15" priority="16"/>
  </conditionalFormatting>
  <conditionalFormatting sqref="D3:D116">
    <cfRule type="duplicateValues" dxfId="14" priority="15"/>
  </conditionalFormatting>
  <conditionalFormatting sqref="D3:D117">
    <cfRule type="duplicateValues" dxfId="13" priority="14"/>
  </conditionalFormatting>
  <conditionalFormatting sqref="D3:D118">
    <cfRule type="duplicateValues" dxfId="12" priority="13"/>
  </conditionalFormatting>
  <conditionalFormatting sqref="D3:D119">
    <cfRule type="duplicateValues" dxfId="11" priority="12"/>
  </conditionalFormatting>
  <conditionalFormatting sqref="D3:D120">
    <cfRule type="duplicateValues" dxfId="10" priority="11"/>
  </conditionalFormatting>
  <conditionalFormatting sqref="D3:D121">
    <cfRule type="duplicateValues" dxfId="9" priority="10"/>
  </conditionalFormatting>
  <conditionalFormatting sqref="D3:D122">
    <cfRule type="duplicateValues" dxfId="8" priority="9"/>
  </conditionalFormatting>
  <conditionalFormatting sqref="D3:D123">
    <cfRule type="duplicateValues" dxfId="7" priority="8"/>
  </conditionalFormatting>
  <conditionalFormatting sqref="D3:D124">
    <cfRule type="duplicateValues" dxfId="6" priority="7"/>
  </conditionalFormatting>
  <conditionalFormatting sqref="D3:D125">
    <cfRule type="duplicateValues" dxfId="5" priority="6"/>
  </conditionalFormatting>
  <conditionalFormatting sqref="D3:D126">
    <cfRule type="duplicateValues" dxfId="4" priority="5"/>
  </conditionalFormatting>
  <conditionalFormatting sqref="D3:D127">
    <cfRule type="duplicateValues" dxfId="3" priority="4"/>
  </conditionalFormatting>
  <conditionalFormatting sqref="D3:D128">
    <cfRule type="duplicateValues" dxfId="2" priority="3"/>
  </conditionalFormatting>
  <conditionalFormatting sqref="D3:D129">
    <cfRule type="duplicateValues" dxfId="1" priority="2"/>
  </conditionalFormatting>
  <conditionalFormatting sqref="D3:D130">
    <cfRule type="duplicateValues" dxfId="0" priority="1"/>
  </conditionalFormatting>
  <dataValidations count="16">
    <dataValidation type="list" allowBlank="1" showInputMessage="1" showErrorMessage="1" sqref="AI40:AI48 AI131:AI224">
      <formula1>PRESO!$A$1:$A$2</formula1>
    </dataValidation>
    <dataValidation type="list" allowBlank="1" showInputMessage="1" showErrorMessage="1" sqref="M3:M28 M30:M130">
      <formula1>defensores!$A$1:$A$192</formula1>
    </dataValidation>
    <dataValidation type="list" allowBlank="1" showInputMessage="1" showErrorMessage="1" sqref="L3:L28 L30:L130">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130">
      <formula1>#REF!</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130">
      <formula1>Internos!$A$1:$A$5</formula1>
    </dataValidation>
    <dataValidation type="list" allowBlank="1" showInputMessage="1" showErrorMessage="1" sqref="AI3:AI6 AI49:AI130">
      <formula1>" Audiencias\[ACJAN.xlsm]PRESO'!$A$1:$A$2"</formula1>
    </dataValidation>
    <dataValidation type="list" allowBlank="1" showInputMessage="1" showErrorMessage="1" sqref="AJ3:AJ27 AJ49:AJ130">
      <formula1>OPO!$A$1:$A$2</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21" priority="304">
      <formula>ISERROR(C2)</formula>
    </cfRule>
  </conditionalFormatting>
  <conditionalFormatting sqref="E2:E11">
    <cfRule type="containsErrors" dxfId="420" priority="303">
      <formula>ISERROR(E2)</formula>
    </cfRule>
  </conditionalFormatting>
  <conditionalFormatting sqref="G2:G11">
    <cfRule type="containsErrors" dxfId="419" priority="302">
      <formula>ISERROR(G2)</formula>
    </cfRule>
  </conditionalFormatting>
  <conditionalFormatting sqref="I2:I11">
    <cfRule type="containsErrors" dxfId="418" priority="301">
      <formula>ISERROR(I2)</formula>
    </cfRule>
  </conditionalFormatting>
  <conditionalFormatting sqref="K2:K11">
    <cfRule type="containsErrors" dxfId="417" priority="300">
      <formula>ISERROR(K2)</formula>
    </cfRule>
  </conditionalFormatting>
  <conditionalFormatting sqref="G2 I2 K2">
    <cfRule type="containsErrors" dxfId="416" priority="299">
      <formula>ISERROR(G2)</formula>
    </cfRule>
  </conditionalFormatting>
  <conditionalFormatting sqref="I2">
    <cfRule type="containsErrors" dxfId="415" priority="298">
      <formula>ISERROR(I2)</formula>
    </cfRule>
  </conditionalFormatting>
  <conditionalFormatting sqref="G3:G7">
    <cfRule type="containsErrors" dxfId="414" priority="297">
      <formula>ISERROR(G3)</formula>
    </cfRule>
  </conditionalFormatting>
  <conditionalFormatting sqref="G8:G11">
    <cfRule type="containsErrors" dxfId="413" priority="296">
      <formula>ISERROR(G8)</formula>
    </cfRule>
  </conditionalFormatting>
  <conditionalFormatting sqref="I3:I11">
    <cfRule type="containsErrors" dxfId="412" priority="295">
      <formula>ISERROR(I3)</formula>
    </cfRule>
  </conditionalFormatting>
  <conditionalFormatting sqref="I3:I11">
    <cfRule type="containsErrors" dxfId="411" priority="294">
      <formula>ISERROR(I3)</formula>
    </cfRule>
  </conditionalFormatting>
  <conditionalFormatting sqref="K3:K11">
    <cfRule type="containsErrors" dxfId="410" priority="293">
      <formula>ISERROR(K3)</formula>
    </cfRule>
  </conditionalFormatting>
  <conditionalFormatting sqref="C2">
    <cfRule type="containsErrors" dxfId="409" priority="292">
      <formula>ISERROR(C2)</formula>
    </cfRule>
  </conditionalFormatting>
  <conditionalFormatting sqref="C2">
    <cfRule type="containsErrors" dxfId="408" priority="291">
      <formula>ISERROR(C2)</formula>
    </cfRule>
  </conditionalFormatting>
  <conditionalFormatting sqref="C3:C11">
    <cfRule type="containsErrors" dxfId="407" priority="290">
      <formula>ISERROR(C3)</formula>
    </cfRule>
  </conditionalFormatting>
  <conditionalFormatting sqref="C3:C11">
    <cfRule type="containsErrors" dxfId="406" priority="289">
      <formula>ISERROR(C3)</formula>
    </cfRule>
  </conditionalFormatting>
  <conditionalFormatting sqref="C3:C11">
    <cfRule type="containsErrors" dxfId="405" priority="288">
      <formula>ISERROR(C3)</formula>
    </cfRule>
  </conditionalFormatting>
  <conditionalFormatting sqref="C3:C11">
    <cfRule type="containsErrors" dxfId="404" priority="287">
      <formula>ISERROR(C3)</formula>
    </cfRule>
  </conditionalFormatting>
  <conditionalFormatting sqref="E2">
    <cfRule type="containsErrors" dxfId="403" priority="286">
      <formula>ISERROR(E2)</formula>
    </cfRule>
  </conditionalFormatting>
  <conditionalFormatting sqref="E2">
    <cfRule type="containsErrors" dxfId="402" priority="285">
      <formula>ISERROR(E2)</formula>
    </cfRule>
  </conditionalFormatting>
  <conditionalFormatting sqref="E2">
    <cfRule type="containsErrors" dxfId="401" priority="284">
      <formula>ISERROR(E2)</formula>
    </cfRule>
  </conditionalFormatting>
  <conditionalFormatting sqref="E3:E11">
    <cfRule type="containsErrors" dxfId="400" priority="283">
      <formula>ISERROR(E3)</formula>
    </cfRule>
  </conditionalFormatting>
  <conditionalFormatting sqref="E3:E11">
    <cfRule type="containsErrors" dxfId="399" priority="282">
      <formula>ISERROR(E3)</formula>
    </cfRule>
  </conditionalFormatting>
  <conditionalFormatting sqref="E3:E11">
    <cfRule type="containsErrors" dxfId="398" priority="281">
      <formula>ISERROR(E3)</formula>
    </cfRule>
  </conditionalFormatting>
  <conditionalFormatting sqref="G2:G11">
    <cfRule type="containsErrors" dxfId="397" priority="280">
      <formula>ISERROR(G2)</formula>
    </cfRule>
  </conditionalFormatting>
  <conditionalFormatting sqref="G2">
    <cfRule type="containsErrors" dxfId="396" priority="279">
      <formula>ISERROR(G2)</formula>
    </cfRule>
  </conditionalFormatting>
  <conditionalFormatting sqref="G2">
    <cfRule type="containsErrors" dxfId="395" priority="278">
      <formula>ISERROR(G2)</formula>
    </cfRule>
  </conditionalFormatting>
  <conditionalFormatting sqref="G2">
    <cfRule type="containsErrors" dxfId="394" priority="277">
      <formula>ISERROR(G2)</formula>
    </cfRule>
  </conditionalFormatting>
  <conditionalFormatting sqref="G3:G11">
    <cfRule type="containsErrors" dxfId="393" priority="276">
      <formula>ISERROR(G3)</formula>
    </cfRule>
  </conditionalFormatting>
  <conditionalFormatting sqref="G3:G11">
    <cfRule type="containsErrors" dxfId="392" priority="275">
      <formula>ISERROR(G3)</formula>
    </cfRule>
  </conditionalFormatting>
  <conditionalFormatting sqref="G3:G11">
    <cfRule type="containsErrors" dxfId="391" priority="274">
      <formula>ISERROR(G3)</formula>
    </cfRule>
  </conditionalFormatting>
  <conditionalFormatting sqref="I2:I11">
    <cfRule type="containsErrors" dxfId="390" priority="273">
      <formula>ISERROR(I2)</formula>
    </cfRule>
  </conditionalFormatting>
  <conditionalFormatting sqref="I2">
    <cfRule type="containsErrors" dxfId="389" priority="272">
      <formula>ISERROR(I2)</formula>
    </cfRule>
  </conditionalFormatting>
  <conditionalFormatting sqref="I2">
    <cfRule type="containsErrors" dxfId="388" priority="271">
      <formula>ISERROR(I2)</formula>
    </cfRule>
  </conditionalFormatting>
  <conditionalFormatting sqref="I2">
    <cfRule type="containsErrors" dxfId="387" priority="270">
      <formula>ISERROR(I2)</formula>
    </cfRule>
  </conditionalFormatting>
  <conditionalFormatting sqref="I3:I11">
    <cfRule type="containsErrors" dxfId="386" priority="269">
      <formula>ISERROR(I3)</formula>
    </cfRule>
  </conditionalFormatting>
  <conditionalFormatting sqref="I3:I11">
    <cfRule type="containsErrors" dxfId="385" priority="268">
      <formula>ISERROR(I3)</formula>
    </cfRule>
  </conditionalFormatting>
  <conditionalFormatting sqref="I3:I11">
    <cfRule type="containsErrors" dxfId="384" priority="267">
      <formula>ISERROR(I3)</formula>
    </cfRule>
  </conditionalFormatting>
  <conditionalFormatting sqref="C3:C11">
    <cfRule type="containsErrors" dxfId="383" priority="266">
      <formula>ISERROR(C3)</formula>
    </cfRule>
  </conditionalFormatting>
  <conditionalFormatting sqref="C3:C11">
    <cfRule type="containsErrors" dxfId="382" priority="265">
      <formula>ISERROR(C3)</formula>
    </cfRule>
  </conditionalFormatting>
  <conditionalFormatting sqref="E2:E11">
    <cfRule type="containsErrors" dxfId="381" priority="264">
      <formula>ISERROR(E2)</formula>
    </cfRule>
  </conditionalFormatting>
  <conditionalFormatting sqref="E2">
    <cfRule type="containsErrors" dxfId="380" priority="263">
      <formula>ISERROR(E2)</formula>
    </cfRule>
  </conditionalFormatting>
  <conditionalFormatting sqref="E2">
    <cfRule type="containsErrors" dxfId="379" priority="262">
      <formula>ISERROR(E2)</formula>
    </cfRule>
  </conditionalFormatting>
  <conditionalFormatting sqref="E3:E11">
    <cfRule type="containsErrors" dxfId="378" priority="261">
      <formula>ISERROR(E3)</formula>
    </cfRule>
  </conditionalFormatting>
  <conditionalFormatting sqref="E3:E11">
    <cfRule type="containsErrors" dxfId="377" priority="260">
      <formula>ISERROR(E3)</formula>
    </cfRule>
  </conditionalFormatting>
  <conditionalFormatting sqref="E3:E11">
    <cfRule type="containsErrors" dxfId="376" priority="259">
      <formula>ISERROR(E3)</formula>
    </cfRule>
  </conditionalFormatting>
  <conditionalFormatting sqref="E3:E11">
    <cfRule type="containsErrors" dxfId="375" priority="258">
      <formula>ISERROR(E3)</formula>
    </cfRule>
  </conditionalFormatting>
  <conditionalFormatting sqref="E3:E11">
    <cfRule type="containsErrors" dxfId="374" priority="257">
      <formula>ISERROR(E3)</formula>
    </cfRule>
  </conditionalFormatting>
  <conditionalFormatting sqref="E3:E11">
    <cfRule type="containsErrors" dxfId="373" priority="256">
      <formula>ISERROR(E3)</formula>
    </cfRule>
  </conditionalFormatting>
  <conditionalFormatting sqref="G2:G11">
    <cfRule type="containsErrors" dxfId="372" priority="255">
      <formula>ISERROR(G2)</formula>
    </cfRule>
  </conditionalFormatting>
  <conditionalFormatting sqref="G2">
    <cfRule type="containsErrors" dxfId="371" priority="254">
      <formula>ISERROR(G2)</formula>
    </cfRule>
  </conditionalFormatting>
  <conditionalFormatting sqref="G2">
    <cfRule type="containsErrors" dxfId="370" priority="253">
      <formula>ISERROR(G2)</formula>
    </cfRule>
  </conditionalFormatting>
  <conditionalFormatting sqref="G3:G11">
    <cfRule type="containsErrors" dxfId="369" priority="252">
      <formula>ISERROR(G3)</formula>
    </cfRule>
  </conditionalFormatting>
  <conditionalFormatting sqref="G3:G11">
    <cfRule type="containsErrors" dxfId="368" priority="251">
      <formula>ISERROR(G3)</formula>
    </cfRule>
  </conditionalFormatting>
  <conditionalFormatting sqref="G3:G11">
    <cfRule type="containsErrors" dxfId="367" priority="250">
      <formula>ISERROR(G3)</formula>
    </cfRule>
  </conditionalFormatting>
  <conditionalFormatting sqref="G3:G11">
    <cfRule type="containsErrors" dxfId="366" priority="249">
      <formula>ISERROR(G3)</formula>
    </cfRule>
  </conditionalFormatting>
  <conditionalFormatting sqref="G3:G11">
    <cfRule type="containsErrors" dxfId="365" priority="248">
      <formula>ISERROR(G3)</formula>
    </cfRule>
  </conditionalFormatting>
  <conditionalFormatting sqref="G3:G11">
    <cfRule type="containsErrors" dxfId="364" priority="247">
      <formula>ISERROR(G3)</formula>
    </cfRule>
  </conditionalFormatting>
  <conditionalFormatting sqref="I2:I11">
    <cfRule type="containsErrors" dxfId="363" priority="246">
      <formula>ISERROR(I2)</formula>
    </cfRule>
  </conditionalFormatting>
  <conditionalFormatting sqref="I2">
    <cfRule type="containsErrors" dxfId="362" priority="245">
      <formula>ISERROR(I2)</formula>
    </cfRule>
  </conditionalFormatting>
  <conditionalFormatting sqref="I2">
    <cfRule type="containsErrors" dxfId="361" priority="244">
      <formula>ISERROR(I2)</formula>
    </cfRule>
  </conditionalFormatting>
  <conditionalFormatting sqref="I3:I11">
    <cfRule type="containsErrors" dxfId="360" priority="243">
      <formula>ISERROR(I3)</formula>
    </cfRule>
  </conditionalFormatting>
  <conditionalFormatting sqref="I3:I11">
    <cfRule type="containsErrors" dxfId="359" priority="242">
      <formula>ISERROR(I3)</formula>
    </cfRule>
  </conditionalFormatting>
  <conditionalFormatting sqref="I3:I11">
    <cfRule type="containsErrors" dxfId="358" priority="241">
      <formula>ISERROR(I3)</formula>
    </cfRule>
  </conditionalFormatting>
  <conditionalFormatting sqref="I3:I11">
    <cfRule type="containsErrors" dxfId="357" priority="240">
      <formula>ISERROR(I3)</formula>
    </cfRule>
  </conditionalFormatting>
  <conditionalFormatting sqref="I3:I11">
    <cfRule type="containsErrors" dxfId="356" priority="239">
      <formula>ISERROR(I3)</formula>
    </cfRule>
  </conditionalFormatting>
  <conditionalFormatting sqref="I3:I11">
    <cfRule type="containsErrors" dxfId="355" priority="238">
      <formula>ISERROR(I3)</formula>
    </cfRule>
  </conditionalFormatting>
  <conditionalFormatting sqref="K2:K11">
    <cfRule type="containsErrors" dxfId="354" priority="237">
      <formula>ISERROR(K2)</formula>
    </cfRule>
  </conditionalFormatting>
  <conditionalFormatting sqref="K2">
    <cfRule type="containsErrors" dxfId="353" priority="236">
      <formula>ISERROR(K2)</formula>
    </cfRule>
  </conditionalFormatting>
  <conditionalFormatting sqref="K2">
    <cfRule type="containsErrors" dxfId="352" priority="235">
      <formula>ISERROR(K2)</formula>
    </cfRule>
  </conditionalFormatting>
  <conditionalFormatting sqref="K3:K11">
    <cfRule type="containsErrors" dxfId="351" priority="234">
      <formula>ISERROR(K3)</formula>
    </cfRule>
  </conditionalFormatting>
  <conditionalFormatting sqref="K3:K11">
    <cfRule type="containsErrors" dxfId="350" priority="233">
      <formula>ISERROR(K3)</formula>
    </cfRule>
  </conditionalFormatting>
  <conditionalFormatting sqref="K3:K11">
    <cfRule type="containsErrors" dxfId="349" priority="232">
      <formula>ISERROR(K3)</formula>
    </cfRule>
  </conditionalFormatting>
  <conditionalFormatting sqref="K3:K11">
    <cfRule type="containsErrors" dxfId="348" priority="231">
      <formula>ISERROR(K3)</formula>
    </cfRule>
  </conditionalFormatting>
  <conditionalFormatting sqref="K3:K11">
    <cfRule type="containsErrors" dxfId="347" priority="230">
      <formula>ISERROR(K3)</formula>
    </cfRule>
  </conditionalFormatting>
  <conditionalFormatting sqref="K3:K11">
    <cfRule type="containsErrors" dxfId="346" priority="229">
      <formula>ISERROR(K3)</formula>
    </cfRule>
  </conditionalFormatting>
  <conditionalFormatting sqref="C2:C11">
    <cfRule type="containsErrors" dxfId="345" priority="228">
      <formula>ISERROR(C2)</formula>
    </cfRule>
  </conditionalFormatting>
  <conditionalFormatting sqref="E2:E11">
    <cfRule type="containsErrors" dxfId="344" priority="227">
      <formula>ISERROR(E2)</formula>
    </cfRule>
  </conditionalFormatting>
  <conditionalFormatting sqref="G2:G11">
    <cfRule type="containsErrors" dxfId="343" priority="226">
      <formula>ISERROR(G2)</formula>
    </cfRule>
  </conditionalFormatting>
  <conditionalFormatting sqref="I2:I11">
    <cfRule type="containsErrors" dxfId="342" priority="225">
      <formula>ISERROR(I2)</formula>
    </cfRule>
  </conditionalFormatting>
  <conditionalFormatting sqref="K2:K11">
    <cfRule type="containsErrors" dxfId="341" priority="224">
      <formula>ISERROR(K2)</formula>
    </cfRule>
  </conditionalFormatting>
  <conditionalFormatting sqref="G2 I2 K2">
    <cfRule type="containsErrors" dxfId="340" priority="223">
      <formula>ISERROR(G2)</formula>
    </cfRule>
  </conditionalFormatting>
  <conditionalFormatting sqref="I2">
    <cfRule type="containsErrors" dxfId="339" priority="222">
      <formula>ISERROR(I2)</formula>
    </cfRule>
  </conditionalFormatting>
  <conditionalFormatting sqref="G3:G7">
    <cfRule type="containsErrors" dxfId="338" priority="221">
      <formula>ISERROR(G3)</formula>
    </cfRule>
  </conditionalFormatting>
  <conditionalFormatting sqref="G8:G11">
    <cfRule type="containsErrors" dxfId="337" priority="220">
      <formula>ISERROR(G8)</formula>
    </cfRule>
  </conditionalFormatting>
  <conditionalFormatting sqref="I3:I11">
    <cfRule type="containsErrors" dxfId="336" priority="219">
      <formula>ISERROR(I3)</formula>
    </cfRule>
  </conditionalFormatting>
  <conditionalFormatting sqref="I3:I11">
    <cfRule type="containsErrors" dxfId="335" priority="218">
      <formula>ISERROR(I3)</formula>
    </cfRule>
  </conditionalFormatting>
  <conditionalFormatting sqref="K3:K11">
    <cfRule type="containsErrors" dxfId="334" priority="217">
      <formula>ISERROR(K3)</formula>
    </cfRule>
  </conditionalFormatting>
  <conditionalFormatting sqref="C2">
    <cfRule type="containsErrors" dxfId="333" priority="216">
      <formula>ISERROR(C2)</formula>
    </cfRule>
  </conditionalFormatting>
  <conditionalFormatting sqref="C2">
    <cfRule type="containsErrors" dxfId="332" priority="215">
      <formula>ISERROR(C2)</formula>
    </cfRule>
  </conditionalFormatting>
  <conditionalFormatting sqref="C3:C11">
    <cfRule type="containsErrors" dxfId="331" priority="214">
      <formula>ISERROR(C3)</formula>
    </cfRule>
  </conditionalFormatting>
  <conditionalFormatting sqref="C3:C11">
    <cfRule type="containsErrors" dxfId="330" priority="213">
      <formula>ISERROR(C3)</formula>
    </cfRule>
  </conditionalFormatting>
  <conditionalFormatting sqref="C3:C11">
    <cfRule type="containsErrors" dxfId="329" priority="212">
      <formula>ISERROR(C3)</formula>
    </cfRule>
  </conditionalFormatting>
  <conditionalFormatting sqref="C3:C11">
    <cfRule type="containsErrors" dxfId="328" priority="211">
      <formula>ISERROR(C3)</formula>
    </cfRule>
  </conditionalFormatting>
  <conditionalFormatting sqref="E2">
    <cfRule type="containsErrors" dxfId="327" priority="210">
      <formula>ISERROR(E2)</formula>
    </cfRule>
  </conditionalFormatting>
  <conditionalFormatting sqref="E2">
    <cfRule type="containsErrors" dxfId="326" priority="209">
      <formula>ISERROR(E2)</formula>
    </cfRule>
  </conditionalFormatting>
  <conditionalFormatting sqref="E2">
    <cfRule type="containsErrors" dxfId="325" priority="208">
      <formula>ISERROR(E2)</formula>
    </cfRule>
  </conditionalFormatting>
  <conditionalFormatting sqref="E3:E11">
    <cfRule type="containsErrors" dxfId="324" priority="207">
      <formula>ISERROR(E3)</formula>
    </cfRule>
  </conditionalFormatting>
  <conditionalFormatting sqref="E3:E11">
    <cfRule type="containsErrors" dxfId="323" priority="206">
      <formula>ISERROR(E3)</formula>
    </cfRule>
  </conditionalFormatting>
  <conditionalFormatting sqref="E3:E11">
    <cfRule type="containsErrors" dxfId="322" priority="205">
      <formula>ISERROR(E3)</formula>
    </cfRule>
  </conditionalFormatting>
  <conditionalFormatting sqref="G2:G11">
    <cfRule type="containsErrors" dxfId="321" priority="204">
      <formula>ISERROR(G2)</formula>
    </cfRule>
  </conditionalFormatting>
  <conditionalFormatting sqref="G2">
    <cfRule type="containsErrors" dxfId="320" priority="203">
      <formula>ISERROR(G2)</formula>
    </cfRule>
  </conditionalFormatting>
  <conditionalFormatting sqref="G2">
    <cfRule type="containsErrors" dxfId="319" priority="202">
      <formula>ISERROR(G2)</formula>
    </cfRule>
  </conditionalFormatting>
  <conditionalFormatting sqref="G2">
    <cfRule type="containsErrors" dxfId="318" priority="201">
      <formula>ISERROR(G2)</formula>
    </cfRule>
  </conditionalFormatting>
  <conditionalFormatting sqref="G3:G11">
    <cfRule type="containsErrors" dxfId="317" priority="200">
      <formula>ISERROR(G3)</formula>
    </cfRule>
  </conditionalFormatting>
  <conditionalFormatting sqref="G3:G11">
    <cfRule type="containsErrors" dxfId="316" priority="199">
      <formula>ISERROR(G3)</formula>
    </cfRule>
  </conditionalFormatting>
  <conditionalFormatting sqref="G3:G11">
    <cfRule type="containsErrors" dxfId="315" priority="198">
      <formula>ISERROR(G3)</formula>
    </cfRule>
  </conditionalFormatting>
  <conditionalFormatting sqref="I2:I11">
    <cfRule type="containsErrors" dxfId="314" priority="197">
      <formula>ISERROR(I2)</formula>
    </cfRule>
  </conditionalFormatting>
  <conditionalFormatting sqref="I2">
    <cfRule type="containsErrors" dxfId="313" priority="196">
      <formula>ISERROR(I2)</formula>
    </cfRule>
  </conditionalFormatting>
  <conditionalFormatting sqref="I2">
    <cfRule type="containsErrors" dxfId="312" priority="195">
      <formula>ISERROR(I2)</formula>
    </cfRule>
  </conditionalFormatting>
  <conditionalFormatting sqref="I2">
    <cfRule type="containsErrors" dxfId="311" priority="194">
      <formula>ISERROR(I2)</formula>
    </cfRule>
  </conditionalFormatting>
  <conditionalFormatting sqref="I3:I11">
    <cfRule type="containsErrors" dxfId="310" priority="193">
      <formula>ISERROR(I3)</formula>
    </cfRule>
  </conditionalFormatting>
  <conditionalFormatting sqref="I3:I11">
    <cfRule type="containsErrors" dxfId="309" priority="192">
      <formula>ISERROR(I3)</formula>
    </cfRule>
  </conditionalFormatting>
  <conditionalFormatting sqref="I3:I11">
    <cfRule type="containsErrors" dxfId="308" priority="191">
      <formula>ISERROR(I3)</formula>
    </cfRule>
  </conditionalFormatting>
  <conditionalFormatting sqref="C3:C11">
    <cfRule type="containsErrors" dxfId="307" priority="190">
      <formula>ISERROR(C3)</formula>
    </cfRule>
  </conditionalFormatting>
  <conditionalFormatting sqref="C3:C11">
    <cfRule type="containsErrors" dxfId="306" priority="189">
      <formula>ISERROR(C3)</formula>
    </cfRule>
  </conditionalFormatting>
  <conditionalFormatting sqref="E2:E11">
    <cfRule type="containsErrors" dxfId="305" priority="188">
      <formula>ISERROR(E2)</formula>
    </cfRule>
  </conditionalFormatting>
  <conditionalFormatting sqref="E2">
    <cfRule type="containsErrors" dxfId="304" priority="187">
      <formula>ISERROR(E2)</formula>
    </cfRule>
  </conditionalFormatting>
  <conditionalFormatting sqref="E2">
    <cfRule type="containsErrors" dxfId="303" priority="186">
      <formula>ISERROR(E2)</formula>
    </cfRule>
  </conditionalFormatting>
  <conditionalFormatting sqref="E3:E11">
    <cfRule type="containsErrors" dxfId="302" priority="185">
      <formula>ISERROR(E3)</formula>
    </cfRule>
  </conditionalFormatting>
  <conditionalFormatting sqref="E3:E11">
    <cfRule type="containsErrors" dxfId="301" priority="184">
      <formula>ISERROR(E3)</formula>
    </cfRule>
  </conditionalFormatting>
  <conditionalFormatting sqref="E3:E11">
    <cfRule type="containsErrors" dxfId="300" priority="183">
      <formula>ISERROR(E3)</formula>
    </cfRule>
  </conditionalFormatting>
  <conditionalFormatting sqref="E3:E11">
    <cfRule type="containsErrors" dxfId="299" priority="182">
      <formula>ISERROR(E3)</formula>
    </cfRule>
  </conditionalFormatting>
  <conditionalFormatting sqref="E3:E11">
    <cfRule type="containsErrors" dxfId="298" priority="181">
      <formula>ISERROR(E3)</formula>
    </cfRule>
  </conditionalFormatting>
  <conditionalFormatting sqref="E3:E11">
    <cfRule type="containsErrors" dxfId="297" priority="180">
      <formula>ISERROR(E3)</formula>
    </cfRule>
  </conditionalFormatting>
  <conditionalFormatting sqref="G2:G11">
    <cfRule type="containsErrors" dxfId="296" priority="179">
      <formula>ISERROR(G2)</formula>
    </cfRule>
  </conditionalFormatting>
  <conditionalFormatting sqref="G2">
    <cfRule type="containsErrors" dxfId="295" priority="178">
      <formula>ISERROR(G2)</formula>
    </cfRule>
  </conditionalFormatting>
  <conditionalFormatting sqref="G2">
    <cfRule type="containsErrors" dxfId="294" priority="177">
      <formula>ISERROR(G2)</formula>
    </cfRule>
  </conditionalFormatting>
  <conditionalFormatting sqref="G3:G11">
    <cfRule type="containsErrors" dxfId="293" priority="176">
      <formula>ISERROR(G3)</formula>
    </cfRule>
  </conditionalFormatting>
  <conditionalFormatting sqref="G3:G11">
    <cfRule type="containsErrors" dxfId="292" priority="175">
      <formula>ISERROR(G3)</formula>
    </cfRule>
  </conditionalFormatting>
  <conditionalFormatting sqref="G3:G11">
    <cfRule type="containsErrors" dxfId="291" priority="174">
      <formula>ISERROR(G3)</formula>
    </cfRule>
  </conditionalFormatting>
  <conditionalFormatting sqref="G3:G11">
    <cfRule type="containsErrors" dxfId="290" priority="173">
      <formula>ISERROR(G3)</formula>
    </cfRule>
  </conditionalFormatting>
  <conditionalFormatting sqref="G3:G11">
    <cfRule type="containsErrors" dxfId="289" priority="172">
      <formula>ISERROR(G3)</formula>
    </cfRule>
  </conditionalFormatting>
  <conditionalFormatting sqref="G3:G11">
    <cfRule type="containsErrors" dxfId="288" priority="171">
      <formula>ISERROR(G3)</formula>
    </cfRule>
  </conditionalFormatting>
  <conditionalFormatting sqref="I2:I11">
    <cfRule type="containsErrors" dxfId="287" priority="170">
      <formula>ISERROR(I2)</formula>
    </cfRule>
  </conditionalFormatting>
  <conditionalFormatting sqref="I2">
    <cfRule type="containsErrors" dxfId="286" priority="169">
      <formula>ISERROR(I2)</formula>
    </cfRule>
  </conditionalFormatting>
  <conditionalFormatting sqref="I2">
    <cfRule type="containsErrors" dxfId="285" priority="168">
      <formula>ISERROR(I2)</formula>
    </cfRule>
  </conditionalFormatting>
  <conditionalFormatting sqref="I3:I11">
    <cfRule type="containsErrors" dxfId="284" priority="167">
      <formula>ISERROR(I3)</formula>
    </cfRule>
  </conditionalFormatting>
  <conditionalFormatting sqref="I3:I11">
    <cfRule type="containsErrors" dxfId="283" priority="166">
      <formula>ISERROR(I3)</formula>
    </cfRule>
  </conditionalFormatting>
  <conditionalFormatting sqref="I3:I11">
    <cfRule type="containsErrors" dxfId="282" priority="165">
      <formula>ISERROR(I3)</formula>
    </cfRule>
  </conditionalFormatting>
  <conditionalFormatting sqref="I3:I11">
    <cfRule type="containsErrors" dxfId="281" priority="164">
      <formula>ISERROR(I3)</formula>
    </cfRule>
  </conditionalFormatting>
  <conditionalFormatting sqref="I3:I11">
    <cfRule type="containsErrors" dxfId="280" priority="163">
      <formula>ISERROR(I3)</formula>
    </cfRule>
  </conditionalFormatting>
  <conditionalFormatting sqref="I3:I11">
    <cfRule type="containsErrors" dxfId="279" priority="162">
      <formula>ISERROR(I3)</formula>
    </cfRule>
  </conditionalFormatting>
  <conditionalFormatting sqref="K2:K11">
    <cfRule type="containsErrors" dxfId="278" priority="161">
      <formula>ISERROR(K2)</formula>
    </cfRule>
  </conditionalFormatting>
  <conditionalFormatting sqref="K2">
    <cfRule type="containsErrors" dxfId="277" priority="160">
      <formula>ISERROR(K2)</formula>
    </cfRule>
  </conditionalFormatting>
  <conditionalFormatting sqref="K2">
    <cfRule type="containsErrors" dxfId="276" priority="159">
      <formula>ISERROR(K2)</formula>
    </cfRule>
  </conditionalFormatting>
  <conditionalFormatting sqref="K3:K11">
    <cfRule type="containsErrors" dxfId="275" priority="158">
      <formula>ISERROR(K3)</formula>
    </cfRule>
  </conditionalFormatting>
  <conditionalFormatting sqref="K3:K11">
    <cfRule type="containsErrors" dxfId="274" priority="157">
      <formula>ISERROR(K3)</formula>
    </cfRule>
  </conditionalFormatting>
  <conditionalFormatting sqref="K3:K11">
    <cfRule type="containsErrors" dxfId="273" priority="156">
      <formula>ISERROR(K3)</formula>
    </cfRule>
  </conditionalFormatting>
  <conditionalFormatting sqref="K3:K11">
    <cfRule type="containsErrors" dxfId="272" priority="155">
      <formula>ISERROR(K3)</formula>
    </cfRule>
  </conditionalFormatting>
  <conditionalFormatting sqref="K3:K11">
    <cfRule type="containsErrors" dxfId="271" priority="154">
      <formula>ISERROR(K3)</formula>
    </cfRule>
  </conditionalFormatting>
  <conditionalFormatting sqref="K3:K11">
    <cfRule type="containsErrors" dxfId="270" priority="153">
      <formula>ISERROR(K3)</formula>
    </cfRule>
  </conditionalFormatting>
  <conditionalFormatting sqref="C28:C37">
    <cfRule type="containsErrors" dxfId="269" priority="152">
      <formula>ISERROR(C28)</formula>
    </cfRule>
  </conditionalFormatting>
  <conditionalFormatting sqref="E28:E37">
    <cfRule type="containsErrors" dxfId="268" priority="151">
      <formula>ISERROR(E28)</formula>
    </cfRule>
  </conditionalFormatting>
  <conditionalFormatting sqref="G28:G37">
    <cfRule type="containsErrors" dxfId="267" priority="150">
      <formula>ISERROR(G28)</formula>
    </cfRule>
  </conditionalFormatting>
  <conditionalFormatting sqref="I28:I37">
    <cfRule type="containsErrors" dxfId="266" priority="149">
      <formula>ISERROR(I28)</formula>
    </cfRule>
  </conditionalFormatting>
  <conditionalFormatting sqref="K28:K37">
    <cfRule type="containsErrors" dxfId="265" priority="148">
      <formula>ISERROR(K28)</formula>
    </cfRule>
  </conditionalFormatting>
  <conditionalFormatting sqref="G28 I28 K28">
    <cfRule type="containsErrors" dxfId="264" priority="147">
      <formula>ISERROR(G28)</formula>
    </cfRule>
  </conditionalFormatting>
  <conditionalFormatting sqref="I28">
    <cfRule type="containsErrors" dxfId="263" priority="146">
      <formula>ISERROR(I28)</formula>
    </cfRule>
  </conditionalFormatting>
  <conditionalFormatting sqref="G29:G33">
    <cfRule type="containsErrors" dxfId="262" priority="145">
      <formula>ISERROR(G29)</formula>
    </cfRule>
  </conditionalFormatting>
  <conditionalFormatting sqref="G34:G37">
    <cfRule type="containsErrors" dxfId="261" priority="144">
      <formula>ISERROR(G34)</formula>
    </cfRule>
  </conditionalFormatting>
  <conditionalFormatting sqref="I29:I37">
    <cfRule type="containsErrors" dxfId="260" priority="143">
      <formula>ISERROR(I29)</formula>
    </cfRule>
  </conditionalFormatting>
  <conditionalFormatting sqref="I29:I37">
    <cfRule type="containsErrors" dxfId="259" priority="142">
      <formula>ISERROR(I29)</formula>
    </cfRule>
  </conditionalFormatting>
  <conditionalFormatting sqref="K29:K37">
    <cfRule type="containsErrors" dxfId="258" priority="141">
      <formula>ISERROR(K29)</formula>
    </cfRule>
  </conditionalFormatting>
  <conditionalFormatting sqref="C28">
    <cfRule type="containsErrors" dxfId="257" priority="140">
      <formula>ISERROR(C28)</formula>
    </cfRule>
  </conditionalFormatting>
  <conditionalFormatting sqref="C28">
    <cfRule type="containsErrors" dxfId="256" priority="139">
      <formula>ISERROR(C28)</formula>
    </cfRule>
  </conditionalFormatting>
  <conditionalFormatting sqref="C29:C37">
    <cfRule type="containsErrors" dxfId="255" priority="138">
      <formula>ISERROR(C29)</formula>
    </cfRule>
  </conditionalFormatting>
  <conditionalFormatting sqref="C29:C37">
    <cfRule type="containsErrors" dxfId="254" priority="137">
      <formula>ISERROR(C29)</formula>
    </cfRule>
  </conditionalFormatting>
  <conditionalFormatting sqref="C29:C37">
    <cfRule type="containsErrors" dxfId="253" priority="136">
      <formula>ISERROR(C29)</formula>
    </cfRule>
  </conditionalFormatting>
  <conditionalFormatting sqref="C29:C37">
    <cfRule type="containsErrors" dxfId="252" priority="135">
      <formula>ISERROR(C29)</formula>
    </cfRule>
  </conditionalFormatting>
  <conditionalFormatting sqref="E28">
    <cfRule type="containsErrors" dxfId="251" priority="134">
      <formula>ISERROR(E28)</formula>
    </cfRule>
  </conditionalFormatting>
  <conditionalFormatting sqref="E28">
    <cfRule type="containsErrors" dxfId="250" priority="133">
      <formula>ISERROR(E28)</formula>
    </cfRule>
  </conditionalFormatting>
  <conditionalFormatting sqref="E28">
    <cfRule type="containsErrors" dxfId="249" priority="132">
      <formula>ISERROR(E28)</formula>
    </cfRule>
  </conditionalFormatting>
  <conditionalFormatting sqref="E29:E37">
    <cfRule type="containsErrors" dxfId="248" priority="131">
      <formula>ISERROR(E29)</formula>
    </cfRule>
  </conditionalFormatting>
  <conditionalFormatting sqref="E29:E37">
    <cfRule type="containsErrors" dxfId="247" priority="130">
      <formula>ISERROR(E29)</formula>
    </cfRule>
  </conditionalFormatting>
  <conditionalFormatting sqref="E29:E37">
    <cfRule type="containsErrors" dxfId="246" priority="129">
      <formula>ISERROR(E29)</formula>
    </cfRule>
  </conditionalFormatting>
  <conditionalFormatting sqref="G28:G37">
    <cfRule type="containsErrors" dxfId="245" priority="128">
      <formula>ISERROR(G28)</formula>
    </cfRule>
  </conditionalFormatting>
  <conditionalFormatting sqref="G28">
    <cfRule type="containsErrors" dxfId="244" priority="127">
      <formula>ISERROR(G28)</formula>
    </cfRule>
  </conditionalFormatting>
  <conditionalFormatting sqref="G28">
    <cfRule type="containsErrors" dxfId="243" priority="126">
      <formula>ISERROR(G28)</formula>
    </cfRule>
  </conditionalFormatting>
  <conditionalFormatting sqref="G28">
    <cfRule type="containsErrors" dxfId="242" priority="125">
      <formula>ISERROR(G28)</formula>
    </cfRule>
  </conditionalFormatting>
  <conditionalFormatting sqref="G29:G37">
    <cfRule type="containsErrors" dxfId="241" priority="124">
      <formula>ISERROR(G29)</formula>
    </cfRule>
  </conditionalFormatting>
  <conditionalFormatting sqref="G29:G37">
    <cfRule type="containsErrors" dxfId="240" priority="123">
      <formula>ISERROR(G29)</formula>
    </cfRule>
  </conditionalFormatting>
  <conditionalFormatting sqref="G29:G37">
    <cfRule type="containsErrors" dxfId="239" priority="122">
      <formula>ISERROR(G29)</formula>
    </cfRule>
  </conditionalFormatting>
  <conditionalFormatting sqref="I28:I37">
    <cfRule type="containsErrors" dxfId="238" priority="121">
      <formula>ISERROR(I28)</formula>
    </cfRule>
  </conditionalFormatting>
  <conditionalFormatting sqref="I28">
    <cfRule type="containsErrors" dxfId="237" priority="120">
      <formula>ISERROR(I28)</formula>
    </cfRule>
  </conditionalFormatting>
  <conditionalFormatting sqref="I28">
    <cfRule type="containsErrors" dxfId="236" priority="119">
      <formula>ISERROR(I28)</formula>
    </cfRule>
  </conditionalFormatting>
  <conditionalFormatting sqref="I28">
    <cfRule type="containsErrors" dxfId="235" priority="118">
      <formula>ISERROR(I28)</formula>
    </cfRule>
  </conditionalFormatting>
  <conditionalFormatting sqref="I29:I37">
    <cfRule type="containsErrors" dxfId="234" priority="117">
      <formula>ISERROR(I29)</formula>
    </cfRule>
  </conditionalFormatting>
  <conditionalFormatting sqref="I29:I37">
    <cfRule type="containsErrors" dxfId="233" priority="116">
      <formula>ISERROR(I29)</formula>
    </cfRule>
  </conditionalFormatting>
  <conditionalFormatting sqref="I29:I37">
    <cfRule type="containsErrors" dxfId="232" priority="115">
      <formula>ISERROR(I29)</formula>
    </cfRule>
  </conditionalFormatting>
  <conditionalFormatting sqref="C29:C37">
    <cfRule type="containsErrors" dxfId="231" priority="114">
      <formula>ISERROR(C29)</formula>
    </cfRule>
  </conditionalFormatting>
  <conditionalFormatting sqref="C29:C37">
    <cfRule type="containsErrors" dxfId="230" priority="113">
      <formula>ISERROR(C29)</formula>
    </cfRule>
  </conditionalFormatting>
  <conditionalFormatting sqref="E28:E37">
    <cfRule type="containsErrors" dxfId="229" priority="112">
      <formula>ISERROR(E28)</formula>
    </cfRule>
  </conditionalFormatting>
  <conditionalFormatting sqref="E28">
    <cfRule type="containsErrors" dxfId="228" priority="111">
      <formula>ISERROR(E28)</formula>
    </cfRule>
  </conditionalFormatting>
  <conditionalFormatting sqref="E28">
    <cfRule type="containsErrors" dxfId="227" priority="110">
      <formula>ISERROR(E28)</formula>
    </cfRule>
  </conditionalFormatting>
  <conditionalFormatting sqref="E29:E37">
    <cfRule type="containsErrors" dxfId="226" priority="109">
      <formula>ISERROR(E29)</formula>
    </cfRule>
  </conditionalFormatting>
  <conditionalFormatting sqref="E29:E37">
    <cfRule type="containsErrors" dxfId="225" priority="108">
      <formula>ISERROR(E29)</formula>
    </cfRule>
  </conditionalFormatting>
  <conditionalFormatting sqref="E29:E37">
    <cfRule type="containsErrors" dxfId="224" priority="107">
      <formula>ISERROR(E29)</formula>
    </cfRule>
  </conditionalFormatting>
  <conditionalFormatting sqref="E29:E37">
    <cfRule type="containsErrors" dxfId="223" priority="106">
      <formula>ISERROR(E29)</formula>
    </cfRule>
  </conditionalFormatting>
  <conditionalFormatting sqref="E29:E37">
    <cfRule type="containsErrors" dxfId="222" priority="105">
      <formula>ISERROR(E29)</formula>
    </cfRule>
  </conditionalFormatting>
  <conditionalFormatting sqref="E29:E37">
    <cfRule type="containsErrors" dxfId="221" priority="104">
      <formula>ISERROR(E29)</formula>
    </cfRule>
  </conditionalFormatting>
  <conditionalFormatting sqref="G28:G37">
    <cfRule type="containsErrors" dxfId="220" priority="103">
      <formula>ISERROR(G28)</formula>
    </cfRule>
  </conditionalFormatting>
  <conditionalFormatting sqref="G28">
    <cfRule type="containsErrors" dxfId="219" priority="102">
      <formula>ISERROR(G28)</formula>
    </cfRule>
  </conditionalFormatting>
  <conditionalFormatting sqref="G28">
    <cfRule type="containsErrors" dxfId="218" priority="101">
      <formula>ISERROR(G28)</formula>
    </cfRule>
  </conditionalFormatting>
  <conditionalFormatting sqref="G29:G37">
    <cfRule type="containsErrors" dxfId="217" priority="100">
      <formula>ISERROR(G29)</formula>
    </cfRule>
  </conditionalFormatting>
  <conditionalFormatting sqref="G29:G37">
    <cfRule type="containsErrors" dxfId="216" priority="99">
      <formula>ISERROR(G29)</formula>
    </cfRule>
  </conditionalFormatting>
  <conditionalFormatting sqref="G29:G37">
    <cfRule type="containsErrors" dxfId="215" priority="98">
      <formula>ISERROR(G29)</formula>
    </cfRule>
  </conditionalFormatting>
  <conditionalFormatting sqref="G29:G37">
    <cfRule type="containsErrors" dxfId="214" priority="97">
      <formula>ISERROR(G29)</formula>
    </cfRule>
  </conditionalFormatting>
  <conditionalFormatting sqref="G29:G37">
    <cfRule type="containsErrors" dxfId="213" priority="96">
      <formula>ISERROR(G29)</formula>
    </cfRule>
  </conditionalFormatting>
  <conditionalFormatting sqref="G29:G37">
    <cfRule type="containsErrors" dxfId="212" priority="95">
      <formula>ISERROR(G29)</formula>
    </cfRule>
  </conditionalFormatting>
  <conditionalFormatting sqref="I28:I37">
    <cfRule type="containsErrors" dxfId="211" priority="94">
      <formula>ISERROR(I28)</formula>
    </cfRule>
  </conditionalFormatting>
  <conditionalFormatting sqref="I28">
    <cfRule type="containsErrors" dxfId="210" priority="93">
      <formula>ISERROR(I28)</formula>
    </cfRule>
  </conditionalFormatting>
  <conditionalFormatting sqref="I28">
    <cfRule type="containsErrors" dxfId="209" priority="92">
      <formula>ISERROR(I28)</formula>
    </cfRule>
  </conditionalFormatting>
  <conditionalFormatting sqref="I29:I37">
    <cfRule type="containsErrors" dxfId="208" priority="91">
      <formula>ISERROR(I29)</formula>
    </cfRule>
  </conditionalFormatting>
  <conditionalFormatting sqref="I29:I37">
    <cfRule type="containsErrors" dxfId="207" priority="90">
      <formula>ISERROR(I29)</formula>
    </cfRule>
  </conditionalFormatting>
  <conditionalFormatting sqref="I29:I37">
    <cfRule type="containsErrors" dxfId="206" priority="89">
      <formula>ISERROR(I29)</formula>
    </cfRule>
  </conditionalFormatting>
  <conditionalFormatting sqref="I29:I37">
    <cfRule type="containsErrors" dxfId="205" priority="88">
      <formula>ISERROR(I29)</formula>
    </cfRule>
  </conditionalFormatting>
  <conditionalFormatting sqref="I29:I37">
    <cfRule type="containsErrors" dxfId="204" priority="87">
      <formula>ISERROR(I29)</formula>
    </cfRule>
  </conditionalFormatting>
  <conditionalFormatting sqref="I29:I37">
    <cfRule type="containsErrors" dxfId="203" priority="86">
      <formula>ISERROR(I29)</formula>
    </cfRule>
  </conditionalFormatting>
  <conditionalFormatting sqref="K28:K37">
    <cfRule type="containsErrors" dxfId="202" priority="85">
      <formula>ISERROR(K28)</formula>
    </cfRule>
  </conditionalFormatting>
  <conditionalFormatting sqref="K28">
    <cfRule type="containsErrors" dxfId="201" priority="84">
      <formula>ISERROR(K28)</formula>
    </cfRule>
  </conditionalFormatting>
  <conditionalFormatting sqref="K28">
    <cfRule type="containsErrors" dxfId="200" priority="83">
      <formula>ISERROR(K28)</formula>
    </cfRule>
  </conditionalFormatting>
  <conditionalFormatting sqref="K29:K37">
    <cfRule type="containsErrors" dxfId="199" priority="82">
      <formula>ISERROR(K29)</formula>
    </cfRule>
  </conditionalFormatting>
  <conditionalFormatting sqref="K29:K37">
    <cfRule type="containsErrors" dxfId="198" priority="81">
      <formula>ISERROR(K29)</formula>
    </cfRule>
  </conditionalFormatting>
  <conditionalFormatting sqref="K29:K37">
    <cfRule type="containsErrors" dxfId="197" priority="80">
      <formula>ISERROR(K29)</formula>
    </cfRule>
  </conditionalFormatting>
  <conditionalFormatting sqref="K29:K37">
    <cfRule type="containsErrors" dxfId="196" priority="79">
      <formula>ISERROR(K29)</formula>
    </cfRule>
  </conditionalFormatting>
  <conditionalFormatting sqref="K29:K37">
    <cfRule type="containsErrors" dxfId="195" priority="78">
      <formula>ISERROR(K29)</formula>
    </cfRule>
  </conditionalFormatting>
  <conditionalFormatting sqref="K29:K37">
    <cfRule type="containsErrors" dxfId="194" priority="77">
      <formula>ISERROR(K29)</formula>
    </cfRule>
  </conditionalFormatting>
  <conditionalFormatting sqref="C28:C37">
    <cfRule type="containsErrors" dxfId="193" priority="76">
      <formula>ISERROR(C28)</formula>
    </cfRule>
  </conditionalFormatting>
  <conditionalFormatting sqref="E28:E37">
    <cfRule type="containsErrors" dxfId="192" priority="75">
      <formula>ISERROR(E28)</formula>
    </cfRule>
  </conditionalFormatting>
  <conditionalFormatting sqref="G28:G37">
    <cfRule type="containsErrors" dxfId="191" priority="74">
      <formula>ISERROR(G28)</formula>
    </cfRule>
  </conditionalFormatting>
  <conditionalFormatting sqref="I28:I37">
    <cfRule type="containsErrors" dxfId="190" priority="73">
      <formula>ISERROR(I28)</formula>
    </cfRule>
  </conditionalFormatting>
  <conditionalFormatting sqref="K28:K37">
    <cfRule type="containsErrors" dxfId="189" priority="72">
      <formula>ISERROR(K28)</formula>
    </cfRule>
  </conditionalFormatting>
  <conditionalFormatting sqref="G28 I28 K28">
    <cfRule type="containsErrors" dxfId="188" priority="71">
      <formula>ISERROR(G28)</formula>
    </cfRule>
  </conditionalFormatting>
  <conditionalFormatting sqref="I28">
    <cfRule type="containsErrors" dxfId="187" priority="70">
      <formula>ISERROR(I28)</formula>
    </cfRule>
  </conditionalFormatting>
  <conditionalFormatting sqref="G29:G33">
    <cfRule type="containsErrors" dxfId="186" priority="69">
      <formula>ISERROR(G29)</formula>
    </cfRule>
  </conditionalFormatting>
  <conditionalFormatting sqref="G34:G37">
    <cfRule type="containsErrors" dxfId="185" priority="68">
      <formula>ISERROR(G34)</formula>
    </cfRule>
  </conditionalFormatting>
  <conditionalFormatting sqref="I29:I37">
    <cfRule type="containsErrors" dxfId="184" priority="67">
      <formula>ISERROR(I29)</formula>
    </cfRule>
  </conditionalFormatting>
  <conditionalFormatting sqref="I29:I37">
    <cfRule type="containsErrors" dxfId="183" priority="66">
      <formula>ISERROR(I29)</formula>
    </cfRule>
  </conditionalFormatting>
  <conditionalFormatting sqref="K29:K37">
    <cfRule type="containsErrors" dxfId="182" priority="65">
      <formula>ISERROR(K29)</formula>
    </cfRule>
  </conditionalFormatting>
  <conditionalFormatting sqref="C28">
    <cfRule type="containsErrors" dxfId="181" priority="64">
      <formula>ISERROR(C28)</formula>
    </cfRule>
  </conditionalFormatting>
  <conditionalFormatting sqref="C28">
    <cfRule type="containsErrors" dxfId="180" priority="63">
      <formula>ISERROR(C28)</formula>
    </cfRule>
  </conditionalFormatting>
  <conditionalFormatting sqref="C29:C37">
    <cfRule type="containsErrors" dxfId="179" priority="62">
      <formula>ISERROR(C29)</formula>
    </cfRule>
  </conditionalFormatting>
  <conditionalFormatting sqref="C29:C37">
    <cfRule type="containsErrors" dxfId="178" priority="61">
      <formula>ISERROR(C29)</formula>
    </cfRule>
  </conditionalFormatting>
  <conditionalFormatting sqref="C29:C37">
    <cfRule type="containsErrors" dxfId="177" priority="60">
      <formula>ISERROR(C29)</formula>
    </cfRule>
  </conditionalFormatting>
  <conditionalFormatting sqref="C29:C37">
    <cfRule type="containsErrors" dxfId="176" priority="59">
      <formula>ISERROR(C29)</formula>
    </cfRule>
  </conditionalFormatting>
  <conditionalFormatting sqref="E28">
    <cfRule type="containsErrors" dxfId="175" priority="58">
      <formula>ISERROR(E28)</formula>
    </cfRule>
  </conditionalFormatting>
  <conditionalFormatting sqref="E28">
    <cfRule type="containsErrors" dxfId="174" priority="57">
      <formula>ISERROR(E28)</formula>
    </cfRule>
  </conditionalFormatting>
  <conditionalFormatting sqref="E28">
    <cfRule type="containsErrors" dxfId="173" priority="56">
      <formula>ISERROR(E28)</formula>
    </cfRule>
  </conditionalFormatting>
  <conditionalFormatting sqref="E29:E37">
    <cfRule type="containsErrors" dxfId="172" priority="55">
      <formula>ISERROR(E29)</formula>
    </cfRule>
  </conditionalFormatting>
  <conditionalFormatting sqref="E29:E37">
    <cfRule type="containsErrors" dxfId="171" priority="54">
      <formula>ISERROR(E29)</formula>
    </cfRule>
  </conditionalFormatting>
  <conditionalFormatting sqref="E29:E37">
    <cfRule type="containsErrors" dxfId="170" priority="53">
      <formula>ISERROR(E29)</formula>
    </cfRule>
  </conditionalFormatting>
  <conditionalFormatting sqref="G28:G37">
    <cfRule type="containsErrors" dxfId="169" priority="52">
      <formula>ISERROR(G28)</formula>
    </cfRule>
  </conditionalFormatting>
  <conditionalFormatting sqref="G28">
    <cfRule type="containsErrors" dxfId="168" priority="51">
      <formula>ISERROR(G28)</formula>
    </cfRule>
  </conditionalFormatting>
  <conditionalFormatting sqref="G28">
    <cfRule type="containsErrors" dxfId="167" priority="50">
      <formula>ISERROR(G28)</formula>
    </cfRule>
  </conditionalFormatting>
  <conditionalFormatting sqref="G28">
    <cfRule type="containsErrors" dxfId="166" priority="49">
      <formula>ISERROR(G28)</formula>
    </cfRule>
  </conditionalFormatting>
  <conditionalFormatting sqref="G29:G37">
    <cfRule type="containsErrors" dxfId="165" priority="48">
      <formula>ISERROR(G29)</formula>
    </cfRule>
  </conditionalFormatting>
  <conditionalFormatting sqref="G29:G37">
    <cfRule type="containsErrors" dxfId="164" priority="47">
      <formula>ISERROR(G29)</formula>
    </cfRule>
  </conditionalFormatting>
  <conditionalFormatting sqref="G29:G37">
    <cfRule type="containsErrors" dxfId="163" priority="46">
      <formula>ISERROR(G29)</formula>
    </cfRule>
  </conditionalFormatting>
  <conditionalFormatting sqref="I28:I37">
    <cfRule type="containsErrors" dxfId="162" priority="45">
      <formula>ISERROR(I28)</formula>
    </cfRule>
  </conditionalFormatting>
  <conditionalFormatting sqref="I28">
    <cfRule type="containsErrors" dxfId="161" priority="44">
      <formula>ISERROR(I28)</formula>
    </cfRule>
  </conditionalFormatting>
  <conditionalFormatting sqref="I28">
    <cfRule type="containsErrors" dxfId="160" priority="43">
      <formula>ISERROR(I28)</formula>
    </cfRule>
  </conditionalFormatting>
  <conditionalFormatting sqref="I28">
    <cfRule type="containsErrors" dxfId="159" priority="42">
      <formula>ISERROR(I28)</formula>
    </cfRule>
  </conditionalFormatting>
  <conditionalFormatting sqref="I29:I37">
    <cfRule type="containsErrors" dxfId="158" priority="41">
      <formula>ISERROR(I29)</formula>
    </cfRule>
  </conditionalFormatting>
  <conditionalFormatting sqref="I29:I37">
    <cfRule type="containsErrors" dxfId="157" priority="40">
      <formula>ISERROR(I29)</formula>
    </cfRule>
  </conditionalFormatting>
  <conditionalFormatting sqref="I29:I37">
    <cfRule type="containsErrors" dxfId="156" priority="39">
      <formula>ISERROR(I29)</formula>
    </cfRule>
  </conditionalFormatting>
  <conditionalFormatting sqref="C29:C37">
    <cfRule type="containsErrors" dxfId="155" priority="38">
      <formula>ISERROR(C29)</formula>
    </cfRule>
  </conditionalFormatting>
  <conditionalFormatting sqref="C29:C37">
    <cfRule type="containsErrors" dxfId="154" priority="37">
      <formula>ISERROR(C29)</formula>
    </cfRule>
  </conditionalFormatting>
  <conditionalFormatting sqref="E28:E37">
    <cfRule type="containsErrors" dxfId="153" priority="36">
      <formula>ISERROR(E28)</formula>
    </cfRule>
  </conditionalFormatting>
  <conditionalFormatting sqref="E28">
    <cfRule type="containsErrors" dxfId="152" priority="35">
      <formula>ISERROR(E28)</formula>
    </cfRule>
  </conditionalFormatting>
  <conditionalFormatting sqref="E28">
    <cfRule type="containsErrors" dxfId="151" priority="34">
      <formula>ISERROR(E28)</formula>
    </cfRule>
  </conditionalFormatting>
  <conditionalFormatting sqref="E29:E37">
    <cfRule type="containsErrors" dxfId="150" priority="33">
      <formula>ISERROR(E29)</formula>
    </cfRule>
  </conditionalFormatting>
  <conditionalFormatting sqref="E29:E37">
    <cfRule type="containsErrors" dxfId="149" priority="32">
      <formula>ISERROR(E29)</formula>
    </cfRule>
  </conditionalFormatting>
  <conditionalFormatting sqref="E29:E37">
    <cfRule type="containsErrors" dxfId="148" priority="31">
      <formula>ISERROR(E29)</formula>
    </cfRule>
  </conditionalFormatting>
  <conditionalFormatting sqref="E29:E37">
    <cfRule type="containsErrors" dxfId="147" priority="30">
      <formula>ISERROR(E29)</formula>
    </cfRule>
  </conditionalFormatting>
  <conditionalFormatting sqref="E29:E37">
    <cfRule type="containsErrors" dxfId="146" priority="29">
      <formula>ISERROR(E29)</formula>
    </cfRule>
  </conditionalFormatting>
  <conditionalFormatting sqref="E29:E37">
    <cfRule type="containsErrors" dxfId="145" priority="28">
      <formula>ISERROR(E29)</formula>
    </cfRule>
  </conditionalFormatting>
  <conditionalFormatting sqref="G28:G37">
    <cfRule type="containsErrors" dxfId="144" priority="27">
      <formula>ISERROR(G28)</formula>
    </cfRule>
  </conditionalFormatting>
  <conditionalFormatting sqref="G28">
    <cfRule type="containsErrors" dxfId="143" priority="26">
      <formula>ISERROR(G28)</formula>
    </cfRule>
  </conditionalFormatting>
  <conditionalFormatting sqref="G28">
    <cfRule type="containsErrors" dxfId="142" priority="25">
      <formula>ISERROR(G28)</formula>
    </cfRule>
  </conditionalFormatting>
  <conditionalFormatting sqref="G29:G37">
    <cfRule type="containsErrors" dxfId="141" priority="24">
      <formula>ISERROR(G29)</formula>
    </cfRule>
  </conditionalFormatting>
  <conditionalFormatting sqref="G29:G37">
    <cfRule type="containsErrors" dxfId="140" priority="23">
      <formula>ISERROR(G29)</formula>
    </cfRule>
  </conditionalFormatting>
  <conditionalFormatting sqref="G29:G37">
    <cfRule type="containsErrors" dxfId="139" priority="22">
      <formula>ISERROR(G29)</formula>
    </cfRule>
  </conditionalFormatting>
  <conditionalFormatting sqref="G29:G37">
    <cfRule type="containsErrors" dxfId="138" priority="21">
      <formula>ISERROR(G29)</formula>
    </cfRule>
  </conditionalFormatting>
  <conditionalFormatting sqref="G29:G37">
    <cfRule type="containsErrors" dxfId="137" priority="20">
      <formula>ISERROR(G29)</formula>
    </cfRule>
  </conditionalFormatting>
  <conditionalFormatting sqref="G29:G37">
    <cfRule type="containsErrors" dxfId="136" priority="19">
      <formula>ISERROR(G29)</formula>
    </cfRule>
  </conditionalFormatting>
  <conditionalFormatting sqref="I28:I37">
    <cfRule type="containsErrors" dxfId="135" priority="18">
      <formula>ISERROR(I28)</formula>
    </cfRule>
  </conditionalFormatting>
  <conditionalFormatting sqref="I28">
    <cfRule type="containsErrors" dxfId="134" priority="17">
      <formula>ISERROR(I28)</formula>
    </cfRule>
  </conditionalFormatting>
  <conditionalFormatting sqref="I28">
    <cfRule type="containsErrors" dxfId="133" priority="16">
      <formula>ISERROR(I28)</formula>
    </cfRule>
  </conditionalFormatting>
  <conditionalFormatting sqref="I29:I37">
    <cfRule type="containsErrors" dxfId="132" priority="15">
      <formula>ISERROR(I29)</formula>
    </cfRule>
  </conditionalFormatting>
  <conditionalFormatting sqref="I29:I37">
    <cfRule type="containsErrors" dxfId="131" priority="14">
      <formula>ISERROR(I29)</formula>
    </cfRule>
  </conditionalFormatting>
  <conditionalFormatting sqref="I29:I37">
    <cfRule type="containsErrors" dxfId="130" priority="13">
      <formula>ISERROR(I29)</formula>
    </cfRule>
  </conditionalFormatting>
  <conditionalFormatting sqref="I29:I37">
    <cfRule type="containsErrors" dxfId="129" priority="12">
      <formula>ISERROR(I29)</formula>
    </cfRule>
  </conditionalFormatting>
  <conditionalFormatting sqref="I29:I37">
    <cfRule type="containsErrors" dxfId="128" priority="11">
      <formula>ISERROR(I29)</formula>
    </cfRule>
  </conditionalFormatting>
  <conditionalFormatting sqref="I29:I37">
    <cfRule type="containsErrors" dxfId="127" priority="10">
      <formula>ISERROR(I29)</formula>
    </cfRule>
  </conditionalFormatting>
  <conditionalFormatting sqref="K28:K37">
    <cfRule type="containsErrors" dxfId="126" priority="9">
      <formula>ISERROR(K28)</formula>
    </cfRule>
  </conditionalFormatting>
  <conditionalFormatting sqref="K28">
    <cfRule type="containsErrors" dxfId="125" priority="8">
      <formula>ISERROR(K28)</formula>
    </cfRule>
  </conditionalFormatting>
  <conditionalFormatting sqref="K28">
    <cfRule type="containsErrors" dxfId="124" priority="7">
      <formula>ISERROR(K28)</formula>
    </cfRule>
  </conditionalFormatting>
  <conditionalFormatting sqref="K29:K37">
    <cfRule type="containsErrors" dxfId="123" priority="6">
      <formula>ISERROR(K29)</formula>
    </cfRule>
  </conditionalFormatting>
  <conditionalFormatting sqref="K29:K37">
    <cfRule type="containsErrors" dxfId="122" priority="5">
      <formula>ISERROR(K29)</formula>
    </cfRule>
  </conditionalFormatting>
  <conditionalFormatting sqref="K29:K37">
    <cfRule type="containsErrors" dxfId="121" priority="4">
      <formula>ISERROR(K29)</formula>
    </cfRule>
  </conditionalFormatting>
  <conditionalFormatting sqref="K29:K37">
    <cfRule type="containsErrors" dxfId="120" priority="3">
      <formula>ISERROR(K29)</formula>
    </cfRule>
  </conditionalFormatting>
  <conditionalFormatting sqref="K29:K37">
    <cfRule type="containsErrors" dxfId="119" priority="2">
      <formula>ISERROR(K29)</formula>
    </cfRule>
  </conditionalFormatting>
  <conditionalFormatting sqref="K29:K37">
    <cfRule type="containsErrors" dxfId="11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2242</v>
      </c>
    </row>
    <row r="3" spans="1:1" ht="15">
      <c r="A3" s="351" t="s">
        <v>2137</v>
      </c>
    </row>
    <row r="4" spans="1:1" ht="15">
      <c r="A4" s="351" t="s">
        <v>863</v>
      </c>
    </row>
    <row r="5" spans="1:1" ht="15">
      <c r="A5" s="351" t="s">
        <v>2109</v>
      </c>
    </row>
    <row r="6" spans="1:1" ht="15">
      <c r="A6" s="351" t="s">
        <v>2243</v>
      </c>
    </row>
    <row r="7" spans="1:1" ht="15">
      <c r="A7" s="351" t="s">
        <v>1531</v>
      </c>
    </row>
    <row r="8" spans="1:1" ht="15">
      <c r="A8" s="351" t="s">
        <v>2123</v>
      </c>
    </row>
    <row r="9" spans="1:1" ht="15">
      <c r="A9" s="351" t="s">
        <v>2113</v>
      </c>
    </row>
    <row r="10" spans="1:1" ht="15">
      <c r="A10" s="351" t="s">
        <v>2136</v>
      </c>
    </row>
    <row r="11" spans="1:1" ht="15">
      <c r="A11" s="351" t="s">
        <v>2244</v>
      </c>
    </row>
    <row r="12" spans="1:1" ht="15">
      <c r="A12" s="351" t="s">
        <v>2126</v>
      </c>
    </row>
    <row r="13" spans="1:1" ht="15">
      <c r="A13" s="351" t="s">
        <v>2116</v>
      </c>
    </row>
    <row r="14" spans="1:1" ht="15">
      <c r="A14" s="351" t="s">
        <v>2133</v>
      </c>
    </row>
    <row r="15" spans="1:1" ht="15">
      <c r="A15" s="351" t="s">
        <v>2245</v>
      </c>
    </row>
    <row r="16" spans="1:1" ht="15">
      <c r="A16" s="351" t="s">
        <v>2246</v>
      </c>
    </row>
    <row r="17" spans="1:1" ht="15">
      <c r="A17" s="351" t="s">
        <v>2247</v>
      </c>
    </row>
    <row r="18" spans="1:1" ht="15">
      <c r="A18" s="351" t="s">
        <v>2152</v>
      </c>
    </row>
    <row r="19" spans="1:1" ht="15">
      <c r="A19" s="351" t="s">
        <v>2154</v>
      </c>
    </row>
    <row r="20" spans="1:1" ht="15">
      <c r="A20" s="351" t="s">
        <v>785</v>
      </c>
    </row>
    <row r="21" spans="1:1" ht="15">
      <c r="A21" s="351" t="s">
        <v>1607</v>
      </c>
    </row>
    <row r="22" spans="1:1" ht="15">
      <c r="A22" s="351" t="s">
        <v>1712</v>
      </c>
    </row>
    <row r="23" spans="1:1" ht="15">
      <c r="A23" s="351" t="s">
        <v>1462</v>
      </c>
    </row>
    <row r="24" spans="1:1" ht="15">
      <c r="A24" s="351" t="s">
        <v>414</v>
      </c>
    </row>
    <row r="25" spans="1:1" ht="15">
      <c r="A25" s="351" t="s">
        <v>1012</v>
      </c>
    </row>
    <row r="26" spans="1:1" ht="15">
      <c r="A26" s="351" t="s">
        <v>2161</v>
      </c>
    </row>
    <row r="27" spans="1:1" ht="15">
      <c r="A27" s="351" t="s">
        <v>2165</v>
      </c>
    </row>
    <row r="28" spans="1:1" ht="15">
      <c r="A28" s="351" t="s">
        <v>2168</v>
      </c>
    </row>
    <row r="29" spans="1:1" ht="15">
      <c r="A29" s="351" t="s">
        <v>1815</v>
      </c>
    </row>
    <row r="30" spans="1:1" ht="15">
      <c r="A30" s="351" t="s">
        <v>2170</v>
      </c>
    </row>
    <row r="31" spans="1:1" ht="15">
      <c r="A31" s="351" t="s">
        <v>2248</v>
      </c>
    </row>
    <row r="32" spans="1:1" ht="15">
      <c r="A32" s="351" t="s">
        <v>2154</v>
      </c>
    </row>
    <row r="33" spans="1:1" ht="15">
      <c r="A33" s="351" t="s">
        <v>1516</v>
      </c>
    </row>
    <row r="34" spans="1:1" ht="15">
      <c r="A34" s="351" t="s">
        <v>1507</v>
      </c>
    </row>
    <row r="35" spans="1:1" ht="15">
      <c r="A35" s="351" t="s">
        <v>1176</v>
      </c>
    </row>
    <row r="36" spans="1:1" ht="15">
      <c r="A36" s="351" t="s">
        <v>991</v>
      </c>
    </row>
    <row r="37" spans="1:1" ht="15">
      <c r="A37" s="351" t="s">
        <v>2181</v>
      </c>
    </row>
    <row r="38" spans="1:1" ht="15">
      <c r="A38" s="351" t="s">
        <v>2183</v>
      </c>
    </row>
    <row r="39" spans="1:1" ht="15">
      <c r="A39" s="351" t="s">
        <v>1702</v>
      </c>
    </row>
    <row r="40" spans="1:1" ht="15">
      <c r="A40" s="351" t="s">
        <v>2185</v>
      </c>
    </row>
    <row r="41" spans="1:1" ht="15">
      <c r="A41" s="351" t="s">
        <v>1227</v>
      </c>
    </row>
    <row r="42" spans="1:1" ht="15">
      <c r="A42" s="351" t="s">
        <v>1591</v>
      </c>
    </row>
    <row r="43" spans="1:1" ht="15">
      <c r="A43" s="351" t="s">
        <v>1837</v>
      </c>
    </row>
    <row r="44" spans="1:1" ht="15">
      <c r="A44" s="351" t="s">
        <v>1234</v>
      </c>
    </row>
    <row r="45" spans="1:1" ht="15">
      <c r="A45" s="351" t="s">
        <v>1649</v>
      </c>
    </row>
    <row r="46" spans="1:1" ht="15">
      <c r="A46" s="351" t="s">
        <v>2234</v>
      </c>
    </row>
    <row r="47" spans="1:1" ht="15">
      <c r="A47" s="351" t="s">
        <v>1815</v>
      </c>
    </row>
  </sheetData>
  <conditionalFormatting sqref="A3:A47">
    <cfRule type="duplicateValues" dxfId="117" priority="2"/>
    <cfRule type="duplicateValues" dxfId="116"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topLeftCell="A4" workbookViewId="0">
      <selection activeCell="C33" sqref="C33"/>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c r="AJ29" s="119"/>
      <c r="AK29" s="120"/>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0</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2" t="str">
        <f ca="1">"AUDIENCIAS ASIGNADAS  AL DIA: " &amp; TEXT(TODAY(),"DD/MM/YYYY")</f>
        <v>AUDIENCIAS ASIGNADAS  AL DIA: 03/11/2023</v>
      </c>
      <c r="C1" s="392"/>
      <c r="D1" s="392"/>
      <c r="E1" s="392"/>
      <c r="F1" s="392"/>
      <c r="G1" s="392"/>
      <c r="H1" s="392"/>
      <c r="I1" s="392"/>
    </row>
    <row r="3" spans="2:9" ht="28.5" customHeight="1">
      <c r="B3" s="390" t="s">
        <v>1355</v>
      </c>
      <c r="C3" s="391"/>
      <c r="E3" s="390" t="s">
        <v>1562</v>
      </c>
      <c r="F3" s="391"/>
      <c r="H3" s="390" t="s">
        <v>1581</v>
      </c>
      <c r="I3" s="391"/>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0</v>
      </c>
      <c r="E6" s="10" t="s">
        <v>875</v>
      </c>
      <c r="F6" s="10">
        <f>COUNTIF(EXPEDIENTES!$J:$J,$E6)</f>
        <v>0</v>
      </c>
      <c r="H6" s="175" t="s">
        <v>324</v>
      </c>
      <c r="I6" s="48">
        <f>SUM(I5)</f>
        <v>0</v>
      </c>
    </row>
    <row r="7" spans="2:9" ht="24.95" customHeight="1">
      <c r="B7" s="10" t="s">
        <v>25</v>
      </c>
      <c r="C7" s="10">
        <f>COUNTIF(EXPEDIENTES!$J:$J,$B7)</f>
        <v>0</v>
      </c>
      <c r="E7" s="10" t="s">
        <v>876</v>
      </c>
      <c r="F7" s="10">
        <f>COUNTIF(EXPEDIENTES!$J:$J,$E7)</f>
        <v>0</v>
      </c>
    </row>
    <row r="8" spans="2:9" ht="24.95" customHeight="1">
      <c r="B8" s="10" t="s">
        <v>63</v>
      </c>
      <c r="C8" s="10">
        <f>COUNTIF(EXPEDIENTES!$J:$J,$B8)</f>
        <v>0</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0</v>
      </c>
      <c r="E10" s="10" t="s">
        <v>1197</v>
      </c>
      <c r="F10" s="10">
        <f>COUNTIF(EXPEDIENTES!$J:$J,$E10)</f>
        <v>0</v>
      </c>
      <c r="H10" s="97"/>
      <c r="I10" s="97"/>
    </row>
    <row r="11" spans="2:9" ht="24.95" customHeight="1">
      <c r="B11" s="10" t="s">
        <v>873</v>
      </c>
      <c r="C11" s="10">
        <f>COUNTIF(EXPEDIENTES!$J:$J,$B11)</f>
        <v>0</v>
      </c>
      <c r="E11" s="297" t="s">
        <v>1967</v>
      </c>
      <c r="F11" s="10">
        <f>COUNTIF(EXPEDIENTES!$J:$J,$E11)</f>
        <v>0</v>
      </c>
      <c r="H11" s="97"/>
      <c r="I11" s="97"/>
    </row>
    <row r="12" spans="2:9" s="293" customFormat="1" ht="24.95" customHeight="1">
      <c r="B12" s="292" t="s">
        <v>324</v>
      </c>
      <c r="C12" s="48">
        <f>SUM(C5:C11)</f>
        <v>0</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92" t="str">
        <f ca="1">"AUDIENCIAS QUE RESTAN RESOLVER -  AL DIA: " &amp; TEXT(TODAY(),"DD/MM/YYYY")</f>
        <v>AUDIENCIAS QUE RESTAN RESOLVER -  AL DIA: 03/11/2023</v>
      </c>
      <c r="C26" s="392"/>
      <c r="D26" s="392"/>
      <c r="E26" s="392"/>
      <c r="F26" s="392"/>
      <c r="G26" s="392"/>
      <c r="H26" s="392"/>
      <c r="I26" s="392"/>
    </row>
    <row r="27" spans="2:9" ht="24.95" customHeight="1"/>
    <row r="28" spans="2:9" ht="24.95" customHeight="1">
      <c r="B28" s="390" t="s">
        <v>1356</v>
      </c>
      <c r="C28" s="391"/>
      <c r="E28" s="390" t="s">
        <v>1563</v>
      </c>
      <c r="F28" s="391"/>
      <c r="H28" s="390" t="s">
        <v>1357</v>
      </c>
      <c r="I28" s="391"/>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COUNTIFS(EXPEDIENTES!J:J,$B31,EXPEDIENTES!O:O,"NO")</f>
        <v>0</v>
      </c>
      <c r="E31" s="10" t="s">
        <v>875</v>
      </c>
      <c r="F31" s="10">
        <f>COUNTIFS(EXPEDIENTES!J:J,$E31,EXPEDIENTES!O:O,"NO")</f>
        <v>0</v>
      </c>
      <c r="H31" s="175" t="s">
        <v>324</v>
      </c>
      <c r="I31" s="48">
        <f>SUM(I30)</f>
        <v>0</v>
      </c>
    </row>
    <row r="32" spans="2:9" ht="20.100000000000001" customHeight="1">
      <c r="B32" s="10" t="s">
        <v>25</v>
      </c>
      <c r="C32" s="10">
        <f>COUNTIFS(EXPEDIENTES!J:J,$B32,EXPEDIENTES!O:O,"NO")</f>
        <v>0</v>
      </c>
      <c r="E32" s="10" t="s">
        <v>876</v>
      </c>
      <c r="F32" s="10">
        <f>COUNTIFS(EXPEDIENTES!J:J,$E32,EXPEDIENTES!O:O,"NO")</f>
        <v>0</v>
      </c>
    </row>
    <row r="33" spans="2:6" ht="20.100000000000001" customHeight="1">
      <c r="B33" s="10" t="s">
        <v>63</v>
      </c>
      <c r="C33" s="10">
        <f>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COUNTIFS(EXPEDIENTES!J:J,$B35,EXPEDIENTES!O:O,"NO")</f>
        <v>0</v>
      </c>
      <c r="E35" s="10" t="s">
        <v>1197</v>
      </c>
      <c r="F35" s="10">
        <f>COUNTIFS(EXPEDIENTES!J:J,$E35,EXPEDIENTES!O:O,"NO")</f>
        <v>0</v>
      </c>
    </row>
    <row r="36" spans="2:6" ht="20.100000000000001" customHeight="1">
      <c r="B36" s="10" t="s">
        <v>873</v>
      </c>
      <c r="C36" s="10">
        <f>COUNTIFS(EXPEDIENTES!J:J,$B36,EXPEDIENTES!O:O,"NO")</f>
        <v>0</v>
      </c>
      <c r="E36" s="297" t="s">
        <v>1967</v>
      </c>
      <c r="F36" s="10">
        <f>COUNTIFS(EXPEDIENTES!J:J,$E36,EXPEDIENTES!O:O,"NO")</f>
        <v>0</v>
      </c>
    </row>
    <row r="37" spans="2:6" ht="20.100000000000001" customHeight="1">
      <c r="B37" s="175" t="s">
        <v>714</v>
      </c>
      <c r="C37" s="48">
        <f>SUM(C30:C36)</f>
        <v>0</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92" t="str">
        <f ca="1">"AUDIENCIAS RESUELTAS AL DIA: " &amp; TEXT(TODAY(),"DD/MM/YYYY")</f>
        <v>AUDIENCIAS RESUELTAS AL DIA: 03/11/2023</v>
      </c>
      <c r="C53" s="392"/>
      <c r="D53" s="392"/>
      <c r="E53" s="392"/>
      <c r="F53" s="392"/>
      <c r="G53" s="392"/>
      <c r="H53" s="392"/>
      <c r="I53" s="392"/>
    </row>
    <row r="54" spans="2:9" ht="20.100000000000001" customHeight="1"/>
    <row r="55" spans="2:9" ht="28.35" customHeight="1">
      <c r="B55" s="390" t="s">
        <v>1358</v>
      </c>
      <c r="C55" s="391"/>
      <c r="E55" s="390" t="s">
        <v>1359</v>
      </c>
      <c r="F55" s="391"/>
      <c r="H55" s="390" t="s">
        <v>1360</v>
      </c>
      <c r="I55" s="391"/>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COUNTIFS(EXPEDIENTES!J:J,$B58,EXPEDIENTES!O:O,"SI")</f>
        <v>0</v>
      </c>
      <c r="E58" s="10" t="s">
        <v>875</v>
      </c>
      <c r="F58" s="10">
        <f>COUNTIFS(EXPEDIENTES!J:J,$E58,EXPEDIENTES!O:O,"SI")</f>
        <v>0</v>
      </c>
      <c r="H58" s="175" t="s">
        <v>324</v>
      </c>
      <c r="I58" s="48">
        <f>SUM(I57)</f>
        <v>0</v>
      </c>
    </row>
    <row r="59" spans="2:9" ht="24.95" customHeight="1">
      <c r="B59" s="10" t="s">
        <v>25</v>
      </c>
      <c r="C59" s="10">
        <f>COUNTIFS(EXPEDIENTES!J:J,$B59,EXPEDIENTES!O:O,"SI")</f>
        <v>0</v>
      </c>
      <c r="E59" s="10" t="s">
        <v>876</v>
      </c>
      <c r="F59" s="10">
        <f>COUNTIFS(EXPEDIENTES!J:J,$E59,EXPEDIENTES!O:O,"SI")</f>
        <v>0</v>
      </c>
    </row>
    <row r="60" spans="2:9" ht="24.95" customHeight="1">
      <c r="B60" s="10" t="s">
        <v>63</v>
      </c>
      <c r="C60" s="10">
        <f>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COUNTIFS(EXPEDIENTES!J:J,$B62,EXPEDIENTES!O:O,"SI")</f>
        <v>0</v>
      </c>
      <c r="E62" s="10" t="s">
        <v>1197</v>
      </c>
      <c r="F62" s="10">
        <f>COUNTIFS(EXPEDIENTES!J:J,$E62,EXPEDIENTES!O:O,"SI")</f>
        <v>0</v>
      </c>
      <c r="G62" s="96"/>
      <c r="H62" s="96"/>
    </row>
    <row r="63" spans="2:9" ht="24.95" customHeight="1">
      <c r="B63" s="10" t="s">
        <v>873</v>
      </c>
      <c r="C63" s="10">
        <f>COUNTIFS(EXPEDIENTES!J:J,$B63,EXPEDIENTES!O:O,"SI")</f>
        <v>0</v>
      </c>
      <c r="E63" s="297" t="s">
        <v>1967</v>
      </c>
      <c r="F63" s="10">
        <f>COUNTIFS(EXPEDIENTES!J:J,$E63,EXPEDIENTES!O:O,"SI")</f>
        <v>0</v>
      </c>
      <c r="G63" s="96"/>
      <c r="H63" s="96"/>
    </row>
    <row r="64" spans="2:9" ht="24.95" customHeight="1">
      <c r="B64" s="175" t="s">
        <v>1349</v>
      </c>
      <c r="C64" s="28">
        <f>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89" t="s">
        <v>393</v>
      </c>
      <c r="C68" s="389"/>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393"/>
      <c r="B1" s="393"/>
      <c r="C1" s="393"/>
      <c r="D1" s="393"/>
      <c r="E1" s="393"/>
      <c r="F1" s="393"/>
      <c r="G1" s="393"/>
      <c r="H1" s="393"/>
      <c r="I1" s="393"/>
      <c r="J1" s="393"/>
      <c r="K1" s="168"/>
      <c r="AQ1" s="393" t="s">
        <v>1327</v>
      </c>
      <c r="AR1" s="393"/>
      <c r="AS1" s="393"/>
      <c r="AT1" s="393"/>
      <c r="AU1" s="393"/>
      <c r="AV1" s="393"/>
      <c r="AW1" s="393"/>
      <c r="AX1" s="393"/>
      <c r="AY1" s="393"/>
      <c r="AZ1" s="393"/>
      <c r="BA1" s="393"/>
    </row>
    <row r="2" spans="1:53" ht="12.75" customHeight="1"/>
    <row r="3" spans="1:53" ht="30.75" customHeight="1">
      <c r="M3" s="168" t="s">
        <v>931</v>
      </c>
      <c r="N3" s="168" t="s">
        <v>932</v>
      </c>
      <c r="AK3" s="168" t="s">
        <v>336</v>
      </c>
      <c r="AL3" s="168" t="s">
        <v>23</v>
      </c>
      <c r="AQ3" s="394" t="s">
        <v>1323</v>
      </c>
      <c r="AR3" s="394"/>
      <c r="AS3" s="394"/>
      <c r="AT3" s="394"/>
      <c r="AU3" s="394"/>
      <c r="AV3" s="394"/>
      <c r="AW3" s="394"/>
      <c r="AX3" s="394"/>
      <c r="AY3" s="394"/>
      <c r="AZ3" s="394"/>
      <c r="BA3" s="394"/>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COUNTIFS(EXPEDIENTES!H:H,"&gt;=01/12/2023",EXPEDIENTES!H:H,"&lt;=31/12/2023",EXPEDIENTES!O:O,"=SI")</f>
        <v>0</v>
      </c>
      <c r="C16" s="304" t="s">
        <v>2091</v>
      </c>
      <c r="AW16" s="170"/>
      <c r="AX16" s="170"/>
      <c r="AZ16" s="173"/>
    </row>
    <row r="17" spans="2:54" ht="28.35" customHeight="1">
      <c r="B17" s="253">
        <f>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03/11/2023</v>
      </c>
    </row>
    <row r="21" spans="2:54" ht="28.35" customHeight="1"/>
    <row r="22" spans="2:54" ht="28.35" customHeight="1">
      <c r="AQ22" s="395" t="s">
        <v>1327</v>
      </c>
      <c r="AR22" s="395"/>
      <c r="AS22" s="395"/>
      <c r="AT22" s="395"/>
      <c r="AU22" s="395"/>
      <c r="AV22" s="395"/>
      <c r="AW22" s="395"/>
      <c r="AX22" s="395"/>
      <c r="AY22" s="395"/>
      <c r="AZ22" s="395"/>
      <c r="BA22" s="205"/>
      <c r="BB22" s="205"/>
    </row>
    <row r="24" spans="2:54" ht="26.25">
      <c r="AQ24" s="396" t="s">
        <v>1611</v>
      </c>
      <c r="AR24" s="396"/>
      <c r="AS24" s="396"/>
      <c r="AT24" s="396"/>
      <c r="AU24" s="396"/>
      <c r="AV24" s="396"/>
      <c r="AW24" s="396"/>
      <c r="AX24" s="396"/>
      <c r="AY24" s="396"/>
      <c r="AZ24" s="396"/>
      <c r="BA24" s="206"/>
      <c r="BB24" s="206"/>
    </row>
    <row r="25" spans="2:54" ht="26.25">
      <c r="AQ25" s="396" t="s">
        <v>1953</v>
      </c>
      <c r="AR25" s="396"/>
      <c r="AS25" s="396"/>
      <c r="AT25" s="396"/>
      <c r="AU25" s="396"/>
      <c r="AV25" s="396"/>
      <c r="AW25" s="396"/>
      <c r="AX25" s="396"/>
      <c r="AY25" s="396"/>
      <c r="AZ25" s="396"/>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397" t="s">
        <v>1952</v>
      </c>
      <c r="AR34" s="397"/>
    </row>
    <row r="35" spans="1:52" ht="30" customHeight="1">
      <c r="M35" s="253" t="e">
        <f>SUM(M29:M34)</f>
        <v>#VALUE!</v>
      </c>
      <c r="N35" s="252" t="e">
        <f>SUM(N29:N34)</f>
        <v>#VALUE!</v>
      </c>
      <c r="O35" s="251" t="s">
        <v>324</v>
      </c>
      <c r="AK35" s="253" t="e">
        <f>SUM(AK29:AK34)</f>
        <v>#VALUE!</v>
      </c>
      <c r="AL35" s="252" t="e">
        <f>SUM(AL29:AL34)</f>
        <v>#VALUE!</v>
      </c>
      <c r="AM35" s="251" t="s">
        <v>324</v>
      </c>
      <c r="AQ35" s="397"/>
      <c r="AR35" s="397"/>
    </row>
    <row r="36" spans="1:52" ht="30" customHeight="1">
      <c r="AQ36" s="398">
        <f>(AQ32*100)/[2]EXPEDIENTES!C1</f>
        <v>0</v>
      </c>
      <c r="AR36" s="398"/>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03/11/2023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395" t="s">
        <v>1327</v>
      </c>
      <c r="AR42" s="395"/>
      <c r="AS42" s="395"/>
      <c r="AT42" s="395"/>
      <c r="AU42" s="395"/>
      <c r="AV42" s="395"/>
      <c r="AW42" s="395"/>
      <c r="AX42" s="395"/>
      <c r="AY42" s="395"/>
      <c r="AZ42" s="395"/>
    </row>
    <row r="43" spans="1:52" ht="30" customHeight="1">
      <c r="A43" s="264"/>
      <c r="B43" s="264"/>
      <c r="C43" s="264"/>
      <c r="AK43" s="256" t="e">
        <f>COUNTIFS([2]EXPEDIENTES!Q:Q,"Libertad",[2]EXPEDIENTES!J:J,"=Dr. Rodriguez Pipino")</f>
        <v>#VALUE!</v>
      </c>
      <c r="AL43" s="255" t="e">
        <f>AK43/AK51</f>
        <v>#VALUE!</v>
      </c>
      <c r="AM43" s="257" t="s">
        <v>671</v>
      </c>
      <c r="AQ43" s="396" t="s">
        <v>1611</v>
      </c>
      <c r="AR43" s="396"/>
      <c r="AS43" s="396"/>
      <c r="AT43" s="396"/>
      <c r="AU43" s="396"/>
      <c r="AV43" s="396"/>
      <c r="AW43" s="396"/>
      <c r="AX43" s="396"/>
      <c r="AY43" s="396"/>
      <c r="AZ43" s="396"/>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03/11/2023</v>
      </c>
    </row>
    <row r="62" spans="1:52" ht="24.95" customHeight="1"/>
    <row r="63" spans="1:52" ht="24.95" customHeight="1">
      <c r="AQ63" s="395" t="s">
        <v>1327</v>
      </c>
      <c r="AR63" s="395"/>
      <c r="AS63" s="395"/>
      <c r="AT63" s="395"/>
      <c r="AU63" s="395"/>
      <c r="AV63" s="395"/>
      <c r="AW63" s="395"/>
      <c r="AX63" s="395"/>
      <c r="AY63" s="395"/>
      <c r="AZ63" s="395"/>
    </row>
    <row r="64" spans="1:52" ht="24.95" customHeight="1">
      <c r="AQ64" s="396" t="s">
        <v>1951</v>
      </c>
      <c r="AR64" s="396"/>
      <c r="AS64" s="396"/>
      <c r="AT64" s="396"/>
      <c r="AU64" s="396"/>
      <c r="AV64" s="396"/>
      <c r="AW64" s="396"/>
      <c r="AX64" s="396"/>
      <c r="AY64" s="396"/>
      <c r="AZ64" s="396"/>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45233</v>
      </c>
    </row>
    <row r="2" spans="1:16384" ht="21.95" customHeight="1">
      <c r="B2" s="399" t="s">
        <v>345</v>
      </c>
      <c r="C2" s="399"/>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 ca="1">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399" t="s">
        <v>385</v>
      </c>
      <c r="C22" s="399"/>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20</v>
      </c>
      <c r="F24" s="203"/>
      <c r="G24" s="203" t="s">
        <v>1526</v>
      </c>
      <c r="H24" s="203"/>
      <c r="I24" s="203"/>
      <c r="J24" s="203"/>
      <c r="K24" s="203"/>
      <c r="L24" s="203"/>
    </row>
    <row r="25" spans="2:12" ht="21.95" customHeight="1">
      <c r="B25" s="10" t="s">
        <v>21</v>
      </c>
      <c r="C25" s="10">
        <f>COUNTIF(EXPEDIENTES!G:G,B25)</f>
        <v>16</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0</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17" sqref="B17"/>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71"/>
  <sheetViews>
    <sheetView topLeftCell="A144" workbookViewId="0">
      <selection activeCell="A172" sqref="A172"/>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2177</v>
      </c>
    </row>
    <row r="161" spans="1:1">
      <c r="A161" s="53" t="s">
        <v>2214</v>
      </c>
    </row>
    <row r="162" spans="1:1">
      <c r="A162" s="53" t="s">
        <v>2216</v>
      </c>
    </row>
    <row r="163" spans="1:1" hidden="1">
      <c r="A163" s="53" t="s">
        <v>2274</v>
      </c>
    </row>
    <row r="164" spans="1:1" hidden="1">
      <c r="A164" s="53" t="s">
        <v>2299</v>
      </c>
    </row>
    <row r="165" spans="1:1" hidden="1">
      <c r="A165" s="53" t="s">
        <v>2319</v>
      </c>
    </row>
    <row r="166" spans="1:1" hidden="1">
      <c r="A166" s="53" t="s">
        <v>2320</v>
      </c>
    </row>
    <row r="167" spans="1:1">
      <c r="A167" s="53" t="s">
        <v>2322</v>
      </c>
    </row>
    <row r="168" spans="1:1">
      <c r="A168" s="53" t="s">
        <v>2323</v>
      </c>
    </row>
    <row r="169" spans="1:1">
      <c r="A169" s="53" t="s">
        <v>2324</v>
      </c>
    </row>
    <row r="170" spans="1:1">
      <c r="A170" s="53" t="s">
        <v>2395</v>
      </c>
    </row>
    <row r="171" spans="1:1">
      <c r="A171" s="53" t="s">
        <v>2397</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66" priority="48">
      <formula>"SI(P115=""HOY"")"</formula>
    </cfRule>
  </conditionalFormatting>
  <conditionalFormatting sqref="C113:I113 K113:L113">
    <cfRule type="expression" dxfId="65" priority="47">
      <formula>"SI(P115=""HOY"")"</formula>
    </cfRule>
  </conditionalFormatting>
  <conditionalFormatting sqref="C113:I113 K113:L113">
    <cfRule type="expression" dxfId="64" priority="46">
      <formula>"SI(P115=""HOY"")"</formula>
    </cfRule>
  </conditionalFormatting>
  <conditionalFormatting sqref="C113:I113 K113:L113">
    <cfRule type="expression" dxfId="63" priority="45">
      <formula>"SI(P115=""HOY"")"</formula>
    </cfRule>
  </conditionalFormatting>
  <conditionalFormatting sqref="C113:I113 K113:L113">
    <cfRule type="expression" dxfId="62" priority="44">
      <formula>"SI(P115=""HOY"")"</formula>
    </cfRule>
  </conditionalFormatting>
  <conditionalFormatting sqref="C113:I113 K113:L113">
    <cfRule type="expression" dxfId="61" priority="43">
      <formula>"SI(P115=""HOY"")"</formula>
    </cfRule>
  </conditionalFormatting>
  <conditionalFormatting sqref="C113:I113 K113:L113">
    <cfRule type="expression" dxfId="60" priority="42">
      <formula>"SI(P115=""HOY"")"</formula>
    </cfRule>
  </conditionalFormatting>
  <conditionalFormatting sqref="C113:I113 K113:L113">
    <cfRule type="expression" dxfId="59" priority="41">
      <formula>"SI(P115=""HOY"")"</formula>
    </cfRule>
  </conditionalFormatting>
  <conditionalFormatting sqref="C113:I113 K113:L113">
    <cfRule type="expression" dxfId="58" priority="40">
      <formula>"SI(P115=""HOY"")"</formula>
    </cfRule>
  </conditionalFormatting>
  <conditionalFormatting sqref="C113:I113 K113:L113">
    <cfRule type="expression" dxfId="57" priority="39">
      <formula>"SI(P115=""HOY"")"</formula>
    </cfRule>
  </conditionalFormatting>
  <conditionalFormatting sqref="C113:I113 K113:L113">
    <cfRule type="expression" dxfId="56" priority="38">
      <formula>"SI(P115=""HOY"")"</formula>
    </cfRule>
  </conditionalFormatting>
  <conditionalFormatting sqref="C113:I113 K113:L113">
    <cfRule type="expression" dxfId="55" priority="37">
      <formula>"SI(P115=""HOY"")"</formula>
    </cfRule>
  </conditionalFormatting>
  <conditionalFormatting sqref="C113:I113 K113:L113">
    <cfRule type="expression" dxfId="54" priority="36">
      <formula>"SI(P115=""HOY"")"</formula>
    </cfRule>
  </conditionalFormatting>
  <conditionalFormatting sqref="C113:I113 K113:L113">
    <cfRule type="expression" dxfId="53" priority="35">
      <formula>"SI(P115=""HOY"")"</formula>
    </cfRule>
  </conditionalFormatting>
  <conditionalFormatting sqref="C113:I113 K113:L113">
    <cfRule type="expression" dxfId="52" priority="34">
      <formula>"SI(P115=""HOY"")"</formula>
    </cfRule>
  </conditionalFormatting>
  <conditionalFormatting sqref="C113:I113 K113:L113">
    <cfRule type="expression" dxfId="51" priority="33">
      <formula>"SI(P115=""HOY"")"</formula>
    </cfRule>
  </conditionalFormatting>
  <conditionalFormatting sqref="C113:I113 K113:L113">
    <cfRule type="expression" dxfId="50" priority="32">
      <formula>"SI(P115=""HOY"")"</formula>
    </cfRule>
  </conditionalFormatting>
  <conditionalFormatting sqref="C113:I113 K113:L113">
    <cfRule type="expression" dxfId="49" priority="31">
      <formula>"SI(P115=""HOY"")"</formula>
    </cfRule>
  </conditionalFormatting>
  <conditionalFormatting sqref="C113:I113 K113:L113">
    <cfRule type="expression" dxfId="48" priority="30">
      <formula>"SI(P115=""HOY"")"</formula>
    </cfRule>
  </conditionalFormatting>
  <conditionalFormatting sqref="C113:I113 K113:L113">
    <cfRule type="expression" dxfId="47" priority="29">
      <formula>"SI(P115=""HOY"")"</formula>
    </cfRule>
  </conditionalFormatting>
  <conditionalFormatting sqref="C113:I113 K113:L113">
    <cfRule type="expression" dxfId="46" priority="28">
      <formula>"SI(P115=""HOY"")"</formula>
    </cfRule>
  </conditionalFormatting>
  <conditionalFormatting sqref="C113:I113 K113:L113">
    <cfRule type="expression" dxfId="45" priority="27">
      <formula>"SI(P115=""HOY"")"</formula>
    </cfRule>
  </conditionalFormatting>
  <conditionalFormatting sqref="C113:I113 K113:L113">
    <cfRule type="expression" dxfId="44" priority="26">
      <formula>"SI(P115=""HOY"")"</formula>
    </cfRule>
  </conditionalFormatting>
  <conditionalFormatting sqref="C113:I113 K113:L113">
    <cfRule type="expression" dxfId="43" priority="25">
      <formula>"SI(P115=""HOY"")"</formula>
    </cfRule>
  </conditionalFormatting>
  <conditionalFormatting sqref="C113:I113 K113:L113">
    <cfRule type="expression" dxfId="42" priority="24">
      <formula>"SI(P115=""HOY"")"</formula>
    </cfRule>
  </conditionalFormatting>
  <conditionalFormatting sqref="C113:I113 K113:L113">
    <cfRule type="expression" dxfId="41" priority="23">
      <formula>"SI(P115=""HOY"")"</formula>
    </cfRule>
  </conditionalFormatting>
  <conditionalFormatting sqref="C113:I113 K113:L113">
    <cfRule type="expression" dxfId="40" priority="22">
      <formula>"SI(P115=""HOY"")"</formula>
    </cfRule>
  </conditionalFormatting>
  <conditionalFormatting sqref="C113:I113 K113:L113">
    <cfRule type="expression" dxfId="39" priority="21">
      <formula>"SI(P115=""HOY"")"</formula>
    </cfRule>
  </conditionalFormatting>
  <conditionalFormatting sqref="C113:I113 K113:L113">
    <cfRule type="expression" dxfId="38" priority="20">
      <formula>"SI(P115=""HOY"")"</formula>
    </cfRule>
  </conditionalFormatting>
  <conditionalFormatting sqref="C113:I113 K113:L113">
    <cfRule type="expression" dxfId="37" priority="19">
      <formula>"SI(P115=""HOY"")"</formula>
    </cfRule>
  </conditionalFormatting>
  <conditionalFormatting sqref="C113:I113 K113:L113">
    <cfRule type="expression" dxfId="36" priority="18">
      <formula>"SI(P115=""HOY"")"</formula>
    </cfRule>
  </conditionalFormatting>
  <conditionalFormatting sqref="C113:I113 K113:L113">
    <cfRule type="expression" dxfId="35" priority="17">
      <formula>"SI(P115=""HOY"")"</formula>
    </cfRule>
  </conditionalFormatting>
  <conditionalFormatting sqref="C113:I113 K113:L113">
    <cfRule type="expression" dxfId="34" priority="16">
      <formula>"SI(P115=""HOY"")"</formula>
    </cfRule>
  </conditionalFormatting>
  <conditionalFormatting sqref="C113:I113 K113:L113">
    <cfRule type="expression" dxfId="33" priority="15">
      <formula>"SI(P115=""HOY"")"</formula>
    </cfRule>
  </conditionalFormatting>
  <conditionalFormatting sqref="C113:I113 K113:L113">
    <cfRule type="expression" dxfId="32" priority="14">
      <formula>"SI(P115=""HOY"")"</formula>
    </cfRule>
  </conditionalFormatting>
  <conditionalFormatting sqref="C113:I113 K113:L113">
    <cfRule type="expression" dxfId="31" priority="13">
      <formula>"SI(P115=""HOY"")"</formula>
    </cfRule>
  </conditionalFormatting>
  <conditionalFormatting sqref="C113:I113 K113:L113">
    <cfRule type="expression" dxfId="30" priority="12">
      <formula>"SI(P115=""HOY"")"</formula>
    </cfRule>
  </conditionalFormatting>
  <conditionalFormatting sqref="C113:I113 K113:L113">
    <cfRule type="expression" dxfId="29" priority="11">
      <formula>"SI(P115=""HOY"")"</formula>
    </cfRule>
  </conditionalFormatting>
  <conditionalFormatting sqref="C113:I113 K113:L113">
    <cfRule type="expression" dxfId="28" priority="10">
      <formula>"SI(P115=""HOY"")"</formula>
    </cfRule>
  </conditionalFormatting>
  <conditionalFormatting sqref="C113:I113 K113:L113">
    <cfRule type="expression" dxfId="27" priority="9">
      <formula>"SI(P115=""HOY"")"</formula>
    </cfRule>
  </conditionalFormatting>
  <conditionalFormatting sqref="C113:I113 K113:L113">
    <cfRule type="expression" dxfId="26" priority="8">
      <formula>"SI(P115=""HOY"")"</formula>
    </cfRule>
  </conditionalFormatting>
  <conditionalFormatting sqref="C113:I113 K113:L113">
    <cfRule type="expression" dxfId="25" priority="7">
      <formula>"SI(P115=""HOY"")"</formula>
    </cfRule>
  </conditionalFormatting>
  <conditionalFormatting sqref="C113:I113 K113:L113">
    <cfRule type="expression" dxfId="24" priority="6">
      <formula>"SI(P115=""HOY"")"</formula>
    </cfRule>
  </conditionalFormatting>
  <conditionalFormatting sqref="C113:I113 K113:L113">
    <cfRule type="expression" dxfId="23" priority="5">
      <formula>"SI(P115=""HOY"")"</formula>
    </cfRule>
  </conditionalFormatting>
  <conditionalFormatting sqref="C113:I113 K113:L113">
    <cfRule type="expression" dxfId="22" priority="4">
      <formula>"SI(P115=""HOY"")"</formula>
    </cfRule>
  </conditionalFormatting>
  <conditionalFormatting sqref="C113:I113 K113:L113">
    <cfRule type="expression" dxfId="21" priority="3">
      <formula>"SI(P115=""HOY"")"</formula>
    </cfRule>
  </conditionalFormatting>
  <conditionalFormatting sqref="C113:I113 K113:L113">
    <cfRule type="expression" dxfId="20" priority="2">
      <formula>"SI(P115=""HOY"")"</formula>
    </cfRule>
  </conditionalFormatting>
  <conditionalFormatting sqref="C113:I113 K113:L113">
    <cfRule type="expression" dxfId="19"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2253</v>
      </c>
    </row>
    <row r="2" spans="1:1">
      <c r="A2" s="9" t="s">
        <v>2254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2253</v>
      </c>
    </row>
    <row r="2" spans="1:1">
      <c r="A2" s="9" t="s">
        <v>2254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lmuela</cp:lastModifiedBy>
  <cp:lastPrinted>2023-10-20T16:06:44Z</cp:lastPrinted>
  <dcterms:created xsi:type="dcterms:W3CDTF">2023-02-23T14:47:20Z</dcterms:created>
  <dcterms:modified xsi:type="dcterms:W3CDTF">2023-11-03T15:23:57Z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